
<file path=[Content_Types].xml><?xml version="1.0" encoding="utf-8"?>
<Types xmlns="http://schemas.openxmlformats.org/package/2006/content-types">
  <Default Extension="bin" ContentType="application/vnd.openxmlformats-officedocument.spreadsheetml.printerSettings"/>
  <Default Extension="w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0" yWindow="0" windowWidth="20490" windowHeight="9630" activeTab="3"/>
  </bookViews>
  <sheets>
    <sheet name="QC Test Summary-Siemens" sheetId="8" r:id="rId1"/>
    <sheet name="Tech QC Eval-Siemens" sheetId="9" r:id="rId2"/>
    <sheet name="Sheet1" sheetId="1" r:id="rId3"/>
    <sheet name="Tables" sheetId="4" r:id="rId4"/>
    <sheet name="Corrected kV" sheetId="5" r:id="rId5"/>
    <sheet name="dropdowns" sheetId="10" r:id="rId6"/>
  </sheets>
  <definedNames>
    <definedName name="_xlnm._FilterDatabase" localSheetId="5" hidden="1">dropdowns!#REF!</definedName>
    <definedName name="ESE">Sheet1!$X$269</definedName>
    <definedName name="FiberLst">dropdowns!$A$11:$A$22</definedName>
    <definedName name="MGD">Sheet1!$X$271</definedName>
    <definedName name="NA">dropdowns!$A$6:$A$8</definedName>
    <definedName name="PF">dropdowns!$A$2:$A$3</definedName>
    <definedName name="_xlnm.Print_Area" localSheetId="0">'QC Test Summary-Siemens'!$A$1:$N$55</definedName>
    <definedName name="_xlnm.Print_Area" localSheetId="2">Sheet1!$B$1:$M$432</definedName>
    <definedName name="_xlnm.Print_Area" localSheetId="1">'Tech QC Eval-Siemens'!$A$1:$K$29</definedName>
    <definedName name="Siemens_Models">dropdowns!#REF!</definedName>
    <definedName name="SpeckMassLst">dropdowns!$A$13:$A$22</definedName>
  </definedNames>
  <calcPr calcId="152511"/>
</workbook>
</file>

<file path=xl/calcChain.xml><?xml version="1.0" encoding="utf-8"?>
<calcChain xmlns="http://schemas.openxmlformats.org/spreadsheetml/2006/main">
  <c r="I380" i="1" l="1"/>
  <c r="H380" i="1"/>
  <c r="G380" i="1"/>
  <c r="F380" i="1"/>
  <c r="E380" i="1"/>
  <c r="D380" i="1"/>
  <c r="G379" i="1"/>
  <c r="F379" i="1"/>
  <c r="E379" i="1"/>
  <c r="D379" i="1"/>
  <c r="I378" i="1"/>
  <c r="H378" i="1"/>
  <c r="G378" i="1"/>
  <c r="F378" i="1"/>
  <c r="E378" i="1"/>
  <c r="D378" i="1"/>
  <c r="I377" i="1"/>
  <c r="H377" i="1"/>
  <c r="G377" i="1"/>
  <c r="F377" i="1"/>
  <c r="E377" i="1"/>
  <c r="D377" i="1"/>
  <c r="I376" i="1"/>
  <c r="H376" i="1"/>
  <c r="G376" i="1"/>
  <c r="F376" i="1"/>
  <c r="E376" i="1"/>
  <c r="D376" i="1"/>
  <c r="I375" i="1"/>
  <c r="H375" i="1"/>
  <c r="G375" i="1"/>
  <c r="F375" i="1"/>
  <c r="E375" i="1"/>
  <c r="D375" i="1"/>
  <c r="I374" i="1"/>
  <c r="H374" i="1"/>
  <c r="G374" i="1"/>
  <c r="F374" i="1"/>
  <c r="E374" i="1"/>
  <c r="D374" i="1"/>
  <c r="R261" i="1"/>
  <c r="S260" i="1"/>
  <c r="S261" i="1" s="1"/>
  <c r="R260" i="1"/>
  <c r="Q260" i="1"/>
  <c r="Q261" i="1" s="1"/>
  <c r="X270" i="1"/>
  <c r="I366" i="1"/>
  <c r="M353" i="1"/>
  <c r="H353" i="1"/>
  <c r="L301" i="1"/>
  <c r="L311" i="1"/>
  <c r="L306" i="1"/>
  <c r="K226" i="1"/>
  <c r="M195" i="1"/>
  <c r="L195" i="1"/>
  <c r="K195" i="1"/>
  <c r="M194" i="1"/>
  <c r="L194" i="1"/>
  <c r="K194" i="1"/>
  <c r="M193" i="1"/>
  <c r="L193" i="1"/>
  <c r="K193" i="1"/>
  <c r="M192" i="1"/>
  <c r="L192" i="1"/>
  <c r="K192" i="1"/>
  <c r="M191" i="1"/>
  <c r="L191" i="1"/>
  <c r="K191" i="1"/>
  <c r="M190" i="1"/>
  <c r="L190" i="1"/>
  <c r="K190" i="1"/>
  <c r="M189" i="1"/>
  <c r="L189" i="1"/>
  <c r="K189" i="1"/>
  <c r="M188" i="1"/>
  <c r="L188" i="1"/>
  <c r="K188" i="1"/>
  <c r="J195" i="1"/>
  <c r="I195" i="1"/>
  <c r="H195" i="1"/>
  <c r="J194" i="1"/>
  <c r="I194" i="1"/>
  <c r="H194" i="1"/>
  <c r="J193" i="1"/>
  <c r="I193" i="1"/>
  <c r="H193" i="1"/>
  <c r="J192" i="1"/>
  <c r="I192" i="1"/>
  <c r="H192" i="1"/>
  <c r="J191" i="1"/>
  <c r="I191" i="1"/>
  <c r="H191" i="1"/>
  <c r="J190" i="1"/>
  <c r="I190" i="1"/>
  <c r="H190" i="1"/>
  <c r="J189" i="1"/>
  <c r="I189" i="1"/>
  <c r="H189" i="1"/>
  <c r="J188" i="1"/>
  <c r="I188" i="1"/>
  <c r="H188" i="1"/>
  <c r="F200" i="1"/>
  <c r="E200" i="1"/>
  <c r="D200" i="1"/>
  <c r="F199" i="1"/>
  <c r="E199" i="1"/>
  <c r="D199" i="1"/>
  <c r="F198" i="1"/>
  <c r="E198" i="1"/>
  <c r="D198" i="1"/>
  <c r="F197" i="1"/>
  <c r="E197" i="1"/>
  <c r="D197" i="1"/>
  <c r="F196" i="1"/>
  <c r="E196" i="1"/>
  <c r="D196" i="1"/>
  <c r="F195" i="1"/>
  <c r="E195" i="1"/>
  <c r="D195" i="1"/>
  <c r="D194" i="1"/>
  <c r="F193" i="1"/>
  <c r="E193" i="1"/>
  <c r="D193" i="1"/>
  <c r="F192" i="1"/>
  <c r="E192" i="1"/>
  <c r="D192" i="1"/>
  <c r="F191" i="1"/>
  <c r="E191" i="1"/>
  <c r="D191" i="1"/>
  <c r="F190" i="1"/>
  <c r="E190" i="1"/>
  <c r="D190" i="1"/>
  <c r="F189" i="1"/>
  <c r="E189" i="1"/>
  <c r="D189" i="1"/>
  <c r="F188" i="1"/>
  <c r="E188" i="1"/>
  <c r="D188" i="1"/>
  <c r="J398" i="1" l="1"/>
  <c r="I398" i="1"/>
  <c r="H398" i="1"/>
  <c r="J397" i="1"/>
  <c r="I397" i="1"/>
  <c r="H397" i="1"/>
  <c r="J396" i="1"/>
  <c r="I396" i="1"/>
  <c r="H396" i="1"/>
  <c r="J395" i="1"/>
  <c r="I395" i="1"/>
  <c r="H395" i="1"/>
  <c r="J394" i="1"/>
  <c r="I394" i="1"/>
  <c r="H394" i="1"/>
  <c r="J393" i="1"/>
  <c r="I393" i="1"/>
  <c r="H393" i="1"/>
  <c r="S253" i="1"/>
  <c r="R253" i="1"/>
  <c r="Q253" i="1"/>
  <c r="L185" i="1"/>
  <c r="I185" i="1"/>
  <c r="D185" i="1"/>
  <c r="S365" i="1" l="1"/>
  <c r="L5" i="8" l="1"/>
  <c r="D428" i="1" l="1"/>
  <c r="D427" i="1"/>
  <c r="D426" i="1"/>
  <c r="D425" i="1"/>
  <c r="D424" i="1"/>
  <c r="D423" i="1"/>
  <c r="R404" i="1"/>
  <c r="S403" i="1"/>
  <c r="T404" i="1" s="1"/>
  <c r="R402" i="1"/>
  <c r="S401" i="1"/>
  <c r="T402" i="1" s="1"/>
  <c r="D420" i="1" l="1"/>
  <c r="D419" i="1"/>
  <c r="D418" i="1"/>
  <c r="D417" i="1"/>
  <c r="D416" i="1"/>
  <c r="D415" i="1"/>
  <c r="D414" i="1"/>
  <c r="D413" i="1"/>
  <c r="D412" i="1"/>
  <c r="D411" i="1"/>
  <c r="D410" i="1"/>
  <c r="D409" i="1"/>
  <c r="D408" i="1"/>
  <c r="D407" i="1"/>
  <c r="D406" i="1"/>
  <c r="D405" i="1"/>
  <c r="D421" i="1"/>
  <c r="D422" i="1"/>
  <c r="R400" i="1"/>
  <c r="S399" i="1"/>
  <c r="T400" i="1" s="1"/>
  <c r="R398" i="1"/>
  <c r="S397" i="1"/>
  <c r="T398" i="1" s="1"/>
  <c r="R396" i="1"/>
  <c r="S395" i="1"/>
  <c r="T396" i="1" s="1"/>
  <c r="R394" i="1"/>
  <c r="S393" i="1"/>
  <c r="T394" i="1" s="1"/>
  <c r="R392" i="1"/>
  <c r="S391" i="1"/>
  <c r="T392" i="1" s="1"/>
  <c r="R390" i="1"/>
  <c r="S389" i="1"/>
  <c r="T390" i="1" s="1"/>
  <c r="M132" i="1" l="1"/>
  <c r="L132" i="1"/>
  <c r="M131" i="1"/>
  <c r="L131" i="1"/>
  <c r="M130" i="1"/>
  <c r="L130" i="1"/>
  <c r="M129" i="1"/>
  <c r="L129" i="1"/>
  <c r="M128" i="1"/>
  <c r="L128" i="1"/>
  <c r="M431" i="1"/>
  <c r="D431" i="1"/>
  <c r="M362" i="1"/>
  <c r="M361" i="1"/>
  <c r="I292" i="1"/>
  <c r="I291" i="1"/>
  <c r="F291" i="1"/>
  <c r="D291" i="1"/>
  <c r="F257" i="1"/>
  <c r="E257" i="1"/>
  <c r="F256" i="1"/>
  <c r="E256" i="1"/>
  <c r="F255" i="1"/>
  <c r="E255" i="1"/>
  <c r="F254" i="1"/>
  <c r="E254" i="1"/>
  <c r="F253" i="1"/>
  <c r="E253" i="1"/>
  <c r="D257" i="1"/>
  <c r="D256" i="1"/>
  <c r="D255" i="1"/>
  <c r="D254" i="1"/>
  <c r="D253" i="1"/>
  <c r="G241" i="1"/>
  <c r="F241" i="1"/>
  <c r="E241" i="1"/>
  <c r="G240" i="1"/>
  <c r="F240" i="1"/>
  <c r="E240" i="1"/>
  <c r="G239" i="1"/>
  <c r="F239" i="1"/>
  <c r="E239" i="1"/>
  <c r="G238" i="1"/>
  <c r="F238" i="1"/>
  <c r="E238" i="1"/>
  <c r="G237" i="1"/>
  <c r="F237" i="1"/>
  <c r="E237" i="1"/>
  <c r="D241" i="1"/>
  <c r="D240" i="1"/>
  <c r="D239" i="1"/>
  <c r="D238" i="1"/>
  <c r="D237" i="1"/>
  <c r="I233" i="1"/>
  <c r="G233" i="1"/>
  <c r="D233" i="1"/>
  <c r="C230" i="1"/>
  <c r="C229" i="1"/>
  <c r="G226" i="1"/>
  <c r="F226" i="1"/>
  <c r="E226" i="1"/>
  <c r="D226" i="1"/>
  <c r="G225" i="1"/>
  <c r="F225" i="1"/>
  <c r="E225" i="1"/>
  <c r="D225" i="1"/>
  <c r="G224" i="1"/>
  <c r="F224" i="1"/>
  <c r="E224" i="1"/>
  <c r="D224" i="1"/>
  <c r="G223" i="1"/>
  <c r="F223" i="1"/>
  <c r="E223" i="1"/>
  <c r="D223" i="1"/>
  <c r="C226" i="1"/>
  <c r="C225" i="1"/>
  <c r="C224" i="1"/>
  <c r="J220" i="1"/>
  <c r="D359" i="1"/>
  <c r="D287" i="1"/>
  <c r="D71" i="1"/>
  <c r="D143" i="1"/>
  <c r="H198" i="1"/>
  <c r="E207" i="1"/>
  <c r="E206" i="1"/>
  <c r="E205" i="1"/>
  <c r="E204" i="1"/>
  <c r="F150" i="1"/>
  <c r="F149" i="1"/>
  <c r="F148" i="1"/>
  <c r="M125" i="1"/>
  <c r="L125" i="1"/>
  <c r="M124" i="1"/>
  <c r="L124" i="1"/>
  <c r="M123" i="1"/>
  <c r="L123" i="1"/>
  <c r="M122" i="1"/>
  <c r="L122" i="1"/>
  <c r="M121" i="1"/>
  <c r="L121" i="1"/>
  <c r="M120" i="1"/>
  <c r="L120" i="1"/>
  <c r="M119" i="1"/>
  <c r="L119" i="1"/>
  <c r="M118" i="1"/>
  <c r="L118" i="1"/>
  <c r="M117" i="1"/>
  <c r="L117" i="1"/>
  <c r="M116" i="1"/>
  <c r="L116" i="1"/>
  <c r="M115" i="1"/>
  <c r="L115" i="1"/>
  <c r="M114" i="1"/>
  <c r="L114" i="1"/>
  <c r="M113" i="1"/>
  <c r="L113" i="1"/>
  <c r="M112" i="1"/>
  <c r="L112" i="1"/>
  <c r="M111" i="1"/>
  <c r="L111" i="1"/>
  <c r="M110" i="1"/>
  <c r="L110" i="1"/>
  <c r="M109" i="1"/>
  <c r="L109" i="1"/>
  <c r="W311" i="1"/>
  <c r="V311" i="1"/>
  <c r="J349" i="1" s="1"/>
  <c r="U311" i="1"/>
  <c r="I349" i="1" s="1"/>
  <c r="W310" i="1"/>
  <c r="K348" i="1" s="1"/>
  <c r="V310" i="1"/>
  <c r="J348" i="1" s="1"/>
  <c r="U310" i="1"/>
  <c r="I348" i="1" s="1"/>
  <c r="W309" i="1"/>
  <c r="K347" i="1" s="1"/>
  <c r="V309" i="1"/>
  <c r="J347" i="1" s="1"/>
  <c r="U309" i="1"/>
  <c r="I347" i="1" s="1"/>
  <c r="W308" i="1"/>
  <c r="K346" i="1" s="1"/>
  <c r="V308" i="1"/>
  <c r="U308" i="1"/>
  <c r="I346" i="1" s="1"/>
  <c r="Y315" i="1"/>
  <c r="X315" i="1"/>
  <c r="Y311" i="1" l="1"/>
  <c r="M349" i="1" s="1"/>
  <c r="K349" i="1"/>
  <c r="V313" i="1"/>
  <c r="J351" i="1" s="1"/>
  <c r="J346" i="1"/>
  <c r="Y309" i="1"/>
  <c r="M347" i="1" s="1"/>
  <c r="Y310" i="1"/>
  <c r="M348" i="1" s="1"/>
  <c r="U312" i="1"/>
  <c r="I350" i="1" s="1"/>
  <c r="W313" i="1"/>
  <c r="K351" i="1" s="1"/>
  <c r="Y308" i="1"/>
  <c r="V312" i="1"/>
  <c r="U313" i="1"/>
  <c r="I351" i="1" s="1"/>
  <c r="W312" i="1"/>
  <c r="V314" i="1" l="1"/>
  <c r="J350" i="1"/>
  <c r="W314" i="1"/>
  <c r="K352" i="1" s="1"/>
  <c r="K350" i="1"/>
  <c r="Y313" i="1"/>
  <c r="M351" i="1" s="1"/>
  <c r="M346" i="1"/>
  <c r="U314" i="1"/>
  <c r="I352" i="1" s="1"/>
  <c r="Y312" i="1"/>
  <c r="M350" i="1" s="1"/>
  <c r="Y314" i="1" l="1"/>
  <c r="AD89" i="1"/>
  <c r="X306" i="1" l="1"/>
  <c r="L344" i="1" s="1"/>
  <c r="V305" i="1"/>
  <c r="J343" i="1" s="1"/>
  <c r="X305" i="1"/>
  <c r="L343" i="1" s="1"/>
  <c r="X371" i="1"/>
  <c r="W371" i="1"/>
  <c r="V371" i="1"/>
  <c r="X370" i="1"/>
  <c r="W370" i="1"/>
  <c r="V370" i="1"/>
  <c r="X369" i="1"/>
  <c r="W369" i="1"/>
  <c r="V369" i="1"/>
  <c r="X368" i="1"/>
  <c r="W368" i="1"/>
  <c r="V368" i="1"/>
  <c r="X367" i="1"/>
  <c r="W367" i="1"/>
  <c r="V367" i="1"/>
  <c r="AD115" i="1"/>
  <c r="AD114" i="1"/>
  <c r="AD113" i="1"/>
  <c r="AD112" i="1"/>
  <c r="AD111" i="1"/>
  <c r="AD110" i="1"/>
  <c r="AD109" i="1"/>
  <c r="AD108" i="1"/>
  <c r="AD107" i="1"/>
  <c r="AD106" i="1"/>
  <c r="AD105" i="1"/>
  <c r="AD104" i="1"/>
  <c r="AD103" i="1"/>
  <c r="X309" i="1" l="1"/>
  <c r="L347" i="1" s="1"/>
  <c r="X308" i="1"/>
  <c r="L346" i="1" s="1"/>
  <c r="X310" i="1"/>
  <c r="L348" i="1" s="1"/>
  <c r="X311" i="1"/>
  <c r="L349" i="1" s="1"/>
  <c r="V339" i="1"/>
  <c r="V338" i="1"/>
  <c r="U338" i="1"/>
  <c r="U337" i="1"/>
  <c r="T337" i="1"/>
  <c r="T336" i="1"/>
  <c r="S337" i="1"/>
  <c r="S336" i="1"/>
  <c r="R336" i="1"/>
  <c r="R337" i="1"/>
  <c r="Q335" i="1"/>
  <c r="Q336" i="1"/>
  <c r="V340" i="1"/>
  <c r="U340" i="1"/>
  <c r="T340" i="1"/>
  <c r="S340" i="1"/>
  <c r="R340" i="1"/>
  <c r="Q340" i="1"/>
  <c r="V334" i="1"/>
  <c r="U334" i="1"/>
  <c r="T334" i="1"/>
  <c r="S334" i="1"/>
  <c r="R334" i="1"/>
  <c r="Q334" i="1"/>
  <c r="V332" i="1"/>
  <c r="H76" i="4" s="1"/>
  <c r="V331" i="1"/>
  <c r="U332" i="1"/>
  <c r="H75" i="4" s="1"/>
  <c r="U331" i="1"/>
  <c r="T332" i="1"/>
  <c r="T343" i="1" s="1"/>
  <c r="T331" i="1"/>
  <c r="S332" i="1"/>
  <c r="S344" i="1" s="1"/>
  <c r="S331" i="1"/>
  <c r="R331" i="1"/>
  <c r="R332" i="1"/>
  <c r="R343" i="1" s="1"/>
  <c r="Q332" i="1"/>
  <c r="Q343" i="1" s="1"/>
  <c r="Q331" i="1"/>
  <c r="A75" i="4" l="1"/>
  <c r="D78" i="4" s="1"/>
  <c r="D75" i="4"/>
  <c r="E78" i="4" s="1"/>
  <c r="G75" i="4"/>
  <c r="F78" i="4" s="1"/>
  <c r="V341" i="1"/>
  <c r="X313" i="1"/>
  <c r="L351" i="1" s="1"/>
  <c r="X312" i="1"/>
  <c r="L350" i="1" s="1"/>
  <c r="U341" i="1"/>
  <c r="B75" i="4"/>
  <c r="R341" i="1"/>
  <c r="E75" i="4"/>
  <c r="S343" i="1"/>
  <c r="E76" i="4"/>
  <c r="T344" i="1"/>
  <c r="Q341" i="1"/>
  <c r="T341" i="1"/>
  <c r="S341" i="1"/>
  <c r="C76" i="4" l="1"/>
  <c r="F75" i="4"/>
  <c r="I76" i="4"/>
  <c r="F76" i="4"/>
  <c r="I75" i="4"/>
  <c r="C75" i="4"/>
  <c r="D79" i="4" s="1"/>
  <c r="X314" i="1"/>
  <c r="L352" i="1" s="1"/>
  <c r="AD88" i="1"/>
  <c r="F79" i="4"/>
  <c r="F80" i="4"/>
  <c r="E80" i="4"/>
  <c r="E79" i="4"/>
  <c r="S325" i="1"/>
  <c r="R325" i="1"/>
  <c r="Q325" i="1"/>
  <c r="S324" i="1"/>
  <c r="R324" i="1"/>
  <c r="Q324" i="1"/>
  <c r="S322" i="1"/>
  <c r="R322" i="1"/>
  <c r="Q322" i="1"/>
  <c r="S306" i="1"/>
  <c r="G344" i="1" s="1"/>
  <c r="R311" i="1"/>
  <c r="F349" i="1" s="1"/>
  <c r="Q311" i="1"/>
  <c r="E349" i="1" s="1"/>
  <c r="R310" i="1"/>
  <c r="F348" i="1" s="1"/>
  <c r="Q310" i="1"/>
  <c r="E348" i="1" s="1"/>
  <c r="R309" i="1"/>
  <c r="F347" i="1" s="1"/>
  <c r="Q309" i="1"/>
  <c r="E347" i="1" s="1"/>
  <c r="R308" i="1"/>
  <c r="F346" i="1" s="1"/>
  <c r="Q308" i="1"/>
  <c r="E346" i="1" s="1"/>
  <c r="U299" i="1"/>
  <c r="H311" i="1" s="1"/>
  <c r="T299" i="1"/>
  <c r="G311" i="1" s="1"/>
  <c r="S299" i="1"/>
  <c r="F311" i="1" s="1"/>
  <c r="U298" i="1"/>
  <c r="H310" i="1" s="1"/>
  <c r="T298" i="1"/>
  <c r="G310" i="1" s="1"/>
  <c r="S298" i="1"/>
  <c r="F310" i="1" s="1"/>
  <c r="U297" i="1"/>
  <c r="H309" i="1" s="1"/>
  <c r="T297" i="1"/>
  <c r="G309" i="1" s="1"/>
  <c r="S297" i="1"/>
  <c r="F309" i="1" s="1"/>
  <c r="U296" i="1"/>
  <c r="H308" i="1" s="1"/>
  <c r="T296" i="1"/>
  <c r="G308" i="1" s="1"/>
  <c r="S296" i="1"/>
  <c r="F308" i="1" s="1"/>
  <c r="U295" i="1"/>
  <c r="H307" i="1" s="1"/>
  <c r="T295" i="1"/>
  <c r="G307" i="1" s="1"/>
  <c r="S295" i="1"/>
  <c r="F307" i="1" s="1"/>
  <c r="U294" i="1"/>
  <c r="H306" i="1" s="1"/>
  <c r="T294" i="1"/>
  <c r="G306" i="1" s="1"/>
  <c r="S294" i="1"/>
  <c r="F306" i="1" s="1"/>
  <c r="U293" i="1"/>
  <c r="H305" i="1" s="1"/>
  <c r="T293" i="1"/>
  <c r="G305" i="1" s="1"/>
  <c r="S293" i="1"/>
  <c r="F305" i="1" s="1"/>
  <c r="U292" i="1"/>
  <c r="H304" i="1" s="1"/>
  <c r="T292" i="1"/>
  <c r="G304" i="1" s="1"/>
  <c r="S292" i="1"/>
  <c r="F304" i="1" s="1"/>
  <c r="U291" i="1"/>
  <c r="H303" i="1" s="1"/>
  <c r="T291" i="1"/>
  <c r="G303" i="1" s="1"/>
  <c r="S291" i="1"/>
  <c r="F303" i="1" s="1"/>
  <c r="U290" i="1"/>
  <c r="H302" i="1" s="1"/>
  <c r="T290" i="1"/>
  <c r="G302" i="1" s="1"/>
  <c r="S290" i="1"/>
  <c r="F302" i="1" s="1"/>
  <c r="U289" i="1"/>
  <c r="H301" i="1" s="1"/>
  <c r="T289" i="1"/>
  <c r="G301" i="1" s="1"/>
  <c r="S289" i="1"/>
  <c r="F301" i="1" s="1"/>
  <c r="U288" i="1"/>
  <c r="H300" i="1" s="1"/>
  <c r="T288" i="1"/>
  <c r="G300" i="1" s="1"/>
  <c r="S288" i="1"/>
  <c r="F300" i="1" s="1"/>
  <c r="U287" i="1"/>
  <c r="H299" i="1" s="1"/>
  <c r="T287" i="1"/>
  <c r="G299" i="1" s="1"/>
  <c r="S287" i="1"/>
  <c r="F299" i="1" s="1"/>
  <c r="U286" i="1"/>
  <c r="H298" i="1" s="1"/>
  <c r="T286" i="1"/>
  <c r="G298" i="1" s="1"/>
  <c r="S286" i="1"/>
  <c r="F298" i="1" s="1"/>
  <c r="U285" i="1"/>
  <c r="H297" i="1" s="1"/>
  <c r="T285" i="1"/>
  <c r="G297" i="1" s="1"/>
  <c r="S285" i="1"/>
  <c r="F297" i="1" s="1"/>
  <c r="U284" i="1"/>
  <c r="H296" i="1" s="1"/>
  <c r="T284" i="1"/>
  <c r="G296" i="1" s="1"/>
  <c r="S284" i="1"/>
  <c r="F296" i="1" s="1"/>
  <c r="X268" i="1" l="1"/>
  <c r="C84" i="4" s="1"/>
  <c r="S309" i="1"/>
  <c r="G347" i="1" s="1"/>
  <c r="W285" i="1"/>
  <c r="J297" i="1" s="1"/>
  <c r="W289" i="1"/>
  <c r="J301" i="1" s="1"/>
  <c r="W293" i="1"/>
  <c r="J305" i="1" s="1"/>
  <c r="W297" i="1"/>
  <c r="J309" i="1" s="1"/>
  <c r="T308" i="1"/>
  <c r="H346" i="1" s="1"/>
  <c r="S308" i="1"/>
  <c r="G346" i="1" s="1"/>
  <c r="T311" i="1"/>
  <c r="H349" i="1" s="1"/>
  <c r="W287" i="1"/>
  <c r="J299" i="1" s="1"/>
  <c r="W291" i="1"/>
  <c r="J303" i="1" s="1"/>
  <c r="W295" i="1"/>
  <c r="J307" i="1" s="1"/>
  <c r="W299" i="1"/>
  <c r="J311" i="1" s="1"/>
  <c r="T310" i="1"/>
  <c r="H348" i="1" s="1"/>
  <c r="S311" i="1"/>
  <c r="G349" i="1" s="1"/>
  <c r="U325" i="1"/>
  <c r="T309" i="1"/>
  <c r="H347" i="1" s="1"/>
  <c r="S310" i="1"/>
  <c r="G348" i="1" s="1"/>
  <c r="U324" i="1"/>
  <c r="U322" i="1"/>
  <c r="W286" i="1"/>
  <c r="J298" i="1" s="1"/>
  <c r="W288" i="1"/>
  <c r="J300" i="1" s="1"/>
  <c r="W290" i="1"/>
  <c r="J302" i="1" s="1"/>
  <c r="W292" i="1"/>
  <c r="J304" i="1" s="1"/>
  <c r="W294" i="1"/>
  <c r="J306" i="1" s="1"/>
  <c r="W296" i="1"/>
  <c r="J308" i="1" s="1"/>
  <c r="W298" i="1"/>
  <c r="J310" i="1" s="1"/>
  <c r="W284" i="1"/>
  <c r="J296" i="1" s="1"/>
  <c r="S244" i="1"/>
  <c r="G243" i="1" s="1"/>
  <c r="R244" i="1"/>
  <c r="F243" i="1" s="1"/>
  <c r="Q244" i="1"/>
  <c r="E243" i="1" s="1"/>
  <c r="P244" i="1"/>
  <c r="D243" i="1" s="1"/>
  <c r="A84" i="4" l="1"/>
  <c r="F84" i="4"/>
  <c r="B84" i="4"/>
  <c r="E84" i="4"/>
  <c r="R142" i="1" l="1"/>
  <c r="I148" i="1" s="1"/>
  <c r="F252" i="1" l="1"/>
  <c r="E252" i="1"/>
  <c r="D252" i="1"/>
  <c r="B76" i="4" l="1"/>
  <c r="C18" i="5"/>
  <c r="C12" i="5"/>
  <c r="M56" i="4"/>
  <c r="L56" i="4"/>
  <c r="M55" i="4"/>
  <c r="L55" i="4"/>
  <c r="M54" i="4"/>
  <c r="L54" i="4"/>
  <c r="M53" i="4"/>
  <c r="L53" i="4"/>
  <c r="U381" i="1"/>
  <c r="I386" i="1" s="1"/>
  <c r="T381" i="1"/>
  <c r="I30" i="8" s="1"/>
  <c r="U380" i="1"/>
  <c r="I385" i="1" s="1"/>
  <c r="T380" i="1"/>
  <c r="G30" i="8" s="1"/>
  <c r="S372" i="1"/>
  <c r="J399" i="1" s="1"/>
  <c r="R372" i="1"/>
  <c r="I399" i="1" s="1"/>
  <c r="Q372" i="1"/>
  <c r="H399" i="1" s="1"/>
  <c r="R356" i="1"/>
  <c r="Q356" i="1"/>
  <c r="E398" i="1" s="1"/>
  <c r="R355" i="1"/>
  <c r="U354" i="1"/>
  <c r="R354" i="1"/>
  <c r="V353" i="1"/>
  <c r="R353" i="1"/>
  <c r="V352" i="1"/>
  <c r="R352" i="1"/>
  <c r="V351" i="1"/>
  <c r="R351" i="1"/>
  <c r="R344" i="1"/>
  <c r="Q344" i="1"/>
  <c r="V343" i="1"/>
  <c r="U343" i="1"/>
  <c r="U342" i="1"/>
  <c r="T342" i="1"/>
  <c r="S342" i="1"/>
  <c r="Q342" i="1"/>
  <c r="E370" i="1"/>
  <c r="O328" i="1"/>
  <c r="I367" i="1" s="1"/>
  <c r="D370" i="1"/>
  <c r="P325" i="1"/>
  <c r="D369" i="1"/>
  <c r="P324" i="1"/>
  <c r="P323" i="1"/>
  <c r="C368" i="1" s="1"/>
  <c r="P322" i="1"/>
  <c r="S320" i="1"/>
  <c r="F364" i="1" s="1"/>
  <c r="Q320" i="1"/>
  <c r="D364" i="1" s="1"/>
  <c r="T315" i="1"/>
  <c r="S315" i="1"/>
  <c r="P311" i="1"/>
  <c r="D349" i="1" s="1"/>
  <c r="P310" i="1"/>
  <c r="D348" i="1" s="1"/>
  <c r="P309" i="1"/>
  <c r="D347" i="1" s="1"/>
  <c r="P308" i="1"/>
  <c r="D346" i="1" s="1"/>
  <c r="S305" i="1"/>
  <c r="G343" i="1" s="1"/>
  <c r="Q305" i="1"/>
  <c r="E343" i="1" s="1"/>
  <c r="R299" i="1"/>
  <c r="E311" i="1" s="1"/>
  <c r="Q299" i="1"/>
  <c r="D311" i="1" s="1"/>
  <c r="R298" i="1"/>
  <c r="E310" i="1" s="1"/>
  <c r="Q298" i="1"/>
  <c r="D310" i="1" s="1"/>
  <c r="R297" i="1"/>
  <c r="E309" i="1" s="1"/>
  <c r="Q297" i="1"/>
  <c r="D309" i="1" s="1"/>
  <c r="R296" i="1"/>
  <c r="E308" i="1" s="1"/>
  <c r="Q296" i="1"/>
  <c r="D308" i="1" s="1"/>
  <c r="R295" i="1"/>
  <c r="E307" i="1" s="1"/>
  <c r="Q295" i="1"/>
  <c r="D307" i="1" s="1"/>
  <c r="P295" i="1"/>
  <c r="R294" i="1"/>
  <c r="Q294" i="1"/>
  <c r="D306" i="1" s="1"/>
  <c r="R293" i="1"/>
  <c r="Q293" i="1"/>
  <c r="D305" i="1" s="1"/>
  <c r="R292" i="1"/>
  <c r="E304" i="1" s="1"/>
  <c r="Q292" i="1"/>
  <c r="D304" i="1" s="1"/>
  <c r="R291" i="1"/>
  <c r="E303" i="1" s="1"/>
  <c r="Q291" i="1"/>
  <c r="D303" i="1" s="1"/>
  <c r="R290" i="1"/>
  <c r="E302" i="1" s="1"/>
  <c r="Q290" i="1"/>
  <c r="D302" i="1" s="1"/>
  <c r="P290" i="1"/>
  <c r="M290" i="1"/>
  <c r="R289" i="1"/>
  <c r="E301" i="1" s="1"/>
  <c r="Q289" i="1"/>
  <c r="D301" i="1" s="1"/>
  <c r="M289" i="1"/>
  <c r="R288" i="1"/>
  <c r="E300" i="1" s="1"/>
  <c r="Q288" i="1"/>
  <c r="D300" i="1" s="1"/>
  <c r="R287" i="1"/>
  <c r="E299" i="1" s="1"/>
  <c r="Q287" i="1"/>
  <c r="D299" i="1" s="1"/>
  <c r="R286" i="1"/>
  <c r="E298" i="1" s="1"/>
  <c r="Q286" i="1"/>
  <c r="D298" i="1" s="1"/>
  <c r="M401" i="1"/>
  <c r="L401" i="1"/>
  <c r="E401" i="1"/>
  <c r="R285" i="1"/>
  <c r="E297" i="1" s="1"/>
  <c r="Q285" i="1"/>
  <c r="M400" i="1"/>
  <c r="L400" i="1"/>
  <c r="E400" i="1"/>
  <c r="R284" i="1"/>
  <c r="Q284" i="1"/>
  <c r="D296" i="1" s="1"/>
  <c r="P284" i="1"/>
  <c r="M399" i="1"/>
  <c r="L399" i="1"/>
  <c r="E399" i="1"/>
  <c r="M398" i="1"/>
  <c r="M397" i="1"/>
  <c r="L397" i="1"/>
  <c r="E397" i="1"/>
  <c r="M396" i="1"/>
  <c r="L396" i="1"/>
  <c r="E396" i="1"/>
  <c r="M395" i="1"/>
  <c r="L395" i="1"/>
  <c r="E395" i="1"/>
  <c r="M394" i="1"/>
  <c r="E394" i="1"/>
  <c r="E393" i="1"/>
  <c r="S273" i="1"/>
  <c r="F272" i="1" s="1"/>
  <c r="R273" i="1"/>
  <c r="Q273" i="1"/>
  <c r="Q274" i="1" s="1"/>
  <c r="D273" i="1" s="1"/>
  <c r="X272" i="1"/>
  <c r="K271" i="1" s="1"/>
  <c r="T272" i="1"/>
  <c r="E387" i="1"/>
  <c r="T271" i="1"/>
  <c r="G270" i="1" s="1"/>
  <c r="E386" i="1"/>
  <c r="T270" i="1"/>
  <c r="G269" i="1" s="1"/>
  <c r="E385" i="1"/>
  <c r="T269" i="1"/>
  <c r="E384" i="1"/>
  <c r="G271" i="1"/>
  <c r="F271" i="1"/>
  <c r="E271" i="1"/>
  <c r="D271" i="1"/>
  <c r="F270" i="1"/>
  <c r="E270" i="1"/>
  <c r="D270" i="1"/>
  <c r="F269" i="1"/>
  <c r="E269" i="1"/>
  <c r="D269" i="1"/>
  <c r="S259" i="1"/>
  <c r="R259" i="1"/>
  <c r="Q259" i="1"/>
  <c r="F268" i="1"/>
  <c r="E268" i="1"/>
  <c r="D268" i="1"/>
  <c r="U257" i="1"/>
  <c r="H256" i="1" s="1"/>
  <c r="G265" i="1"/>
  <c r="D265" i="1"/>
  <c r="G264" i="1"/>
  <c r="D264" i="1"/>
  <c r="S243" i="1"/>
  <c r="R243" i="1"/>
  <c r="F242" i="1" s="1"/>
  <c r="Q243" i="1"/>
  <c r="E242" i="1" s="1"/>
  <c r="P243" i="1"/>
  <c r="D242" i="1" s="1"/>
  <c r="U242" i="1"/>
  <c r="I241" i="1" s="1"/>
  <c r="T242" i="1"/>
  <c r="H241" i="1" s="1"/>
  <c r="U241" i="1"/>
  <c r="I240" i="1" s="1"/>
  <c r="T241" i="1"/>
  <c r="H240" i="1" s="1"/>
  <c r="U240" i="1"/>
  <c r="I239" i="1" s="1"/>
  <c r="T240" i="1"/>
  <c r="H239" i="1" s="1"/>
  <c r="U239" i="1"/>
  <c r="I238" i="1" s="1"/>
  <c r="T239" i="1"/>
  <c r="H238" i="1" s="1"/>
  <c r="U238" i="1"/>
  <c r="I237" i="1" s="1"/>
  <c r="T238" i="1"/>
  <c r="H237" i="1" s="1"/>
  <c r="C223" i="1"/>
  <c r="G220" i="1"/>
  <c r="D220" i="1"/>
  <c r="X225" i="1"/>
  <c r="K224" i="1" s="1"/>
  <c r="X224" i="1"/>
  <c r="K223" i="1" s="1"/>
  <c r="M218" i="1"/>
  <c r="M217" i="1"/>
  <c r="D215" i="1"/>
  <c r="D208" i="1"/>
  <c r="D207" i="1"/>
  <c r="D206" i="1"/>
  <c r="R217" i="1"/>
  <c r="Q217" i="1"/>
  <c r="D205" i="1"/>
  <c r="D204" i="1"/>
  <c r="W204" i="1"/>
  <c r="V204" i="1"/>
  <c r="U204" i="1"/>
  <c r="S204" i="1"/>
  <c r="R204" i="1"/>
  <c r="Q204" i="1"/>
  <c r="W203" i="1"/>
  <c r="V203" i="1"/>
  <c r="U203" i="1"/>
  <c r="S203" i="1"/>
  <c r="R203" i="1"/>
  <c r="Q203" i="1"/>
  <c r="G181" i="1"/>
  <c r="F181" i="1"/>
  <c r="E181" i="1"/>
  <c r="D181" i="1"/>
  <c r="W189" i="1"/>
  <c r="V189" i="1"/>
  <c r="U189" i="1"/>
  <c r="S189" i="1"/>
  <c r="R189" i="1"/>
  <c r="Q189" i="1"/>
  <c r="W188" i="1"/>
  <c r="V188" i="1"/>
  <c r="U188" i="1"/>
  <c r="S188" i="1"/>
  <c r="R188" i="1"/>
  <c r="Q188" i="1"/>
  <c r="D174" i="1"/>
  <c r="H172" i="1"/>
  <c r="F171" i="1"/>
  <c r="E171" i="1"/>
  <c r="D171" i="1"/>
  <c r="H171" i="1"/>
  <c r="F170" i="1"/>
  <c r="E170" i="1"/>
  <c r="D170" i="1"/>
  <c r="H170" i="1"/>
  <c r="F169" i="1"/>
  <c r="E169" i="1"/>
  <c r="D169" i="1"/>
  <c r="H169" i="1"/>
  <c r="F168" i="1"/>
  <c r="E168" i="1"/>
  <c r="D168" i="1"/>
  <c r="H168" i="1"/>
  <c r="F167" i="1"/>
  <c r="E167" i="1"/>
  <c r="D167" i="1"/>
  <c r="H167" i="1"/>
  <c r="F166" i="1"/>
  <c r="E166" i="1"/>
  <c r="D166" i="1"/>
  <c r="H166" i="1"/>
  <c r="F165" i="1"/>
  <c r="E165" i="1"/>
  <c r="D165" i="1"/>
  <c r="H165" i="1"/>
  <c r="U175" i="1"/>
  <c r="I181" i="1" s="1"/>
  <c r="D162" i="1"/>
  <c r="D161" i="1"/>
  <c r="D160" i="1"/>
  <c r="D159" i="1"/>
  <c r="D158" i="1"/>
  <c r="D157" i="1"/>
  <c r="D156" i="1"/>
  <c r="Q168" i="1"/>
  <c r="E175" i="1" s="1"/>
  <c r="L155" i="1"/>
  <c r="J155" i="1"/>
  <c r="D155" i="1"/>
  <c r="L154" i="1"/>
  <c r="J154" i="1"/>
  <c r="M146" i="1"/>
  <c r="M145" i="1"/>
  <c r="R154" i="1"/>
  <c r="E162" i="1" s="1"/>
  <c r="R153" i="1"/>
  <c r="E161" i="1" s="1"/>
  <c r="R152" i="1"/>
  <c r="E160" i="1" s="1"/>
  <c r="R151" i="1"/>
  <c r="E159" i="1" s="1"/>
  <c r="T150" i="1"/>
  <c r="J158" i="1" s="1"/>
  <c r="R150" i="1"/>
  <c r="T149" i="1"/>
  <c r="J157" i="1" s="1"/>
  <c r="R149" i="1"/>
  <c r="E157" i="1" s="1"/>
  <c r="R148" i="1"/>
  <c r="E156" i="1" s="1"/>
  <c r="R147" i="1"/>
  <c r="X127" i="1"/>
  <c r="AD83" i="1" s="1"/>
  <c r="W127" i="1"/>
  <c r="K41" i="1" s="1"/>
  <c r="V127" i="1"/>
  <c r="U127" i="1"/>
  <c r="I41" i="1" s="1"/>
  <c r="T127" i="1"/>
  <c r="AD69" i="1" s="1"/>
  <c r="S127" i="1"/>
  <c r="R127" i="1"/>
  <c r="F41" i="1" s="1"/>
  <c r="Q127" i="1"/>
  <c r="E41" i="1" s="1"/>
  <c r="P127" i="1"/>
  <c r="D41" i="1" s="1"/>
  <c r="X126" i="1"/>
  <c r="W126" i="1"/>
  <c r="AD79" i="1" s="1"/>
  <c r="V126" i="1"/>
  <c r="J40" i="1" s="1"/>
  <c r="U126" i="1"/>
  <c r="T126" i="1"/>
  <c r="H40" i="1" s="1"/>
  <c r="S126" i="1"/>
  <c r="AD65" i="1" s="1"/>
  <c r="R126" i="1"/>
  <c r="AD54" i="1" s="1"/>
  <c r="Q126" i="1"/>
  <c r="AD53" i="1" s="1"/>
  <c r="P126" i="1"/>
  <c r="X125" i="1"/>
  <c r="AD77" i="1" s="1"/>
  <c r="W125" i="1"/>
  <c r="AD76" i="1" s="1"/>
  <c r="V125" i="1"/>
  <c r="AD75" i="1" s="1"/>
  <c r="U125" i="1"/>
  <c r="AD64" i="1" s="1"/>
  <c r="T125" i="1"/>
  <c r="AD63" i="1" s="1"/>
  <c r="S125" i="1"/>
  <c r="G39" i="1" s="1"/>
  <c r="R125" i="1"/>
  <c r="AD51" i="1" s="1"/>
  <c r="Q125" i="1"/>
  <c r="AD50" i="1" s="1"/>
  <c r="P125" i="1"/>
  <c r="D39" i="1" s="1"/>
  <c r="M107" i="1"/>
  <c r="L107" i="1"/>
  <c r="AD102" i="1"/>
  <c r="X124" i="1"/>
  <c r="L38" i="1" s="1"/>
  <c r="W124" i="1"/>
  <c r="AD73" i="1" s="1"/>
  <c r="V124" i="1"/>
  <c r="U124" i="1"/>
  <c r="AD61" i="1" s="1"/>
  <c r="T124" i="1"/>
  <c r="H38" i="1" s="1"/>
  <c r="S124" i="1"/>
  <c r="G38" i="1" s="1"/>
  <c r="R124" i="1"/>
  <c r="Q124" i="1"/>
  <c r="AD47" i="1" s="1"/>
  <c r="P124" i="1"/>
  <c r="D38" i="1" s="1"/>
  <c r="M106" i="1"/>
  <c r="L106" i="1"/>
  <c r="AD101" i="1"/>
  <c r="M105" i="1"/>
  <c r="L105" i="1"/>
  <c r="M104" i="1"/>
  <c r="L104" i="1"/>
  <c r="AD99" i="1"/>
  <c r="M103" i="1"/>
  <c r="L103" i="1"/>
  <c r="AD98" i="1"/>
  <c r="M102" i="1"/>
  <c r="L102" i="1"/>
  <c r="AD97" i="1"/>
  <c r="M101" i="1"/>
  <c r="L101" i="1"/>
  <c r="M100" i="1"/>
  <c r="L100" i="1"/>
  <c r="AD95" i="1"/>
  <c r="M99" i="1"/>
  <c r="L99" i="1"/>
  <c r="AD94" i="1"/>
  <c r="M98" i="1"/>
  <c r="L98" i="1"/>
  <c r="AD93" i="1"/>
  <c r="M97" i="1"/>
  <c r="L97" i="1"/>
  <c r="AD92" i="1"/>
  <c r="M96" i="1"/>
  <c r="L96" i="1"/>
  <c r="AD91" i="1"/>
  <c r="M95" i="1"/>
  <c r="L95" i="1"/>
  <c r="M94" i="1"/>
  <c r="L94" i="1"/>
  <c r="M93" i="1"/>
  <c r="L93" i="1"/>
  <c r="M92" i="1"/>
  <c r="L92" i="1"/>
  <c r="M91" i="1"/>
  <c r="L91" i="1"/>
  <c r="M90" i="1"/>
  <c r="L90" i="1"/>
  <c r="M89" i="1"/>
  <c r="L89" i="1"/>
  <c r="AD82" i="1"/>
  <c r="M88" i="1"/>
  <c r="L88" i="1"/>
  <c r="M87" i="1"/>
  <c r="L87" i="1"/>
  <c r="M86" i="1"/>
  <c r="L86" i="1"/>
  <c r="M85" i="1"/>
  <c r="L85" i="1"/>
  <c r="M84" i="1"/>
  <c r="L84" i="1"/>
  <c r="M83" i="1"/>
  <c r="L83" i="1"/>
  <c r="M82" i="1"/>
  <c r="L82" i="1"/>
  <c r="M81" i="1"/>
  <c r="L81" i="1"/>
  <c r="M80" i="1"/>
  <c r="L80" i="1"/>
  <c r="M79" i="1"/>
  <c r="L79" i="1"/>
  <c r="M78" i="1"/>
  <c r="L78" i="1"/>
  <c r="M77" i="1"/>
  <c r="L77" i="1"/>
  <c r="M76" i="1"/>
  <c r="L76" i="1"/>
  <c r="AD68" i="1"/>
  <c r="M74" i="1"/>
  <c r="AD67" i="1"/>
  <c r="M73" i="1"/>
  <c r="M63" i="1"/>
  <c r="L63" i="1"/>
  <c r="M62" i="1"/>
  <c r="L62" i="1"/>
  <c r="M61" i="1"/>
  <c r="L61" i="1"/>
  <c r="M60" i="1"/>
  <c r="L60" i="1"/>
  <c r="M59" i="1"/>
  <c r="L59" i="1"/>
  <c r="M58" i="1"/>
  <c r="L58" i="1"/>
  <c r="M57" i="1"/>
  <c r="L57" i="1"/>
  <c r="M56" i="1"/>
  <c r="L56" i="1"/>
  <c r="AD55" i="1"/>
  <c r="M55" i="1"/>
  <c r="L55" i="1"/>
  <c r="M54" i="1"/>
  <c r="L54" i="1"/>
  <c r="M53" i="1"/>
  <c r="L53" i="1"/>
  <c r="M52" i="1"/>
  <c r="L52" i="1"/>
  <c r="M51" i="1"/>
  <c r="L51" i="1"/>
  <c r="M49" i="1"/>
  <c r="L49" i="1"/>
  <c r="M48" i="1"/>
  <c r="L48" i="1"/>
  <c r="M47" i="1"/>
  <c r="L47" i="1"/>
  <c r="M46" i="1"/>
  <c r="L46" i="1"/>
  <c r="M45" i="1"/>
  <c r="L45" i="1"/>
  <c r="G41" i="1"/>
  <c r="I40" i="1"/>
  <c r="E40" i="1"/>
  <c r="L39" i="1"/>
  <c r="I39" i="1"/>
  <c r="H39" i="1"/>
  <c r="I38" i="1"/>
  <c r="V33" i="1"/>
  <c r="AD43" i="1" s="1"/>
  <c r="AC43" i="1" s="1"/>
  <c r="V32" i="1"/>
  <c r="AD42" i="1" s="1"/>
  <c r="AC42" i="1" s="1"/>
  <c r="R31" i="1"/>
  <c r="R30" i="1"/>
  <c r="F29" i="1" s="1"/>
  <c r="V29" i="1"/>
  <c r="AD37" i="1" s="1"/>
  <c r="AC37" i="1" s="1"/>
  <c r="R29" i="1"/>
  <c r="AD33" i="1" s="1"/>
  <c r="AC33" i="1" s="1"/>
  <c r="V28" i="1"/>
  <c r="AD36" i="1" s="1"/>
  <c r="AC36" i="1" s="1"/>
  <c r="R27" i="1"/>
  <c r="AD32" i="1" s="1"/>
  <c r="AC32" i="1" s="1"/>
  <c r="R26" i="1"/>
  <c r="AD31" i="1" s="1"/>
  <c r="AC31" i="1" s="1"/>
  <c r="V25" i="1"/>
  <c r="AD41" i="1" s="1"/>
  <c r="AC41" i="1" s="1"/>
  <c r="R25" i="1"/>
  <c r="AD30" i="1" s="1"/>
  <c r="AC30" i="1" s="1"/>
  <c r="V24" i="1"/>
  <c r="AD40" i="1" s="1"/>
  <c r="AC40" i="1" s="1"/>
  <c r="R23" i="1"/>
  <c r="F22" i="1" s="1"/>
  <c r="V22" i="1"/>
  <c r="K22" i="1" s="1"/>
  <c r="R22" i="1"/>
  <c r="AD28" i="1" s="1"/>
  <c r="AC28" i="1" s="1"/>
  <c r="V21" i="1"/>
  <c r="AD38" i="1" s="1"/>
  <c r="AC38" i="1" s="1"/>
  <c r="V19" i="1"/>
  <c r="AD26" i="1" s="1"/>
  <c r="AC26" i="1" s="1"/>
  <c r="R19" i="1"/>
  <c r="V18" i="1"/>
  <c r="K17" i="1" s="1"/>
  <c r="R18" i="1"/>
  <c r="V17" i="1"/>
  <c r="AD24" i="1" s="1"/>
  <c r="AC24" i="1" s="1"/>
  <c r="R17" i="1"/>
  <c r="F16" i="1" s="1"/>
  <c r="V14" i="1"/>
  <c r="AD19" i="1" s="1"/>
  <c r="AC19" i="1" s="1"/>
  <c r="R14" i="1"/>
  <c r="V13" i="1"/>
  <c r="K13" i="1" s="1"/>
  <c r="R13" i="1"/>
  <c r="M432" i="1" s="1"/>
  <c r="V12" i="1"/>
  <c r="R12" i="1"/>
  <c r="F12" i="1" s="1"/>
  <c r="V11" i="1"/>
  <c r="AD16" i="1" s="1"/>
  <c r="AC16" i="1" s="1"/>
  <c r="R11" i="1"/>
  <c r="AD11" i="1" s="1"/>
  <c r="AC11" i="1" s="1"/>
  <c r="V10" i="1"/>
  <c r="AD15" i="1" s="1"/>
  <c r="AC15" i="1" s="1"/>
  <c r="R10" i="1"/>
  <c r="C4" i="8" s="1"/>
  <c r="AD8" i="1"/>
  <c r="AC8" i="1" s="1"/>
  <c r="P8" i="1"/>
  <c r="AD7" i="1"/>
  <c r="AC7" i="1" s="1"/>
  <c r="X7" i="1"/>
  <c r="AA3" i="1"/>
  <c r="AD17" i="1" l="1"/>
  <c r="AC17" i="1" s="1"/>
  <c r="E8" i="8"/>
  <c r="L8" i="8"/>
  <c r="D432" i="1"/>
  <c r="AD22" i="1"/>
  <c r="AC22" i="1" s="1"/>
  <c r="L7" i="8"/>
  <c r="AD62" i="1"/>
  <c r="AD59" i="1"/>
  <c r="AD60" i="1"/>
  <c r="H196" i="1"/>
  <c r="H197" i="1"/>
  <c r="V284" i="1"/>
  <c r="E296" i="1"/>
  <c r="B64" i="4"/>
  <c r="D297" i="1"/>
  <c r="V294" i="1"/>
  <c r="E306" i="1"/>
  <c r="AD74" i="1"/>
  <c r="A63" i="4"/>
  <c r="D70" i="4" s="1"/>
  <c r="C296" i="1"/>
  <c r="I63" i="4"/>
  <c r="F70" i="4" s="1"/>
  <c r="C307" i="1"/>
  <c r="E63" i="4"/>
  <c r="E70" i="4" s="1"/>
  <c r="C302" i="1"/>
  <c r="V293" i="1"/>
  <c r="E305" i="1"/>
  <c r="S245" i="1"/>
  <c r="G244" i="1" s="1"/>
  <c r="G242" i="1"/>
  <c r="M215" i="1"/>
  <c r="M359" i="1"/>
  <c r="M287" i="1"/>
  <c r="M71" i="1"/>
  <c r="M143" i="1"/>
  <c r="D360" i="1"/>
  <c r="D288" i="1"/>
  <c r="D72" i="1"/>
  <c r="D144" i="1"/>
  <c r="U256" i="1"/>
  <c r="H255" i="1" s="1"/>
  <c r="D258" i="1"/>
  <c r="K38" i="1"/>
  <c r="K39" i="1"/>
  <c r="AD78" i="1"/>
  <c r="H205" i="1"/>
  <c r="V253" i="1"/>
  <c r="I252" i="1" s="1"/>
  <c r="E258" i="1"/>
  <c r="M360" i="1"/>
  <c r="M72" i="1"/>
  <c r="M144" i="1"/>
  <c r="M288" i="1"/>
  <c r="W253" i="1"/>
  <c r="J252" i="1" s="1"/>
  <c r="F258" i="1"/>
  <c r="J39" i="1"/>
  <c r="X284" i="1"/>
  <c r="K296" i="1" s="1"/>
  <c r="B63" i="4"/>
  <c r="C63" i="4" s="1"/>
  <c r="X286" i="1"/>
  <c r="K298" i="1" s="1"/>
  <c r="B65" i="4"/>
  <c r="C65" i="4" s="1"/>
  <c r="X287" i="1"/>
  <c r="K299" i="1" s="1"/>
  <c r="B66" i="4"/>
  <c r="C66" i="4" s="1"/>
  <c r="X290" i="1"/>
  <c r="K302" i="1" s="1"/>
  <c r="F63" i="4"/>
  <c r="G63" i="4" s="1"/>
  <c r="X294" i="1"/>
  <c r="K306" i="1" s="1"/>
  <c r="F67" i="4"/>
  <c r="G67" i="4" s="1"/>
  <c r="X299" i="1"/>
  <c r="K311" i="1" s="1"/>
  <c r="J67" i="4"/>
  <c r="K67" i="4" s="1"/>
  <c r="X293" i="1"/>
  <c r="K305" i="1" s="1"/>
  <c r="F66" i="4"/>
  <c r="G66" i="4" s="1"/>
  <c r="X298" i="1"/>
  <c r="K310" i="1" s="1"/>
  <c r="J66" i="4"/>
  <c r="K66" i="4" s="1"/>
  <c r="X291" i="1"/>
  <c r="K303" i="1" s="1"/>
  <c r="F64" i="4"/>
  <c r="G64" i="4" s="1"/>
  <c r="X292" i="1"/>
  <c r="K304" i="1" s="1"/>
  <c r="F65" i="4"/>
  <c r="G65" i="4" s="1"/>
  <c r="X297" i="1"/>
  <c r="K309" i="1" s="1"/>
  <c r="J65" i="4"/>
  <c r="K65" i="4" s="1"/>
  <c r="U345" i="1"/>
  <c r="X288" i="1"/>
  <c r="K300" i="1" s="1"/>
  <c r="B67" i="4"/>
  <c r="C67" i="4" s="1"/>
  <c r="X289" i="1"/>
  <c r="K301" i="1" s="1"/>
  <c r="B68" i="4"/>
  <c r="C68" i="4" s="1"/>
  <c r="X295" i="1"/>
  <c r="K307" i="1" s="1"/>
  <c r="J63" i="4"/>
  <c r="K63" i="4" s="1"/>
  <c r="X296" i="1"/>
  <c r="K308" i="1" s="1"/>
  <c r="J64" i="4"/>
  <c r="K64" i="4" s="1"/>
  <c r="V345" i="1"/>
  <c r="D80" i="4"/>
  <c r="F24" i="1"/>
  <c r="AD116" i="1"/>
  <c r="U254" i="1"/>
  <c r="H253" i="1" s="1"/>
  <c r="AD13" i="1"/>
  <c r="AC13" i="1" s="1"/>
  <c r="F13" i="1"/>
  <c r="K21" i="1"/>
  <c r="K23" i="1"/>
  <c r="K24" i="1"/>
  <c r="H41" i="1"/>
  <c r="F40" i="1"/>
  <c r="K40" i="1"/>
  <c r="AD70" i="1"/>
  <c r="G40" i="1"/>
  <c r="AD66" i="1"/>
  <c r="K28" i="1"/>
  <c r="W255" i="1"/>
  <c r="J254" i="1" s="1"/>
  <c r="W256" i="1"/>
  <c r="J255" i="1" s="1"/>
  <c r="F25" i="1"/>
  <c r="V285" i="1"/>
  <c r="C64" i="4"/>
  <c r="V286" i="1"/>
  <c r="V295" i="1"/>
  <c r="C367" i="1"/>
  <c r="T322" i="1"/>
  <c r="F367" i="1" s="1"/>
  <c r="V287" i="1"/>
  <c r="V288" i="1"/>
  <c r="V290" i="1"/>
  <c r="V291" i="1"/>
  <c r="V296" i="1"/>
  <c r="I308" i="1" s="1"/>
  <c r="V297" i="1"/>
  <c r="V298" i="1"/>
  <c r="V299" i="1"/>
  <c r="V380" i="1"/>
  <c r="J385" i="1" s="1"/>
  <c r="F26" i="1"/>
  <c r="V292" i="1"/>
  <c r="C370" i="1"/>
  <c r="T325" i="1"/>
  <c r="F370" i="1" s="1"/>
  <c r="AD9" i="1"/>
  <c r="AC9" i="1" s="1"/>
  <c r="K29" i="1"/>
  <c r="X285" i="1"/>
  <c r="K297" i="1" s="1"/>
  <c r="V289" i="1"/>
  <c r="C369" i="1"/>
  <c r="T324" i="1"/>
  <c r="F369" i="1" s="1"/>
  <c r="V381" i="1"/>
  <c r="J386" i="1" s="1"/>
  <c r="AD96" i="1"/>
  <c r="F39" i="1"/>
  <c r="E39" i="1"/>
  <c r="E38" i="1"/>
  <c r="AD49" i="1"/>
  <c r="AD46" i="1"/>
  <c r="K30" i="1"/>
  <c r="G367" i="1"/>
  <c r="P313" i="1"/>
  <c r="D351" i="1" s="1"/>
  <c r="X238" i="1"/>
  <c r="K237" i="1" s="1"/>
  <c r="X242" i="1"/>
  <c r="K241" i="1" s="1"/>
  <c r="X240" i="1"/>
  <c r="K239" i="1" s="1"/>
  <c r="X241" i="1"/>
  <c r="K240" i="1" s="1"/>
  <c r="X239" i="1"/>
  <c r="K238" i="1" s="1"/>
  <c r="T244" i="1"/>
  <c r="H243" i="1" s="1"/>
  <c r="U244" i="1"/>
  <c r="I243" i="1" s="1"/>
  <c r="T273" i="1"/>
  <c r="T274" i="1" s="1"/>
  <c r="G273" i="1" s="1"/>
  <c r="AD117" i="1"/>
  <c r="H385" i="1"/>
  <c r="H386" i="1"/>
  <c r="G268" i="1"/>
  <c r="D272" i="1"/>
  <c r="E158" i="1"/>
  <c r="S156" i="1"/>
  <c r="J156" i="1" s="1"/>
  <c r="W257" i="1"/>
  <c r="J256" i="1" s="1"/>
  <c r="W254" i="1"/>
  <c r="J253" i="1" s="1"/>
  <c r="V257" i="1"/>
  <c r="I256" i="1" s="1"/>
  <c r="V256" i="1"/>
  <c r="I255" i="1" s="1"/>
  <c r="V255" i="1"/>
  <c r="I254" i="1" s="1"/>
  <c r="V254" i="1"/>
  <c r="I253" i="1" s="1"/>
  <c r="U253" i="1"/>
  <c r="H252" i="1" s="1"/>
  <c r="U255" i="1"/>
  <c r="H254" i="1" s="1"/>
  <c r="K27" i="1"/>
  <c r="AD34" i="1"/>
  <c r="AC34" i="1" s="1"/>
  <c r="F28" i="1"/>
  <c r="AD29" i="1"/>
  <c r="AC29" i="1" s="1"/>
  <c r="F21" i="1"/>
  <c r="AD25" i="1"/>
  <c r="AC25" i="1" s="1"/>
  <c r="K18" i="1"/>
  <c r="K12" i="1"/>
  <c r="K11" i="1"/>
  <c r="AD14" i="1"/>
  <c r="AC14" i="1" s="1"/>
  <c r="E367" i="1"/>
  <c r="Q312" i="1"/>
  <c r="Q345" i="1"/>
  <c r="F11" i="1"/>
  <c r="AD12" i="1"/>
  <c r="AC12" i="1" s="1"/>
  <c r="AD21" i="1"/>
  <c r="AC21" i="1" s="1"/>
  <c r="M216" i="1"/>
  <c r="T243" i="1"/>
  <c r="P245" i="1"/>
  <c r="D244" i="1" s="1"/>
  <c r="G369" i="1"/>
  <c r="E369" i="1"/>
  <c r="AD39" i="1"/>
  <c r="AC39" i="1" s="1"/>
  <c r="Q245" i="1"/>
  <c r="E244" i="1" s="1"/>
  <c r="D367" i="1"/>
  <c r="K16" i="1"/>
  <c r="D216" i="1"/>
  <c r="S274" i="1"/>
  <c r="F273" i="1" s="1"/>
  <c r="Q313" i="1"/>
  <c r="E351" i="1" s="1"/>
  <c r="P312" i="1"/>
  <c r="D350" i="1" s="1"/>
  <c r="V342" i="1"/>
  <c r="F10" i="1"/>
  <c r="AD10" i="1"/>
  <c r="AC10" i="1" s="1"/>
  <c r="AD18" i="1"/>
  <c r="AC18" i="1" s="1"/>
  <c r="AD48" i="1"/>
  <c r="F38" i="1"/>
  <c r="AD72" i="1"/>
  <c r="J38" i="1"/>
  <c r="D40" i="1"/>
  <c r="AD52" i="1"/>
  <c r="AD80" i="1"/>
  <c r="L40" i="1"/>
  <c r="AD81" i="1"/>
  <c r="J41" i="1"/>
  <c r="F30" i="1"/>
  <c r="AD35" i="1"/>
  <c r="AC35" i="1" s="1"/>
  <c r="X226" i="1"/>
  <c r="K225" i="1" s="1"/>
  <c r="V231" i="1"/>
  <c r="U224" i="1"/>
  <c r="H223" i="1" s="1"/>
  <c r="U227" i="1"/>
  <c r="H226" i="1" s="1"/>
  <c r="U226" i="1"/>
  <c r="H225" i="1" s="1"/>
  <c r="U225" i="1"/>
  <c r="H224" i="1" s="1"/>
  <c r="U243" i="1"/>
  <c r="I242" i="1" s="1"/>
  <c r="R245" i="1"/>
  <c r="F244" i="1" s="1"/>
  <c r="R274" i="1"/>
  <c r="E273" i="1" s="1"/>
  <c r="E272" i="1"/>
  <c r="R345" i="1"/>
  <c r="R312" i="1"/>
  <c r="G370" i="1"/>
  <c r="AD23" i="1"/>
  <c r="AC23" i="1" s="1"/>
  <c r="F18" i="1"/>
  <c r="E155" i="1"/>
  <c r="E174" i="1"/>
  <c r="E176" i="1"/>
  <c r="K10" i="1"/>
  <c r="F17" i="1"/>
  <c r="L41" i="1"/>
  <c r="R313" i="1"/>
  <c r="F351" i="1" s="1"/>
  <c r="R342" i="1"/>
  <c r="R323" i="1" l="1"/>
  <c r="E350" i="1"/>
  <c r="D68" i="4"/>
  <c r="I301" i="1"/>
  <c r="L65" i="4"/>
  <c r="I309" i="1"/>
  <c r="D67" i="4"/>
  <c r="I300" i="1"/>
  <c r="L63" i="4"/>
  <c r="I307" i="1"/>
  <c r="H67" i="4"/>
  <c r="I306" i="1"/>
  <c r="D63" i="4"/>
  <c r="I296" i="1"/>
  <c r="D66" i="4"/>
  <c r="I299" i="1"/>
  <c r="D65" i="4"/>
  <c r="I298" i="1"/>
  <c r="S323" i="1"/>
  <c r="F350" i="1"/>
  <c r="H65" i="4"/>
  <c r="I304" i="1"/>
  <c r="L67" i="4"/>
  <c r="I311" i="1"/>
  <c r="H64" i="4"/>
  <c r="I303" i="1"/>
  <c r="L66" i="4"/>
  <c r="I310" i="1"/>
  <c r="H63" i="4"/>
  <c r="I302" i="1"/>
  <c r="D64" i="4"/>
  <c r="I297" i="1"/>
  <c r="H66" i="4"/>
  <c r="E71" i="4" s="1"/>
  <c r="I305" i="1"/>
  <c r="Y241" i="1"/>
  <c r="L240" i="1" s="1"/>
  <c r="H242" i="1"/>
  <c r="V240" i="1"/>
  <c r="J239" i="1" s="1"/>
  <c r="L64" i="4"/>
  <c r="S345" i="1"/>
  <c r="G272" i="1"/>
  <c r="V238" i="1"/>
  <c r="J237" i="1" s="1"/>
  <c r="V241" i="1"/>
  <c r="J240" i="1" s="1"/>
  <c r="V239" i="1"/>
  <c r="J238" i="1" s="1"/>
  <c r="V242" i="1"/>
  <c r="J241" i="1" s="1"/>
  <c r="Q323" i="1"/>
  <c r="D368" i="1" s="1"/>
  <c r="Y242" i="1"/>
  <c r="L241" i="1" s="1"/>
  <c r="Y240" i="1"/>
  <c r="L239" i="1" s="1"/>
  <c r="Y239" i="1"/>
  <c r="L238" i="1" s="1"/>
  <c r="X243" i="1"/>
  <c r="X381" i="1"/>
  <c r="K386" i="1" s="1"/>
  <c r="X380" i="1"/>
  <c r="K385" i="1" s="1"/>
  <c r="Q314" i="1"/>
  <c r="P314" i="1"/>
  <c r="D352" i="1" s="1"/>
  <c r="T245" i="1"/>
  <c r="H244" i="1" s="1"/>
  <c r="Y238" i="1"/>
  <c r="L237" i="1" s="1"/>
  <c r="P246" i="1"/>
  <c r="D245" i="1" s="1"/>
  <c r="T345" i="1"/>
  <c r="S312" i="1"/>
  <c r="U245" i="1"/>
  <c r="I244" i="1" s="1"/>
  <c r="T313" i="1"/>
  <c r="H351" i="1" s="1"/>
  <c r="S313" i="1"/>
  <c r="G351" i="1" s="1"/>
  <c r="E368" i="1"/>
  <c r="R314" i="1"/>
  <c r="F352" i="1" s="1"/>
  <c r="T312" i="1"/>
  <c r="E73" i="4" l="1"/>
  <c r="D73" i="4"/>
  <c r="D71" i="4"/>
  <c r="F73" i="4"/>
  <c r="E72" i="4"/>
  <c r="F72" i="4"/>
  <c r="D72" i="4"/>
  <c r="U323" i="1"/>
  <c r="H350" i="1"/>
  <c r="T323" i="1"/>
  <c r="G350" i="1"/>
  <c r="F260" i="1"/>
  <c r="F259" i="1"/>
  <c r="X244" i="1"/>
  <c r="K243" i="1" s="1"/>
  <c r="K242" i="1"/>
  <c r="E260" i="1"/>
  <c r="E259" i="1"/>
  <c r="D260" i="1"/>
  <c r="D259" i="1"/>
  <c r="F71" i="4"/>
  <c r="U272" i="1" s="1"/>
  <c r="H271" i="1" s="1"/>
  <c r="V244" i="1"/>
  <c r="J243" i="1" s="1"/>
  <c r="V243" i="1"/>
  <c r="J242" i="1" s="1"/>
  <c r="Y243" i="1"/>
  <c r="L242" i="1" s="1"/>
  <c r="S314" i="1"/>
  <c r="G352" i="1" s="1"/>
  <c r="AD86" i="1"/>
  <c r="G368" i="1"/>
  <c r="AD87" i="1"/>
  <c r="T314" i="1"/>
  <c r="U270" i="1" l="1"/>
  <c r="H269" i="1" s="1"/>
  <c r="U269" i="1"/>
  <c r="H268" i="1" s="1"/>
  <c r="U271" i="1"/>
  <c r="H270" i="1" s="1"/>
  <c r="V245" i="1"/>
  <c r="B82" i="4"/>
  <c r="K267" i="1"/>
  <c r="Y244" i="1"/>
  <c r="L243" i="1" s="1"/>
  <c r="T326" i="1"/>
  <c r="F371" i="1" s="1"/>
  <c r="F368" i="1"/>
  <c r="U273" i="1" l="1"/>
  <c r="H272" i="1" s="1"/>
  <c r="V246" i="1"/>
  <c r="J245" i="1" s="1"/>
  <c r="J244" i="1"/>
  <c r="K269" i="1"/>
  <c r="X269" i="1" l="1"/>
  <c r="D84" i="4" s="1"/>
  <c r="X271" i="1" s="1"/>
  <c r="L38" i="8" s="1"/>
  <c r="U274" i="1"/>
  <c r="H273" i="1" s="1"/>
  <c r="K268" i="1" l="1"/>
  <c r="X276" i="1"/>
  <c r="K274" i="1" s="1"/>
  <c r="AD85" i="1"/>
  <c r="K270" i="1"/>
  <c r="X273" i="1"/>
  <c r="K272" i="1" s="1"/>
  <c r="X277" i="1"/>
  <c r="K275" i="1" s="1"/>
</calcChain>
</file>

<file path=xl/comments1.xml><?xml version="1.0" encoding="utf-8"?>
<comments xmlns="http://schemas.openxmlformats.org/spreadsheetml/2006/main">
  <authors>
    <author>pennyb</author>
  </authors>
  <commentList>
    <comment ref="N21" authorId="0" shapeId="0">
      <text>
        <r>
          <rPr>
            <b/>
            <sz val="8"/>
            <color indexed="81"/>
            <rFont val="Tahoma"/>
            <family val="2"/>
          </rPr>
          <t>Click in boxes to use drop-down lists</t>
        </r>
      </text>
    </comment>
    <comment ref="H36" authorId="0" shapeId="0">
      <text>
        <r>
          <rPr>
            <b/>
            <sz val="8"/>
            <color indexed="81"/>
            <rFont val="Tahoma"/>
            <family val="2"/>
          </rPr>
          <t>Click in boxes to use drop-down lists</t>
        </r>
        <r>
          <rPr>
            <sz val="8"/>
            <color indexed="81"/>
            <rFont val="Tahoma"/>
            <family val="2"/>
          </rPr>
          <t xml:space="preserve">
</t>
        </r>
      </text>
    </comment>
  </commentList>
</comments>
</file>

<file path=xl/comments2.xml><?xml version="1.0" encoding="utf-8"?>
<comments xmlns="http://schemas.openxmlformats.org/spreadsheetml/2006/main">
  <authors>
    <author>pennyb</author>
  </authors>
  <commentList>
    <comment ref="J10" authorId="0" shapeId="0">
      <text>
        <r>
          <rPr>
            <b/>
            <sz val="8"/>
            <color indexed="81"/>
            <rFont val="Tahoma"/>
            <family val="2"/>
          </rPr>
          <t>Click in boxes to use drop-down lists</t>
        </r>
      </text>
    </comment>
  </commentList>
</comments>
</file>

<file path=xl/comments3.xml><?xml version="1.0" encoding="utf-8"?>
<comments xmlns="http://schemas.openxmlformats.org/spreadsheetml/2006/main">
  <authors>
    <author>EM</author>
  </authors>
  <commentList>
    <comment ref="A86" authorId="0"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 ref="A98" authorId="0"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List>
</comments>
</file>

<file path=xl/sharedStrings.xml><?xml version="1.0" encoding="utf-8"?>
<sst xmlns="http://schemas.openxmlformats.org/spreadsheetml/2006/main" count="1569" uniqueCount="581">
  <si>
    <t>Revision 1.0-20140918</t>
  </si>
  <si>
    <t>Print Area</t>
  </si>
  <si>
    <t>Medical University of South Carolina</t>
  </si>
  <si>
    <t>Page1,HVLPage,ExpChart,ImgQuality,Compg1,GraphAcryl,LeedsTO10</t>
  </si>
  <si>
    <t>Charleston, South Carolina</t>
  </si>
  <si>
    <t>All:</t>
  </si>
  <si>
    <t>Page1,HVLPage,ExpChart,ImgQuality,Compg1,Compg2,OutputGraphFl,OutputGraphDig,LeedsTO10</t>
  </si>
  <si>
    <t>Mammography System Compliance Inspection</t>
  </si>
  <si>
    <t>Measurement Parameter</t>
  </si>
  <si>
    <t>Last Year</t>
  </si>
  <si>
    <t>This Year</t>
  </si>
  <si>
    <t>Date:</t>
  </si>
  <si>
    <t>Inspector:</t>
  </si>
  <si>
    <t>Eugene Mah</t>
  </si>
  <si>
    <t>System Information</t>
  </si>
  <si>
    <t>Previous Date:</t>
  </si>
  <si>
    <t>Date</t>
  </si>
  <si>
    <t>Location</t>
  </si>
  <si>
    <t>Input Changes Only</t>
  </si>
  <si>
    <t>Inspector</t>
  </si>
  <si>
    <t>kV Set</t>
  </si>
  <si>
    <t>mAs Set</t>
  </si>
  <si>
    <t>Add Filt</t>
  </si>
  <si>
    <t>Target</t>
  </si>
  <si>
    <t>Filter</t>
  </si>
  <si>
    <t>kVp</t>
  </si>
  <si>
    <t>ms</t>
  </si>
  <si>
    <t>Dose (mGy)</t>
  </si>
  <si>
    <t>Dose rate (mGy/s)</t>
  </si>
  <si>
    <t>Corr kV</t>
  </si>
  <si>
    <t>Facility:</t>
  </si>
  <si>
    <t>Site Number:</t>
  </si>
  <si>
    <t>Mo</t>
  </si>
  <si>
    <t>Department:</t>
  </si>
  <si>
    <t>Authorized Use:</t>
  </si>
  <si>
    <t>Area/Division:</t>
  </si>
  <si>
    <t>Date of Installation:</t>
  </si>
  <si>
    <t>Survey ID:</t>
  </si>
  <si>
    <t>Number of X-ray Tubes:</t>
  </si>
  <si>
    <t>Room Number:</t>
  </si>
  <si>
    <t>Accession Number:</t>
  </si>
  <si>
    <t>X-Ray Generator</t>
  </si>
  <si>
    <t>Manufacturer:</t>
  </si>
  <si>
    <t>Manufacture Date:</t>
  </si>
  <si>
    <t>Model:</t>
  </si>
  <si>
    <t>Serial Number:</t>
  </si>
  <si>
    <t>Max kVp:</t>
  </si>
  <si>
    <t>Max mA:</t>
  </si>
  <si>
    <t>Accesssion Number:</t>
  </si>
  <si>
    <t>X-Ray Tube 1</t>
  </si>
  <si>
    <t>Tube Designation/Use:</t>
  </si>
  <si>
    <t>Target:</t>
  </si>
  <si>
    <t>W</t>
  </si>
  <si>
    <t>Insert</t>
  </si>
  <si>
    <t>Filter:</t>
  </si>
  <si>
    <t>Rh</t>
  </si>
  <si>
    <t>Focal Spot Sizes (mm)</t>
  </si>
  <si>
    <t>Housing</t>
  </si>
  <si>
    <t>Large:</t>
  </si>
  <si>
    <t>Small:</t>
  </si>
  <si>
    <t>Filtration</t>
  </si>
  <si>
    <t>Inherent:</t>
  </si>
  <si>
    <t>Added:</t>
  </si>
  <si>
    <t>Technique Chart</t>
  </si>
  <si>
    <t>Compressed</t>
  </si>
  <si>
    <t>Fatty Breast</t>
  </si>
  <si>
    <t>50% Fatty -</t>
  </si>
  <si>
    <t>Dense Breast</t>
  </si>
  <si>
    <t>Breast</t>
  </si>
  <si>
    <t>50% Dense Breast</t>
  </si>
  <si>
    <t>Thickness</t>
  </si>
  <si>
    <t>Target/Filter</t>
  </si>
  <si>
    <t>mAs</t>
  </si>
  <si>
    <t>Inspection Results</t>
  </si>
  <si>
    <t>&lt;3 cm</t>
  </si>
  <si>
    <t>Enter 1 for YES, 2 for NO, 3 for NA</t>
  </si>
  <si>
    <t>Target 1:</t>
  </si>
  <si>
    <t>3 to 5 cm</t>
  </si>
  <si>
    <t>DHEC Registration sticker is present, clearly visible and legible</t>
  </si>
  <si>
    <t>Target 2:</t>
  </si>
  <si>
    <t>5 to 7 cm</t>
  </si>
  <si>
    <t>DHEC form SC-RAH-20 “Notice to Employees” posted or referenced</t>
  </si>
  <si>
    <t>Filter 1:</t>
  </si>
  <si>
    <t>&gt;7 cm</t>
  </si>
  <si>
    <t>Radiation warning label posted on the generator control panel</t>
  </si>
  <si>
    <t>Filter 2:</t>
  </si>
  <si>
    <t>Operator manuals are available.</t>
  </si>
  <si>
    <t>Monthly radiation monitoring reports are posted.</t>
  </si>
  <si>
    <t>Added</t>
  </si>
  <si>
    <t>Rule Number</t>
  </si>
  <si>
    <t>Compliance</t>
  </si>
  <si>
    <t>DHEC RHB 2.5.1.1</t>
  </si>
  <si>
    <t>Mammography Unit Assembly Evaluation</t>
  </si>
  <si>
    <t>DHEC RHB 10.2.1</t>
  </si>
  <si>
    <t>Free-standing unit is mechanically stable</t>
  </si>
  <si>
    <t>Target/Filter:</t>
  </si>
  <si>
    <t>DHEC RHB 4.3.1</t>
  </si>
  <si>
    <t>All moving parts move smoothly, without obstructions to motion</t>
  </si>
  <si>
    <t>kVp:</t>
  </si>
  <si>
    <t>All locks and detents work properly</t>
  </si>
  <si>
    <t>Density:</t>
  </si>
  <si>
    <t>Image receptor holder assembly is free from vibrations</t>
  </si>
  <si>
    <t>Image receptor slides smoothly into holder assembly</t>
  </si>
  <si>
    <t>Image receptor is held securely by assembly in any orientation</t>
  </si>
  <si>
    <t>Compressed breast thickness scale accurate to +0.5 cm, reproducible to +2 mm</t>
  </si>
  <si>
    <t>Patient or operator is not exposed to sharp or rough edges, or other hazards</t>
  </si>
  <si>
    <t>Operator technique control charts are posted</t>
  </si>
  <si>
    <t>Operator protected during exposure by adequate radiation shielding</t>
  </si>
  <si>
    <t>All indicator lights working properly</t>
  </si>
  <si>
    <t>Compressed breast thickness scale accurate to 0.5 cm, reproducible to 2 mm</t>
  </si>
  <si>
    <t>Auto decompression can be overridden to maintain compression (and status displayed)</t>
  </si>
  <si>
    <t>Manual emergency compression release can be activated in the event of a power failure</t>
  </si>
  <si>
    <t>50/50 Breast</t>
  </si>
  <si>
    <t>MQSA Equipment Standards</t>
  </si>
  <si>
    <t>Tube-receptor assembly can be fixed into any operating position and does not move once fixed into position</t>
  </si>
  <si>
    <t>Autodecompression can be overridden to maintain compression</t>
  </si>
  <si>
    <t>Tube-receptor assembly locking mechanism does not fail during power interruption</t>
  </si>
  <si>
    <t>Manual emergency compression release in the event of a power failure</t>
  </si>
  <si>
    <t>Image Receptor Sizes 18 x 24 &amp; 24 x 30 are available</t>
  </si>
  <si>
    <t>Moving grids are present for all image receptor sizes</t>
  </si>
  <si>
    <t>Magnification can be done without grid</t>
  </si>
  <si>
    <t>Room Number</t>
  </si>
  <si>
    <t>Beam limiting device allows useful beam to extend beyond chest wall edge of receptor</t>
  </si>
  <si>
    <t>Average illumination of the light field is at least 160 lux</t>
  </si>
  <si>
    <t>Magnification mode is available for non-interventional problem solving procedures</t>
  </si>
  <si>
    <t>System provides magnification factor between 1.4 – 2.0</t>
  </si>
  <si>
    <t>900.12(b)(3i)</t>
  </si>
  <si>
    <t>Tube-receptor can be fixed into any operating position and does not move</t>
  </si>
  <si>
    <t>Prior indication of selected focal spot is provided</t>
  </si>
  <si>
    <t>900.12(b)(3ii)</t>
  </si>
  <si>
    <t>Tube-receptor locking mechanism does not fail during power interruption</t>
  </si>
  <si>
    <t>Prior indication of selected target is provided</t>
  </si>
  <si>
    <t>900.12(b)(4i)</t>
  </si>
  <si>
    <t>Post exposure display of target/focal spot is provided</t>
  </si>
  <si>
    <t>900.12(b)(4ii)</t>
  </si>
  <si>
    <t>Moving grids are present for all image receptor sizessizes</t>
  </si>
  <si>
    <t>Initial power driven compression can be activated hands-free from both sides</t>
  </si>
  <si>
    <t>900.12(b)(4iii)</t>
  </si>
  <si>
    <t>Fine adjustment of compression can be activated from both sides</t>
  </si>
  <si>
    <t>900.12(b)(5i)</t>
  </si>
  <si>
    <t>Beam limiting device allows useful beam to extend beyond chest wall edge</t>
  </si>
  <si>
    <t>Compression paddles match the sizes of all image receptors</t>
  </si>
  <si>
    <t>900.12(b)(5ii)</t>
  </si>
  <si>
    <t>Compression paddles do not flex by more than 1 cm</t>
  </si>
  <si>
    <t>900.12(b)(6i)</t>
  </si>
  <si>
    <t>Magnification mode available for non-interventional problem solving</t>
  </si>
  <si>
    <t>Compression paddles are flat and parallel to the breast support table</t>
  </si>
  <si>
    <t>900.12(b)(6ii)</t>
  </si>
  <si>
    <t>Chest wall edge of the compression paddle is straight and parallel to the edge of the receptor</t>
  </si>
  <si>
    <t>900.12(b)(7i)</t>
  </si>
  <si>
    <t>Chest wall edge may be bent upwards for patient comfort and does not appear in the image</t>
  </si>
  <si>
    <t>Manual selection of mAs or mA and/or time is available</t>
  </si>
  <si>
    <t>900.12(b)(7iii)</t>
  </si>
  <si>
    <t>Prior indication of selected technique factors is provided</t>
  </si>
  <si>
    <t>900.12(b)(8)(iB)</t>
  </si>
  <si>
    <t>Post exposure display of technique factors is provided for AEC exposures</t>
  </si>
  <si>
    <t>AEC mode is operable in all combinations of equipment configuration</t>
  </si>
  <si>
    <t>900.12(b)(8)(iiA)</t>
  </si>
  <si>
    <t>AEC sensor positioning is flexible</t>
  </si>
  <si>
    <t>900.12(b)(8)(iiB)</t>
  </si>
  <si>
    <t>AEC sensor position and size is indicated on the compression paddle</t>
  </si>
  <si>
    <t>MGD:</t>
  </si>
  <si>
    <t>900.12(b)(8)(iiC)</t>
  </si>
  <si>
    <t>Selected position of the AEC sensor is clearly indicated</t>
  </si>
  <si>
    <t>900.12(b)(8)(iiD)</t>
  </si>
  <si>
    <t>Chest wall edge of the compression paddle is straight and parallel to receptor</t>
  </si>
  <si>
    <t>AEC density control setting is provided</t>
  </si>
  <si>
    <t>900.12(b)(8)(iiE)</t>
  </si>
  <si>
    <t>Chest wall edge may be bent upwards and does not appear in the image</t>
  </si>
  <si>
    <t>X-ray film used is appropriate for mammography</t>
  </si>
  <si>
    <t>Image Quality (Printer)</t>
  </si>
  <si>
    <t>900.12(b)(9i)</t>
  </si>
  <si>
    <t>Intensifying screens used are appropriate for mammography and matched to the film used</t>
  </si>
  <si>
    <t>kV:</t>
  </si>
  <si>
    <t>900.12(b)(9ii)</t>
  </si>
  <si>
    <t>Film processing chemicals are appropriate for the film being used</t>
  </si>
  <si>
    <t>mA:</t>
  </si>
  <si>
    <t>900.12(b)(9iii)</t>
  </si>
  <si>
    <t>Lights for film illumination i.e. hot lights are available</t>
  </si>
  <si>
    <t>Bkg Density:</t>
  </si>
  <si>
    <t>900.12(b)(10i)</t>
  </si>
  <si>
    <t>Film masking devices are available to all interpreting physicians</t>
  </si>
  <si>
    <t>Inside disk:</t>
  </si>
  <si>
    <t>900.12(b)(10ii)</t>
  </si>
  <si>
    <t>Outside disk:</t>
  </si>
  <si>
    <t>Difference:</t>
  </si>
  <si>
    <t>Mammography Phototimer Technique Chart</t>
  </si>
  <si>
    <t>Fibers:</t>
  </si>
  <si>
    <t>900.12(b)(10iii)</t>
  </si>
  <si>
    <t>Specks:</t>
  </si>
  <si>
    <t>900.12(b)(11)</t>
  </si>
  <si>
    <t>Masses:</t>
  </si>
  <si>
    <t>900.12(b)(12)</t>
  </si>
  <si>
    <t>Intensifying screens used are appropriate for mammography and matched to film</t>
  </si>
  <si>
    <t>Image Quality (Acq Unit)</t>
  </si>
  <si>
    <t>900.12(b)(13)</t>
  </si>
  <si>
    <t>900.12(b)(14)</t>
  </si>
  <si>
    <t>900.12(b)(15)</t>
  </si>
  <si>
    <t>SNR:</t>
  </si>
  <si>
    <t>CNR:</t>
  </si>
  <si>
    <t>Compression Force Indicator</t>
  </si>
  <si>
    <t>Force (N):</t>
  </si>
  <si>
    <t>Max force (N):</t>
  </si>
  <si>
    <t>Force maintained for 1 minute:</t>
  </si>
  <si>
    <t>Criteria:</t>
  </si>
  <si>
    <t>Maximum force is between 12 - 20 kg (120-200 N)</t>
  </si>
  <si>
    <t>Compression Thickness Indicator</t>
  </si>
  <si>
    <t>BR-12 (cm)</t>
  </si>
  <si>
    <t>Indicated</t>
  </si>
  <si>
    <t>Difference</t>
  </si>
  <si>
    <t>Mean:</t>
  </si>
  <si>
    <t>StDev:</t>
  </si>
  <si>
    <t>Difference between indicated and actual thickness is &lt;= 5 mm</t>
  </si>
  <si>
    <t>Reproducibility is &lt;= 2 mm</t>
  </si>
  <si>
    <t>Paddle flex is less than 1 cm</t>
  </si>
  <si>
    <t>Compression thickness indicator:</t>
  </si>
  <si>
    <t>Overall unit assembly</t>
  </si>
  <si>
    <t>Artifact Evaluation</t>
  </si>
  <si>
    <t>Acceptable:</t>
  </si>
  <si>
    <t>mAs:</t>
  </si>
  <si>
    <t>EI:</t>
  </si>
  <si>
    <t>No clinically relevant artifacts detected</t>
  </si>
  <si>
    <t>Paddle flex is less than 1 cm:</t>
  </si>
  <si>
    <t>Overall unit assembly:</t>
  </si>
  <si>
    <t>Comments:</t>
  </si>
  <si>
    <t>Do not exceed 390 chars</t>
  </si>
  <si>
    <t>New:</t>
  </si>
  <si>
    <t>Light Field Brightness</t>
  </si>
  <si>
    <t>Measurements (lux)</t>
  </si>
  <si>
    <t>Average Illumination</t>
  </si>
  <si>
    <t>1st quad.</t>
  </si>
  <si>
    <t>2nd quad.</t>
  </si>
  <si>
    <t>3rd quad.</t>
  </si>
  <si>
    <t>4th quad.</t>
  </si>
  <si>
    <t>(lux)</t>
  </si>
  <si>
    <t>Average light field illumination &gt;= 160 lux</t>
  </si>
  <si>
    <t>Light Field/X-ray Field Alignment</t>
  </si>
  <si>
    <t>Mo/Mo</t>
  </si>
  <si>
    <t>W/Rh</t>
  </si>
  <si>
    <t>Focal spot:</t>
  </si>
  <si>
    <t>Deviation (mm)</t>
  </si>
  <si>
    <t>24x30</t>
  </si>
  <si>
    <t>18x24 Low</t>
  </si>
  <si>
    <t>18x24 High</t>
  </si>
  <si>
    <t>Left:</t>
  </si>
  <si>
    <t>Right:</t>
  </si>
  <si>
    <t>Anterior:</t>
  </si>
  <si>
    <t>Chest Wall:</t>
  </si>
  <si>
    <t>Left/Right:</t>
  </si>
  <si>
    <t>Ant/Chest:</t>
  </si>
  <si>
    <t>Sum of left and right edge deviation is less than 13 mm</t>
  </si>
  <si>
    <t>Sum of anterior and chest wall edge deviation is less than 13mm</t>
  </si>
  <si>
    <t>X-ray Field/Image Receptor Alignment</t>
  </si>
  <si>
    <t>Average light field illumination &gt;= 160 lux.</t>
  </si>
  <si>
    <t>Left</t>
  </si>
  <si>
    <t>Right</t>
  </si>
  <si>
    <t>Compression Paddle:</t>
  </si>
  <si>
    <t>Paddle:</t>
  </si>
  <si>
    <t>Missed Tissue:</t>
  </si>
  <si>
    <t>Compression paddle deviation is &lt;= 6.5mm</t>
  </si>
  <si>
    <t>Chest wall missed tissue is &lt;= 5 mm</t>
  </si>
  <si>
    <t>System Resolution</t>
  </si>
  <si>
    <t>Mo/Rh</t>
  </si>
  <si>
    <t>lp/mm:</t>
  </si>
  <si>
    <t>Limiting system resolution must be 6 lp/mm or higher</t>
  </si>
  <si>
    <t>AEC Thickness Tracking</t>
  </si>
  <si>
    <t>AEC Mode:</t>
  </si>
  <si>
    <t>AEC Position:</t>
  </si>
  <si>
    <t>(cm)</t>
  </si>
  <si>
    <t>kV</t>
  </si>
  <si>
    <t>Mean Pixel</t>
  </si>
  <si>
    <t>Deviation</t>
  </si>
  <si>
    <t>Average:</t>
  </si>
  <si>
    <t>SD:</t>
  </si>
  <si>
    <t>Coeff of Var:</t>
  </si>
  <si>
    <t>Reported</t>
  </si>
  <si>
    <t>MGD (mGy)</t>
  </si>
  <si>
    <t>Mean pixel value of each image is within 10% of the average pixel value</t>
  </si>
  <si>
    <t>Coefficient of variation &lt;= 5%</t>
  </si>
  <si>
    <t>AEC security cutoff is activated</t>
  </si>
  <si>
    <t>Visible signal indicates AEC security cutoff and subsequent exposures blocked</t>
  </si>
  <si>
    <t>SNR, CNR, AEC Reproducibility</t>
  </si>
  <si>
    <t>Entrance</t>
  </si>
  <si>
    <t>Mass mean</t>
  </si>
  <si>
    <t>Bkg mean</t>
  </si>
  <si>
    <t>Bkg SD</t>
  </si>
  <si>
    <t>SNR</t>
  </si>
  <si>
    <t>CNR</t>
  </si>
  <si>
    <t>Mean Dev</t>
  </si>
  <si>
    <t>SNR Dev</t>
  </si>
  <si>
    <t>Change</t>
  </si>
  <si>
    <t>Acceptable</t>
  </si>
  <si>
    <t>Max:</t>
  </si>
  <si>
    <t>Coefficient of variation in mAs, entrance dose is &lt;= 5%</t>
  </si>
  <si>
    <t>Maximum deviation of Mass mean/SNR is &lt;= 15%</t>
  </si>
  <si>
    <t>Detector Uniformity</t>
  </si>
  <si>
    <t>Deviation from Mean</t>
  </si>
  <si>
    <t>Mean Glandular Dose</t>
  </si>
  <si>
    <t>ROI 1</t>
  </si>
  <si>
    <t>Phantom:</t>
  </si>
  <si>
    <t>ROI 2</t>
  </si>
  <si>
    <t>ROI 3</t>
  </si>
  <si>
    <t>Air KERMA</t>
  </si>
  <si>
    <t>ROI 4</t>
  </si>
  <si>
    <t>Time (s)</t>
  </si>
  <si>
    <t>(mGy)</t>
  </si>
  <si>
    <t>HVL:</t>
  </si>
  <si>
    <t>ROI 5</t>
  </si>
  <si>
    <t>ESE (mGy):</t>
  </si>
  <si>
    <t>Average</t>
  </si>
  <si>
    <t>DGN (mrad/R):</t>
  </si>
  <si>
    <t>Max dev</t>
  </si>
  <si>
    <t>MGD (mGy):</t>
  </si>
  <si>
    <t>Prev MGD (mGy):</t>
  </si>
  <si>
    <t>Maximum deviation from average is &lt;= 7%</t>
  </si>
  <si>
    <t>% Change:</t>
  </si>
  <si>
    <t>MGD is less than 3 mGy</t>
  </si>
  <si>
    <t>Deviation from Reported MGD:</t>
  </si>
  <si>
    <t>Deviation from reported MGD is less than15%</t>
  </si>
  <si>
    <t>mAs at 3 mGy:</t>
  </si>
  <si>
    <t>Signal to Noise Ratio</t>
  </si>
  <si>
    <t>Current</t>
  </si>
  <si>
    <t>Previous</t>
  </si>
  <si>
    <t>SNR must be &gt;= 40</t>
  </si>
  <si>
    <t>CNR does not change by more than 15%</t>
  </si>
  <si>
    <t>Image Quality Evaluation</t>
  </si>
  <si>
    <t>Printer</t>
  </si>
  <si>
    <t>Acq Workstation</t>
  </si>
  <si>
    <t>Review Workstation</t>
  </si>
  <si>
    <t>Normal</t>
  </si>
  <si>
    <t>Workstation:</t>
  </si>
  <si>
    <t>kVp Accuracy and Output</t>
  </si>
  <si>
    <t>Background Density:</t>
  </si>
  <si>
    <t>Meter:</t>
  </si>
  <si>
    <t>Calibration Date:</t>
  </si>
  <si>
    <t>Serial #:</t>
  </si>
  <si>
    <t>Calibration Due:</t>
  </si>
  <si>
    <t>Measured Values</t>
  </si>
  <si>
    <t>mGy/mAs</t>
  </si>
  <si>
    <t>mGy/s</t>
  </si>
  <si>
    <t>SN:</t>
  </si>
  <si>
    <t>kV accuracy is &lt;= 5%</t>
  </si>
  <si>
    <t>kV, Exposure, and Output Reproducibility</t>
  </si>
  <si>
    <t>kVp and Output Reproducibility</t>
  </si>
  <si>
    <t>Std Dev:</t>
  </si>
  <si>
    <t>mGy</t>
  </si>
  <si>
    <t>Previous:</t>
  </si>
  <si>
    <t>Coefficient of variation &lt;= 2%</t>
  </si>
  <si>
    <t>Minimum acceptable output is 7 mGy/s at 28 kVp for Mo target</t>
  </si>
  <si>
    <t>Minimum acceptable output is 2 mGy/s at 28 kVp for W target</t>
  </si>
  <si>
    <t>Exposure Linearity</t>
  </si>
  <si>
    <t>Coeff of Linearity:</t>
  </si>
  <si>
    <t>Coefficient of linearity is &lt;= 10%</t>
  </si>
  <si>
    <t>Unit Can Maintain Output for 3 sec at 28 kVp</t>
  </si>
  <si>
    <t>Set mAs</t>
  </si>
  <si>
    <t>Half Value Layer</t>
  </si>
  <si>
    <t>Al (mm)</t>
  </si>
  <si>
    <t>Air Kerma (mGy)</t>
  </si>
  <si>
    <t>HVL</t>
  </si>
  <si>
    <t>0 mm</t>
  </si>
  <si>
    <t>Min</t>
  </si>
  <si>
    <t>Max</t>
  </si>
  <si>
    <t>HVL is between the minimum and maximum limits</t>
  </si>
  <si>
    <t>QC Manual Version:</t>
  </si>
  <si>
    <t>Must be able to see 5 fibers, 4 speck groups, 4 masses</t>
  </si>
  <si>
    <t>Workstation</t>
  </si>
  <si>
    <t>Acquisition Unit</t>
  </si>
  <si>
    <t>Phantom serial number:</t>
  </si>
  <si>
    <t>Fibers</t>
  </si>
  <si>
    <t>Specks</t>
  </si>
  <si>
    <t>Masses</t>
  </si>
  <si>
    <t>Must see at least 5 fibers, 4 specks, 4 masses</t>
  </si>
  <si>
    <t>Signal to Noise</t>
  </si>
  <si>
    <t>Mean</t>
  </si>
  <si>
    <t>SD</t>
  </si>
  <si>
    <t>Mass:</t>
  </si>
  <si>
    <t>Background:</t>
  </si>
  <si>
    <t>Baseline</t>
  </si>
  <si>
    <t>SNR must be &gt;= 40. CNR must be &gt;= 2.</t>
  </si>
  <si>
    <t>SNR/CNR must not differ from baseline by more than +/- 15%</t>
  </si>
  <si>
    <t>MEDICAL PHYSICIST'S MAMMOGRAPHY QC TEST SUMMARY</t>
  </si>
  <si>
    <t>Full-Field Digital – Siemens</t>
  </si>
  <si>
    <t>Site Name</t>
  </si>
  <si>
    <t>Report Date</t>
  </si>
  <si>
    <t>Address</t>
  </si>
  <si>
    <t>Survey Date</t>
  </si>
  <si>
    <t>Medical Physicist's Name</t>
  </si>
  <si>
    <t>Signature</t>
  </si>
  <si>
    <t>X-Ray Unit Manufacturer</t>
  </si>
  <si>
    <t>Siemens</t>
  </si>
  <si>
    <t>Model</t>
  </si>
  <si>
    <t>Date of Installation</t>
  </si>
  <si>
    <t>Room ID</t>
  </si>
  <si>
    <t>QC Manual Version #</t>
  </si>
  <si>
    <t>Accessory Equipment</t>
  </si>
  <si>
    <t>Manufacturer</t>
  </si>
  <si>
    <t>Review Workstation*</t>
  </si>
  <si>
    <t>Film Printer*</t>
  </si>
  <si>
    <t>*FDA recommends that only monitors and printers specifically cleared for FFDM use by FDA’s Office of Device Evaluation (ODE) be used. See FDA's Policy Guidance Help System www.fda.gov/CDRH/MAMMOGRAPHY/robohelp/START.HTM.</t>
  </si>
  <si>
    <t>Survey Type</t>
  </si>
  <si>
    <t>Mammo Eqpt Evaluation of new unit (include MQSA Rqmts for Mammo Eqpt checklist)</t>
  </si>
  <si>
    <t>Annual Survey</t>
  </si>
  <si>
    <t>Medical Physicist's QC Tests</t>
  </si>
  <si>
    <t>PASS/FAIL</t>
  </si>
  <si>
    <t>2.    Mechanical Inspection</t>
  </si>
  <si>
    <t>3.    Acquisition Workstation Monitor Check</t>
  </si>
  <si>
    <t>4.    Detector Uniformity</t>
  </si>
  <si>
    <t>5.    Artifact Detection</t>
  </si>
  <si>
    <t>6.    Collimation, Dead Space &amp; Compression Paddle Position</t>
  </si>
  <si>
    <t>7.    AEC Thickness Tracking</t>
  </si>
  <si>
    <t>9.    SNR, CNR and AEC Repeatability</t>
  </si>
  <si>
    <t>Measured values:</t>
  </si>
  <si>
    <t>Max deviation of mean pixel values and SNR within ±15% of mean for measurements</t>
  </si>
  <si>
    <t>10.    Image Quality</t>
  </si>
  <si>
    <t>Phantom image scores:</t>
  </si>
  <si>
    <t>11.  Radiation Dose</t>
  </si>
  <si>
    <t>13.  Tube Voltage Measurement &amp; Reproducibility</t>
  </si>
  <si>
    <t>14.  Film Printer Check</t>
  </si>
  <si>
    <t>(Siemens, continued)</t>
  </si>
  <si>
    <t>Evaluation of Technologist QC Program</t>
  </si>
  <si>
    <t>FREQUENCY</t>
  </si>
  <si>
    <t>1.</t>
  </si>
  <si>
    <t>Phantom Image Quality</t>
  </si>
  <si>
    <t>Daily</t>
  </si>
  <si>
    <t>2.</t>
  </si>
  <si>
    <t>Detector Calibration</t>
  </si>
  <si>
    <t>Novation-Weekly; Inspiration-Quarterly</t>
  </si>
  <si>
    <t>3.</t>
  </si>
  <si>
    <t>Artifact Detection</t>
  </si>
  <si>
    <t>Weekly</t>
  </si>
  <si>
    <t>4.</t>
  </si>
  <si>
    <t>SNR and CNR Measurements</t>
  </si>
  <si>
    <t>5.</t>
  </si>
  <si>
    <t>Repeat Analysis</t>
  </si>
  <si>
    <t>Quarterly</t>
  </si>
  <si>
    <t>6.</t>
  </si>
  <si>
    <t>Compression Force</t>
  </si>
  <si>
    <t>Semi-annually</t>
  </si>
  <si>
    <t>7.</t>
  </si>
  <si>
    <t>Film Printer Check</t>
  </si>
  <si>
    <t>Daily, when images printed</t>
  </si>
  <si>
    <t>8.</t>
  </si>
  <si>
    <t>See FDA guidance</t>
  </si>
  <si>
    <t>Medical Physicist's Recommendations for Quality Improvement</t>
  </si>
  <si>
    <t>Exposure to Dose Conversion Factors Mo/Mo for 4.2cm 50/50 Breast</t>
  </si>
  <si>
    <t>Exposure to Dose Conversion Factors Mo/Rh for 4.2 cm 50/50 Breast</t>
  </si>
  <si>
    <t>Exposure to Dose Conversion Factors Rh/Rh for 4.2cm 50/50 Breast</t>
  </si>
  <si>
    <t>Exposure to Dose Conversion Factors W/Rh for 4.2cm 50/50 Breast</t>
  </si>
  <si>
    <t>Exposure to Dose Conversion Factors W/Ag for 4.2cm 50/50 Breast</t>
  </si>
  <si>
    <t>Siemens Inspiration</t>
  </si>
  <si>
    <t>PMMA thickness (mm)</t>
  </si>
  <si>
    <t>Equiv Breast thickness (mm)</t>
  </si>
  <si>
    <t>HVL (mm Al)</t>
  </si>
  <si>
    <t>Slope</t>
  </si>
  <si>
    <t>Intercept</t>
  </si>
  <si>
    <t>g-factor</t>
  </si>
  <si>
    <t>c-factor</t>
  </si>
  <si>
    <t>s-factor</t>
  </si>
  <si>
    <t>kV Accuracy/Output</t>
  </si>
  <si>
    <t>Calculate Radiation output (mGy/mAs and mGy/s) as a function of kV^2</t>
  </si>
  <si>
    <t>kV^2</t>
  </si>
  <si>
    <t>W/Ag</t>
  </si>
  <si>
    <t>W/Al</t>
  </si>
  <si>
    <t>Slope:</t>
  </si>
  <si>
    <t>Intercept:</t>
  </si>
  <si>
    <t>C</t>
  </si>
  <si>
    <t>Critiera:</t>
  </si>
  <si>
    <t>Min HVL &gt; kV/100 (no paddle)</t>
  </si>
  <si>
    <t>Min HVL &gt; kV/100 + 0.03 (with paddle)</t>
  </si>
  <si>
    <t>Max HVL &lt; kV/100 + C</t>
  </si>
  <si>
    <t>DGN</t>
  </si>
  <si>
    <t>Rh/Rh</t>
  </si>
  <si>
    <t>Radcal kV Correction for Hologic Selenia</t>
  </si>
  <si>
    <t>kV^0</t>
  </si>
  <si>
    <t>kV^1</t>
  </si>
  <si>
    <t>kV^3</t>
  </si>
  <si>
    <t>kV^4</t>
  </si>
  <si>
    <t>kV^5</t>
  </si>
  <si>
    <t>kV^6</t>
  </si>
  <si>
    <t>&lt;</t>
  </si>
  <si>
    <t>&gt;=</t>
  </si>
  <si>
    <t>Minimum true value is 21.8 kV, corresponding to a Radcal value near 25.03 kV.</t>
  </si>
  <si>
    <t>Reduced accuracy between true values of 24 to 27 kV. Max Radcal value is 40.47 kV.</t>
  </si>
  <si>
    <t>Minimum true value is 21.8 kV, corresponding to a Radcal value near 25.04 kV.</t>
  </si>
  <si>
    <t>Poor accuracy between true values of 25.35 to 31.85 kV. Max Radcal value is 37.1 kV.</t>
  </si>
  <si>
    <t>Radcal kV Correction for Hologic Dimension</t>
  </si>
  <si>
    <t>28.7 &lt; kV &lt; 30.1</t>
  </si>
  <si>
    <t>Advanced Settings</t>
  </si>
  <si>
    <t>Grid</t>
  </si>
  <si>
    <t>Auto Decomp</t>
  </si>
  <si>
    <t>OPCOMP</t>
  </si>
  <si>
    <t>AEC Segm</t>
  </si>
  <si>
    <t>Dose Level</t>
  </si>
  <si>
    <t>In</t>
  </si>
  <si>
    <t>Off</t>
  </si>
  <si>
    <t>On</t>
  </si>
  <si>
    <t>SNR/CNR</t>
  </si>
  <si>
    <t>SNR/CNR Repeatability</t>
  </si>
  <si>
    <t>Spatial Resolution</t>
  </si>
  <si>
    <t>AEC</t>
  </si>
  <si>
    <t>Collimation</t>
  </si>
  <si>
    <t>MGD</t>
  </si>
  <si>
    <t>GENERAL</t>
  </si>
  <si>
    <t>Enter Radcal kV reading in the light-blue cell under the appropriate anode-filter combination.</t>
  </si>
  <si>
    <t>Read the true corrected kV in the adjacent cell to the right.</t>
  </si>
  <si>
    <t>If that cell is light green, the corrected kV is accurate.</t>
  </si>
  <si>
    <t>If the cell is red, the entered kV is out of range and the correction should not be used.</t>
  </si>
  <si>
    <t>If the cell is light yellow, the entered value is in a reduced-accuracy range; try the other filter.</t>
  </si>
  <si>
    <t>Tungsten-Rhodium (W / Rh)</t>
  </si>
  <si>
    <t>Radcal kV</t>
  </si>
  <si>
    <t>True kV</t>
  </si>
  <si>
    <t>Tungsten-Silver (W / Ag)</t>
  </si>
  <si>
    <t>Pass/Fail</t>
  </si>
  <si>
    <t>Pass</t>
  </si>
  <si>
    <t>Fail</t>
  </si>
  <si>
    <t>Pass/Fail/NA</t>
  </si>
  <si>
    <t>NA</t>
  </si>
  <si>
    <t>Phantom Scores</t>
  </si>
  <si>
    <t>AEC Region</t>
  </si>
  <si>
    <t>kV Error</t>
  </si>
  <si>
    <t>Compression paddle in place? (1 for Yes, 2 for No)</t>
  </si>
  <si>
    <t>Deviation from reported MGD is less than 15%</t>
  </si>
  <si>
    <t>Printer passes manufacturer QC tests</t>
  </si>
  <si>
    <t>Repeat analysis performed</t>
  </si>
  <si>
    <t>Control panel lights</t>
  </si>
  <si>
    <t>System stops above floor</t>
  </si>
  <si>
    <t>Motorized movements</t>
  </si>
  <si>
    <t>Lifts from lowest to highest position</t>
  </si>
  <si>
    <t>Foot switches functional</t>
  </si>
  <si>
    <t>Movements blocked on error</t>
  </si>
  <si>
    <t>Emergency stop button functional</t>
  </si>
  <si>
    <t>Grid motion</t>
  </si>
  <si>
    <t>No sharp edges or cracks on table or compression paddles</t>
  </si>
  <si>
    <t>Radiation shield present</t>
  </si>
  <si>
    <t>Manual compression functional</t>
  </si>
  <si>
    <t>Autodecompression functional</t>
  </si>
  <si>
    <t>Decompression button on control box functional</t>
  </si>
  <si>
    <t>Emergency decompression</t>
  </si>
  <si>
    <t>Measured phantom thickness is 39-45 mm</t>
  </si>
  <si>
    <t>50% Fatty - 50% Dense Breast</t>
  </si>
  <si>
    <t>Mo/Mo mGy/mAs:</t>
  </si>
  <si>
    <t>Mo/Mo mGy/s:</t>
  </si>
  <si>
    <t>W/Rh mGy/mAs:</t>
  </si>
  <si>
    <t>W/Rh mGy/s:</t>
  </si>
  <si>
    <t>Light field/X-ray field alignment acceptable</t>
  </si>
  <si>
    <t>X-ray field/image receptor alignment acceptable</t>
  </si>
  <si>
    <t>Chest wall missed tissue/Compression paddle acceptable</t>
  </si>
  <si>
    <t>Output &gt; 7 mGy/s:</t>
  </si>
  <si>
    <t>Output &gt; 2 mGy/s:</t>
  </si>
  <si>
    <t>Linearity acceptable</t>
  </si>
  <si>
    <t>Unit can maintain output for 3 sec at 28 kVp</t>
  </si>
  <si>
    <t>0 mm diff</t>
  </si>
  <si>
    <t>Acquisition Monitor</t>
  </si>
  <si>
    <t>Gray scale contrast: 5%/95% squares visible</t>
  </si>
  <si>
    <t>Spatial resolution: All lines in all bar patterns can be resolved</t>
  </si>
  <si>
    <t>Visual inspection: No visible streaking</t>
  </si>
  <si>
    <t>Visual inspection: No fluttering in image</t>
  </si>
  <si>
    <t>Visual inspection: No shadows in image</t>
  </si>
  <si>
    <t>COMMENTS</t>
  </si>
  <si>
    <t>Note:  Type all comments in the shaded cells.</t>
  </si>
  <si>
    <t>Previous Year Comments:</t>
  </si>
  <si>
    <t>Do NOT exceed 390</t>
  </si>
  <si>
    <t>Additional comments:</t>
  </si>
  <si>
    <t>r^2:</t>
  </si>
  <si>
    <r>
      <t xml:space="preserve">*** YOUR MEDICAL PHYSICIST MUST SUMMARIZE HIS/HER RESULTS ON </t>
    </r>
    <r>
      <rPr>
        <b/>
        <i/>
        <u/>
        <sz val="12"/>
        <color indexed="10"/>
        <rFont val="Arial"/>
        <family val="2"/>
      </rPr>
      <t>THIS</t>
    </r>
    <r>
      <rPr>
        <b/>
        <i/>
        <sz val="12"/>
        <color indexed="10"/>
        <rFont val="Arial"/>
        <family val="2"/>
      </rPr>
      <t xml:space="preserve"> FORM ***</t>
    </r>
  </si>
  <si>
    <r>
      <t xml:space="preserve">15.  Review Workstation (RWS) Tests </t>
    </r>
    <r>
      <rPr>
        <i/>
        <sz val="10"/>
        <rFont val="Arial"/>
        <family val="2"/>
      </rPr>
      <t>(for all RWS, even if located offsite; NA if only hardcopy read)</t>
    </r>
  </si>
  <si>
    <r>
      <t xml:space="preserve">12.  HVL and Radiation Output </t>
    </r>
    <r>
      <rPr>
        <i/>
        <sz val="10"/>
        <rFont val="Arial"/>
        <family val="2"/>
      </rPr>
      <t/>
    </r>
  </si>
  <si>
    <r>
      <t xml:space="preserve">Average glandular dose for average breast is </t>
    </r>
    <r>
      <rPr>
        <u/>
        <sz val="12"/>
        <rFont val="Arial"/>
        <family val="2"/>
      </rPr>
      <t>&lt;</t>
    </r>
    <r>
      <rPr>
        <sz val="12"/>
        <rFont val="Arial"/>
        <family val="2"/>
      </rPr>
      <t>3 mGy (300 mrad)</t>
    </r>
  </si>
  <si>
    <t xml:space="preserve">(*largest 4 fibers, 3 speck groups and 3 masses acceptable if spatial resolution and CNR pass) </t>
  </si>
  <si>
    <r>
      <t xml:space="preserve">Largest 5 fibers, 4 speck groups and 4 masses visible* </t>
    </r>
    <r>
      <rPr>
        <i/>
        <sz val="10"/>
        <rFont val="Arial"/>
        <family val="2"/>
      </rPr>
      <t/>
    </r>
  </si>
  <si>
    <r>
      <t xml:space="preserve">CV for mAs and entrance air kerma </t>
    </r>
    <r>
      <rPr>
        <u/>
        <sz val="12"/>
        <rFont val="Arial"/>
        <family val="2"/>
      </rPr>
      <t>&lt;</t>
    </r>
    <r>
      <rPr>
        <sz val="12"/>
        <rFont val="Arial"/>
        <family val="2"/>
      </rPr>
      <t>5%</t>
    </r>
  </si>
  <si>
    <r>
      <t>8.    Spatial Resolution</t>
    </r>
    <r>
      <rPr>
        <i/>
        <sz val="10"/>
        <rFont val="Arial"/>
        <family val="2"/>
      </rPr>
      <t/>
    </r>
  </si>
  <si>
    <t xml:space="preserve">1.    Site Audit/Evaluation of Technologist QC Program </t>
  </si>
  <si>
    <t xml:space="preserve">("Pass" means all components of the test passes; indicate "Fail" if any component fails. Tests must be done for both on and off-site equipment.) </t>
  </si>
  <si>
    <r>
      <t>(</t>
    </r>
    <r>
      <rPr>
        <i/>
        <sz val="9"/>
        <rFont val="Arial"/>
        <family val="2"/>
      </rPr>
      <t>use version applicable to unit tested; contact mfr if questions</t>
    </r>
    <r>
      <rPr>
        <sz val="9"/>
        <rFont val="Arial"/>
        <family val="2"/>
      </rPr>
      <t>)</t>
    </r>
  </si>
  <si>
    <r>
      <t>QC Manual Version #</t>
    </r>
    <r>
      <rPr>
        <i/>
        <sz val="10"/>
        <rFont val="Arial"/>
        <family val="2"/>
      </rPr>
      <t/>
    </r>
  </si>
  <si>
    <r>
      <t xml:space="preserve">Important: 
</t>
    </r>
    <r>
      <rPr>
        <sz val="12"/>
        <rFont val="Arial"/>
        <family val="2"/>
      </rPr>
      <t xml:space="preserve">1. The facility's "quality assurance program shall be </t>
    </r>
    <r>
      <rPr>
        <b/>
        <i/>
        <sz val="12"/>
        <rFont val="Arial"/>
        <family val="2"/>
      </rPr>
      <t>substantially the same</t>
    </r>
    <r>
      <rPr>
        <sz val="12"/>
        <rFont val="Arial"/>
        <family val="2"/>
      </rPr>
      <t xml:space="preserve"> as the quality assurance program recommended by the </t>
    </r>
    <r>
      <rPr>
        <b/>
        <i/>
        <sz val="12"/>
        <rFont val="Arial"/>
        <family val="2"/>
      </rPr>
      <t>image receptor [digital detector] manufacturer</t>
    </r>
    <r>
      <rPr>
        <sz val="12"/>
        <rFont val="Arial"/>
        <family val="2"/>
      </rPr>
      <t xml:space="preserve">." This is required by the FDA.
2. Use the QC manual version provided by the manufacturer </t>
    </r>
    <r>
      <rPr>
        <b/>
        <i/>
        <sz val="12"/>
        <rFont val="Arial"/>
        <family val="2"/>
      </rPr>
      <t>for the digital system surveyed</t>
    </r>
    <r>
      <rPr>
        <sz val="12"/>
        <rFont val="Arial"/>
        <family val="2"/>
      </rPr>
      <t>. 
3. If the RWS or printer is FDA-cleared for FFDM, their</t>
    </r>
    <r>
      <rPr>
        <b/>
        <i/>
        <sz val="12"/>
        <rFont val="Arial"/>
        <family val="2"/>
      </rPr>
      <t xml:space="preserve"> QC manual</t>
    </r>
    <r>
      <rPr>
        <sz val="12"/>
        <rFont val="Arial"/>
        <family val="2"/>
      </rPr>
      <t xml:space="preserve"> is considered to be </t>
    </r>
    <r>
      <rPr>
        <b/>
        <i/>
        <sz val="12"/>
        <rFont val="Arial"/>
        <family val="2"/>
      </rPr>
      <t>"substantially the same"</t>
    </r>
    <r>
      <rPr>
        <sz val="12"/>
        <rFont val="Arial"/>
        <family val="2"/>
      </rPr>
      <t xml:space="preserve"> and may be followed. (Check with the RWS or printer manufacturers for their clearance status and QC manual.) 
4. If the RWS or printer is not cleared by the FDA for FFDM, </t>
    </r>
    <r>
      <rPr>
        <b/>
        <i/>
        <sz val="12"/>
        <rFont val="Arial"/>
        <family val="2"/>
      </rPr>
      <t>follow the QC manual provided by the image receptor manufacturer</t>
    </r>
    <r>
      <rPr>
        <sz val="12"/>
        <rFont val="Arial"/>
        <family val="2"/>
      </rPr>
      <t xml:space="preserve">. (Check with the image receptor manufacturer for their required tests.)
5. All tests must be evaluated for the facility's </t>
    </r>
    <r>
      <rPr>
        <b/>
        <i/>
        <sz val="12"/>
        <rFont val="Arial"/>
        <family val="2"/>
      </rPr>
      <t>on and off-site</t>
    </r>
    <r>
      <rPr>
        <sz val="12"/>
        <rFont val="Arial"/>
        <family val="2"/>
      </rPr>
      <t xml:space="preserve"> equipment. If the evaluation was done on a different 
day than the survey date, note the date above.
6. See the FDA-approved alternative standard for Siemens FFDM regarding corrective action periods when components fail QC. However, if these tests are performed as part of a Mammography Equipment Evaluation (e.g., for a new system), corrective action must be taken before mammographic images are acquired.</t>
    </r>
  </si>
  <si>
    <r>
      <t xml:space="preserve">Review Workstation QC-Overall </t>
    </r>
    <r>
      <rPr>
        <i/>
        <sz val="10"/>
        <rFont val="Arial"/>
        <family val="2"/>
      </rPr>
      <t>(NA if only hardcopy read)</t>
    </r>
  </si>
  <si>
    <r>
      <t>Relocating units:</t>
    </r>
    <r>
      <rPr>
        <i/>
        <sz val="10"/>
        <color indexed="8"/>
        <rFont val="Arial"/>
        <family val="2"/>
      </rPr>
      <t xml:space="preserve"> </t>
    </r>
    <r>
      <rPr>
        <sz val="10"/>
        <color indexed="8"/>
        <rFont val="Arial"/>
        <family val="2"/>
      </rPr>
      <t xml:space="preserve">This section is </t>
    </r>
    <r>
      <rPr>
        <b/>
        <i/>
        <sz val="10"/>
        <color indexed="8"/>
        <rFont val="Arial"/>
        <family val="2"/>
      </rPr>
      <t>not</t>
    </r>
    <r>
      <rPr>
        <sz val="10"/>
        <color indexed="8"/>
        <rFont val="Arial"/>
        <family val="2"/>
      </rPr>
      <t xml:space="preserve"> required if the medical physicist does </t>
    </r>
    <r>
      <rPr>
        <b/>
        <i/>
        <sz val="10"/>
        <color indexed="8"/>
        <rFont val="Arial"/>
        <family val="2"/>
      </rPr>
      <t>not</t>
    </r>
    <r>
      <rPr>
        <sz val="10"/>
        <color indexed="8"/>
        <rFont val="Arial"/>
        <family val="2"/>
      </rPr>
      <t xml:space="preserve"> conduct a complete annual survey after relocation.</t>
    </r>
  </si>
  <si>
    <r>
      <t>Existing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complete this section as part of the unit's annual survey.</t>
    </r>
  </si>
  <si>
    <r>
      <t>New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review the technologist QC </t>
    </r>
    <r>
      <rPr>
        <b/>
        <i/>
        <sz val="10"/>
        <color indexed="8"/>
        <rFont val="Arial"/>
        <family val="2"/>
      </rPr>
      <t xml:space="preserve">within 45 days of installation </t>
    </r>
    <r>
      <rPr>
        <sz val="10"/>
        <color indexed="8"/>
        <rFont val="Arial"/>
        <family val="2"/>
      </rPr>
      <t>and complete this section. The facility is required to submit the entire Mammography Equipment Evaluation report (including this form) along with their testing materials for accreditation.</t>
    </r>
  </si>
</sst>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0.0"/>
    <numFmt numFmtId="165" formatCode="0.0%"/>
    <numFmt numFmtId="166" formatCode="mmm\-yyyy"/>
    <numFmt numFmtId="167" formatCode="0.000"/>
    <numFmt numFmtId="168" formatCode="dd\-mmm\-yyyy"/>
    <numFmt numFmtId="169" formatCode="dd\-mmm\-yy"/>
    <numFmt numFmtId="170" formatCode="0.00E+000"/>
    <numFmt numFmtId="171" formatCode="0.0000"/>
    <numFmt numFmtId="172" formatCode="[$$-409]#,##0.00;[Red]&quot;-&quot;[$$-409]#,##0.00"/>
    <numFmt numFmtId="173" formatCode="mmm/yyyy"/>
    <numFmt numFmtId="174" formatCode="#"/>
    <numFmt numFmtId="175" formatCode="[$-409]d/mmm/yyyy;@"/>
  </numFmts>
  <fonts count="63">
    <font>
      <sz val="11"/>
      <color theme="1"/>
      <name val="Arial1"/>
    </font>
    <font>
      <sz val="11"/>
      <color theme="1"/>
      <name val="Arial1"/>
    </font>
    <font>
      <sz val="10"/>
      <color theme="1"/>
      <name val="Arial"/>
      <family val="2"/>
    </font>
    <font>
      <b/>
      <i/>
      <sz val="16"/>
      <color theme="1"/>
      <name val="Arial1"/>
    </font>
    <font>
      <b/>
      <i/>
      <u/>
      <sz val="11"/>
      <color theme="1"/>
      <name val="Arial1"/>
    </font>
    <font>
      <sz val="8"/>
      <color theme="1"/>
      <name val="Liberation Serif"/>
      <family val="1"/>
    </font>
    <font>
      <sz val="10"/>
      <color theme="1"/>
      <name val="Liberation Serif"/>
      <family val="1"/>
    </font>
    <font>
      <sz val="12"/>
      <color theme="1"/>
      <name val="Liberation Serif"/>
      <family val="1"/>
    </font>
    <font>
      <b/>
      <u/>
      <sz val="12"/>
      <color theme="1"/>
      <name val="Liberation Serif"/>
      <family val="1"/>
    </font>
    <font>
      <sz val="11"/>
      <color theme="1"/>
      <name val="Liberation Serif"/>
      <family val="1"/>
    </font>
    <font>
      <b/>
      <i/>
      <sz val="16"/>
      <color theme="1"/>
      <name val="Liberation Serif"/>
      <family val="1"/>
    </font>
    <font>
      <b/>
      <i/>
      <sz val="12"/>
      <color theme="1"/>
      <name val="Liberation Serif"/>
      <family val="1"/>
    </font>
    <font>
      <b/>
      <sz val="12"/>
      <color theme="1"/>
      <name val="Liberation Serif"/>
      <family val="1"/>
    </font>
    <font>
      <sz val="12"/>
      <color rgb="FFFF0000"/>
      <name val="Liberation Serif"/>
      <family val="1"/>
    </font>
    <font>
      <b/>
      <sz val="14"/>
      <color theme="1"/>
      <name val="Liberation Serif"/>
      <family val="1"/>
    </font>
    <font>
      <b/>
      <sz val="10"/>
      <color theme="1"/>
      <name val="Liberation Serif"/>
      <family val="1"/>
    </font>
    <font>
      <u/>
      <sz val="12"/>
      <color theme="1"/>
      <name val="Liberation Serif"/>
      <family val="1"/>
    </font>
    <font>
      <sz val="10"/>
      <color rgb="FFFF6633"/>
      <name val="Liberation Serif"/>
      <family val="1"/>
    </font>
    <font>
      <b/>
      <sz val="11"/>
      <color theme="1"/>
      <name val="Liberation Serif"/>
      <family val="1"/>
    </font>
    <font>
      <sz val="10"/>
      <color theme="1"/>
      <name val="Arial1"/>
    </font>
    <font>
      <vertAlign val="superscript"/>
      <sz val="10"/>
      <color theme="1"/>
      <name val="Arial1"/>
    </font>
    <font>
      <b/>
      <sz val="10"/>
      <color theme="1"/>
      <name val="Arial2"/>
    </font>
    <font>
      <b/>
      <sz val="12"/>
      <name val="Times New Roman"/>
      <family val="1"/>
    </font>
    <font>
      <sz val="10"/>
      <name val="Times New Roman"/>
      <family val="1"/>
    </font>
    <font>
      <sz val="8"/>
      <name val="Times New Roman"/>
      <family val="1"/>
    </font>
    <font>
      <b/>
      <sz val="10"/>
      <color indexed="12"/>
      <name val="Times New Roman"/>
      <family val="1"/>
    </font>
    <font>
      <sz val="10"/>
      <color indexed="12"/>
      <name val="Times New Roman"/>
      <family val="1"/>
    </font>
    <font>
      <sz val="10"/>
      <color indexed="53"/>
      <name val="Times New Roman"/>
      <family val="1"/>
    </font>
    <font>
      <b/>
      <sz val="10"/>
      <color indexed="53"/>
      <name val="Times New Roman"/>
      <family val="1"/>
    </font>
    <font>
      <b/>
      <sz val="8"/>
      <color indexed="53"/>
      <name val="Times New Roman"/>
      <family val="1"/>
    </font>
    <font>
      <sz val="8"/>
      <color indexed="61"/>
      <name val="Times New Roman"/>
      <family val="1"/>
    </font>
    <font>
      <sz val="9"/>
      <name val="Times New Roman"/>
      <family val="1"/>
    </font>
    <font>
      <sz val="10"/>
      <color indexed="61"/>
      <name val="Times New Roman"/>
      <family val="1"/>
    </font>
    <font>
      <b/>
      <sz val="8"/>
      <name val="Times New Roman"/>
      <family val="1"/>
    </font>
    <font>
      <b/>
      <sz val="10"/>
      <name val="Times New Roman"/>
      <family val="1"/>
    </font>
    <font>
      <sz val="10"/>
      <name val="Arial"/>
      <family val="2"/>
    </font>
    <font>
      <b/>
      <i/>
      <sz val="12"/>
      <color indexed="10"/>
      <name val="Arial"/>
      <family val="2"/>
    </font>
    <font>
      <b/>
      <i/>
      <u/>
      <sz val="12"/>
      <color indexed="10"/>
      <name val="Arial"/>
      <family val="2"/>
    </font>
    <font>
      <b/>
      <sz val="12"/>
      <name val="Arial"/>
      <family val="2"/>
    </font>
    <font>
      <i/>
      <sz val="10"/>
      <name val="Arial"/>
      <family val="2"/>
    </font>
    <font>
      <sz val="12"/>
      <name val="Arial"/>
      <family val="2"/>
    </font>
    <font>
      <u/>
      <sz val="12"/>
      <name val="Arial"/>
      <family val="2"/>
    </font>
    <font>
      <b/>
      <sz val="11"/>
      <name val="Arial"/>
      <family val="2"/>
    </font>
    <font>
      <b/>
      <sz val="18"/>
      <name val="Arial"/>
      <family val="2"/>
    </font>
    <font>
      <b/>
      <sz val="11"/>
      <color indexed="8"/>
      <name val="Arial"/>
      <family val="2"/>
    </font>
    <font>
      <sz val="11"/>
      <name val="Arial"/>
      <family val="2"/>
    </font>
    <font>
      <b/>
      <sz val="10"/>
      <name val="Arial"/>
      <family val="2"/>
    </font>
    <font>
      <b/>
      <sz val="10"/>
      <color indexed="8"/>
      <name val="Arial"/>
      <family val="2"/>
    </font>
    <font>
      <sz val="9"/>
      <name val="Arial"/>
      <family val="2"/>
    </font>
    <font>
      <i/>
      <sz val="9"/>
      <name val="Arial"/>
      <family val="2"/>
    </font>
    <font>
      <b/>
      <sz val="20"/>
      <name val="Arial"/>
      <family val="2"/>
    </font>
    <font>
      <b/>
      <sz val="8"/>
      <color indexed="81"/>
      <name val="Tahoma"/>
      <family val="2"/>
    </font>
    <font>
      <sz val="8"/>
      <color indexed="81"/>
      <name val="Tahoma"/>
      <family val="2"/>
    </font>
    <font>
      <b/>
      <i/>
      <sz val="12"/>
      <name val="Arial"/>
      <family val="2"/>
    </font>
    <font>
      <b/>
      <sz val="12"/>
      <name val="Arial Narrow"/>
      <family val="2"/>
    </font>
    <font>
      <b/>
      <i/>
      <sz val="10"/>
      <color indexed="8"/>
      <name val="Arial"/>
      <family val="2"/>
    </font>
    <font>
      <i/>
      <sz val="10"/>
      <color indexed="8"/>
      <name val="Arial"/>
      <family val="2"/>
    </font>
    <font>
      <sz val="10"/>
      <color indexed="8"/>
      <name val="Arial"/>
      <family val="2"/>
    </font>
    <font>
      <i/>
      <sz val="14"/>
      <name val="Arial"/>
      <family val="2"/>
    </font>
    <font>
      <b/>
      <i/>
      <sz val="14"/>
      <name val="Arial"/>
      <family val="2"/>
    </font>
    <font>
      <sz val="11"/>
      <color theme="1"/>
      <name val="Arial"/>
      <family val="2"/>
    </font>
    <font>
      <sz val="8"/>
      <color rgb="FF000000"/>
      <name val="Tahoma"/>
      <family val="2"/>
    </font>
    <font>
      <sz val="12"/>
      <name val="Liberation Serif"/>
      <family val="1"/>
    </font>
  </fonts>
  <fills count="21">
    <fill>
      <patternFill patternType="none"/>
    </fill>
    <fill>
      <patternFill patternType="gray125"/>
    </fill>
    <fill>
      <patternFill patternType="solid">
        <fgColor rgb="FF66FF66"/>
        <bgColor rgb="FF66FF66"/>
      </patternFill>
    </fill>
    <fill>
      <patternFill patternType="solid">
        <fgColor rgb="FFFF0000"/>
        <bgColor rgb="FFFF0000"/>
      </patternFill>
    </fill>
    <fill>
      <patternFill patternType="solid">
        <fgColor rgb="FF3DEB3D"/>
        <bgColor rgb="FF3DEB3D"/>
      </patternFill>
    </fill>
    <fill>
      <patternFill patternType="solid">
        <fgColor rgb="FF23B8DC"/>
        <bgColor rgb="FF23B8DC"/>
      </patternFill>
    </fill>
    <fill>
      <patternFill patternType="solid">
        <fgColor rgb="FFE6E6E6"/>
        <bgColor rgb="FFE6E6E6"/>
      </patternFill>
    </fill>
    <fill>
      <patternFill patternType="solid">
        <fgColor rgb="FFFFFFFF"/>
        <bgColor rgb="FFFFFFFF"/>
      </patternFill>
    </fill>
    <fill>
      <patternFill patternType="solid">
        <fgColor rgb="FFFFFF99"/>
        <bgColor rgb="FFFFFF99"/>
      </patternFill>
    </fill>
    <fill>
      <patternFill patternType="solid">
        <fgColor rgb="FF00FFFF"/>
        <bgColor rgb="FF00FFFF"/>
      </patternFill>
    </fill>
    <fill>
      <patternFill patternType="solid">
        <fgColor rgb="FFB4FFFF"/>
        <bgColor rgb="FFB4FFFF"/>
      </patternFill>
    </fill>
    <fill>
      <patternFill patternType="solid">
        <fgColor rgb="FFFFFFC0"/>
        <bgColor rgb="FFFFFFC0"/>
      </patternFill>
    </fill>
    <fill>
      <patternFill patternType="solid">
        <fgColor rgb="FFEEEEEE"/>
        <bgColor rgb="FFEEEEEE"/>
      </patternFill>
    </fill>
    <fill>
      <patternFill patternType="solid">
        <fgColor rgb="FF99CCFF"/>
        <bgColor rgb="FF99CCFF"/>
      </patternFill>
    </fill>
    <fill>
      <patternFill patternType="solid">
        <fgColor rgb="FFCCFFCC"/>
        <bgColor rgb="FFCCFFCC"/>
      </patternFill>
    </fill>
    <fill>
      <patternFill patternType="solid">
        <fgColor theme="0" tint="-0.14999847407452621"/>
        <bgColor indexed="64"/>
      </patternFill>
    </fill>
    <fill>
      <patternFill patternType="solid">
        <fgColor theme="0" tint="-0.249977111117893"/>
        <bgColor indexed="64"/>
      </patternFill>
    </fill>
    <fill>
      <patternFill patternType="mediumGray">
        <fgColor indexed="9"/>
        <bgColor indexed="13"/>
      </patternFill>
    </fill>
    <fill>
      <patternFill patternType="mediumGray">
        <fgColor indexed="26"/>
        <bgColor indexed="26"/>
      </patternFill>
    </fill>
    <fill>
      <patternFill patternType="solid">
        <fgColor indexed="9"/>
        <bgColor indexed="64"/>
      </patternFill>
    </fill>
    <fill>
      <patternFill patternType="solid">
        <fgColor indexed="9"/>
        <bgColor indexed="8"/>
      </patternFill>
    </fill>
  </fills>
  <borders count="157">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double">
        <color auto="1"/>
      </left>
      <right/>
      <top/>
      <bottom/>
      <diagonal/>
    </border>
    <border>
      <left/>
      <right style="double">
        <color auto="1"/>
      </right>
      <top/>
      <bottom/>
      <diagonal/>
    </border>
    <border>
      <left style="medium">
        <color rgb="FF000000"/>
      </left>
      <right/>
      <top/>
      <bottom/>
      <diagonal/>
    </border>
    <border>
      <left/>
      <right style="medium">
        <color rgb="FF000000"/>
      </right>
      <top/>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thin">
        <color rgb="FF000000"/>
      </top>
      <bottom/>
      <diagonal/>
    </border>
    <border>
      <left/>
      <right/>
      <top/>
      <bottom style="thin">
        <color rgb="FF000000"/>
      </bottom>
      <diagonal/>
    </border>
    <border>
      <left/>
      <right/>
      <top style="thin">
        <color rgb="FF000000"/>
      </top>
      <bottom style="medium">
        <color rgb="FF000000"/>
      </bottom>
      <diagonal/>
    </border>
    <border>
      <left/>
      <right/>
      <top style="thin">
        <color rgb="FF000000"/>
      </top>
      <bottom style="thin">
        <color rgb="FF000000"/>
      </bottom>
      <diagonal/>
    </border>
    <border>
      <left style="medium">
        <color rgb="FF000000"/>
      </left>
      <right style="double">
        <color auto="1"/>
      </right>
      <top style="medium">
        <color rgb="FF000000"/>
      </top>
      <bottom/>
      <diagonal/>
    </border>
    <border>
      <left style="double">
        <color auto="1"/>
      </left>
      <right style="medium">
        <color rgb="FF000000"/>
      </right>
      <top style="medium">
        <color rgb="FF000000"/>
      </top>
      <bottom/>
      <diagonal/>
    </border>
    <border>
      <left style="medium">
        <color rgb="FF000000"/>
      </left>
      <right style="double">
        <color auto="1"/>
      </right>
      <top/>
      <bottom/>
      <diagonal/>
    </border>
    <border>
      <left style="double">
        <color auto="1"/>
      </left>
      <right/>
      <top/>
      <bottom style="thin">
        <color rgb="FF000000"/>
      </bottom>
      <diagonal/>
    </border>
    <border>
      <left/>
      <right style="medium">
        <color rgb="FF000000"/>
      </right>
      <top/>
      <bottom style="thin">
        <color rgb="FF000000"/>
      </bottom>
      <diagonal/>
    </border>
    <border>
      <left style="double">
        <color auto="1"/>
      </left>
      <right style="medium">
        <color rgb="FF000000"/>
      </right>
      <top/>
      <bottom style="thin">
        <color rgb="FF000000"/>
      </bottom>
      <diagonal/>
    </border>
    <border>
      <left style="double">
        <color auto="1"/>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double">
        <color auto="1"/>
      </right>
      <top style="double">
        <color auto="1"/>
      </top>
      <bottom style="thin">
        <color rgb="FF000000"/>
      </bottom>
      <diagonal/>
    </border>
    <border>
      <left style="double">
        <color auto="1"/>
      </left>
      <right style="thin">
        <color rgb="FF000000"/>
      </right>
      <top style="double">
        <color auto="1"/>
      </top>
      <bottom style="thin">
        <color rgb="FF000000"/>
      </bottom>
      <diagonal/>
    </border>
    <border>
      <left style="thin">
        <color rgb="FF000000"/>
      </left>
      <right style="thin">
        <color rgb="FF000000"/>
      </right>
      <top style="double">
        <color auto="1"/>
      </top>
      <bottom style="thin">
        <color rgb="FF000000"/>
      </bottom>
      <diagonal/>
    </border>
    <border>
      <left style="thin">
        <color rgb="FF000000"/>
      </left>
      <right style="medium">
        <color rgb="FF000000"/>
      </right>
      <top style="double">
        <color auto="1"/>
      </top>
      <bottom style="thin">
        <color rgb="FF000000"/>
      </bottom>
      <diagonal/>
    </border>
    <border>
      <left style="medium">
        <color rgb="FF000000"/>
      </left>
      <right style="double">
        <color auto="1"/>
      </right>
      <top style="thin">
        <color rgb="FF000000"/>
      </top>
      <bottom style="thin">
        <color rgb="FF000000"/>
      </bottom>
      <diagonal/>
    </border>
    <border>
      <left style="double">
        <color auto="1"/>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bottom style="thin">
        <color rgb="FF000000"/>
      </bottom>
      <diagonal/>
    </border>
    <border>
      <left style="medium">
        <color rgb="FF000000"/>
      </left>
      <right style="double">
        <color auto="1"/>
      </right>
      <top style="thin">
        <color rgb="FF000000"/>
      </top>
      <bottom style="medium">
        <color rgb="FF000000"/>
      </bottom>
      <diagonal/>
    </border>
    <border>
      <left style="double">
        <color auto="1"/>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top/>
      <bottom/>
      <diagonal/>
    </border>
    <border>
      <left style="medium">
        <color rgb="FF000000"/>
      </left>
      <right style="medium">
        <color rgb="FF000000"/>
      </right>
      <top style="medium">
        <color rgb="FF000000"/>
      </top>
      <bottom style="medium">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double">
        <color auto="1"/>
      </left>
      <right/>
      <top/>
      <bottom style="medium">
        <color rgb="FF000000"/>
      </bottom>
      <diagonal/>
    </border>
    <border>
      <left/>
      <right style="double">
        <color auto="1"/>
      </right>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style="double">
        <color auto="1"/>
      </right>
      <top/>
      <bottom style="thin">
        <color rgb="FF000000"/>
      </bottom>
      <diagonal/>
    </border>
    <border>
      <left style="medium">
        <color rgb="FF000000"/>
      </left>
      <right style="thin">
        <color rgb="FF000000"/>
      </right>
      <top style="thin">
        <color rgb="FF000000"/>
      </top>
      <bottom style="medium">
        <color rgb="FF000000"/>
      </bottom>
      <diagonal/>
    </border>
    <border>
      <left/>
      <right style="double">
        <color auto="1"/>
      </right>
      <top style="thin">
        <color rgb="FF000000"/>
      </top>
      <bottom style="thin">
        <color rgb="FF000000"/>
      </bottom>
      <diagonal/>
    </border>
    <border>
      <left style="thin">
        <color rgb="FF000000"/>
      </left>
      <right style="thin">
        <color rgb="FF000000"/>
      </right>
      <top/>
      <bottom/>
      <diagonal/>
    </border>
    <border>
      <left/>
      <right style="thin">
        <color rgb="FF000000"/>
      </right>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style="thin">
        <color rgb="FF000000"/>
      </left>
      <right style="double">
        <color auto="1"/>
      </right>
      <top style="medium">
        <color rgb="FF000000"/>
      </top>
      <bottom style="thin">
        <color rgb="FF000000"/>
      </bottom>
      <diagonal/>
    </border>
    <border>
      <left style="thin">
        <color rgb="FF000000"/>
      </left>
      <right style="double">
        <color auto="1"/>
      </right>
      <top style="thin">
        <color rgb="FF000000"/>
      </top>
      <bottom style="thin">
        <color rgb="FF000000"/>
      </bottom>
      <diagonal/>
    </border>
    <border>
      <left style="thin">
        <color rgb="FF000000"/>
      </left>
      <right style="double">
        <color auto="1"/>
      </right>
      <top style="thin">
        <color rgb="FF000000"/>
      </top>
      <bottom style="medium">
        <color rgb="FF000000"/>
      </bottom>
      <diagonal/>
    </border>
    <border>
      <left/>
      <right/>
      <top style="double">
        <color auto="1"/>
      </top>
      <bottom style="thin">
        <color rgb="FF000000"/>
      </bottom>
      <diagonal/>
    </border>
    <border>
      <left style="thin">
        <color rgb="FF000000"/>
      </left>
      <right style="thin">
        <color rgb="FF000000"/>
      </right>
      <top/>
      <bottom style="medium">
        <color rgb="FF000000"/>
      </bottom>
      <diagonal/>
    </border>
    <border>
      <left/>
      <right style="thin">
        <color rgb="FF000000"/>
      </right>
      <top style="thin">
        <color rgb="FF000000"/>
      </top>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double">
        <color auto="1"/>
      </left>
      <right/>
      <top style="medium">
        <color rgb="FF000000"/>
      </top>
      <bottom/>
      <diagonal/>
    </border>
    <border>
      <left/>
      <right style="double">
        <color auto="1"/>
      </right>
      <top style="medium">
        <color rgb="FF000000"/>
      </top>
      <bottom/>
      <diagonal/>
    </border>
    <border>
      <left style="thin">
        <color rgb="FF000000"/>
      </left>
      <right style="thin">
        <color rgb="FF000000"/>
      </right>
      <top/>
      <bottom style="thin">
        <color indexed="64"/>
      </bottom>
      <diagonal/>
    </border>
    <border>
      <left style="medium">
        <color auto="1"/>
      </left>
      <right/>
      <top/>
      <bottom/>
      <diagonal/>
    </border>
    <border>
      <left/>
      <right/>
      <top style="medium">
        <color rgb="FF000000"/>
      </top>
      <bottom style="thin">
        <color rgb="FF000000"/>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double">
        <color indexed="64"/>
      </right>
      <top/>
      <bottom style="thin">
        <color indexed="64"/>
      </bottom>
      <diagonal/>
    </border>
    <border>
      <left/>
      <right/>
      <top/>
      <bottom style="medium">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double">
        <color auto="1"/>
      </left>
      <right/>
      <top/>
      <bottom style="medium">
        <color auto="1"/>
      </bottom>
      <diagonal/>
    </border>
    <border>
      <left/>
      <right style="double">
        <color auto="1"/>
      </right>
      <top/>
      <bottom style="medium">
        <color auto="1"/>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diagonal/>
    </border>
    <border>
      <left style="thin">
        <color indexed="64"/>
      </left>
      <right style="double">
        <color indexed="64"/>
      </right>
      <top style="medium">
        <color indexed="64"/>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
      <left style="medium">
        <color rgb="FF000000"/>
      </left>
      <right/>
      <top style="thin">
        <color rgb="FF000000"/>
      </top>
      <bottom/>
      <diagonal/>
    </border>
    <border>
      <left/>
      <right/>
      <top/>
      <bottom style="hair">
        <color indexed="64"/>
      </bottom>
      <diagonal/>
    </border>
    <border>
      <left style="medium">
        <color auto="1"/>
      </left>
      <right/>
      <top style="thin">
        <color indexed="64"/>
      </top>
      <bottom style="thin">
        <color indexed="64"/>
      </bottom>
      <diagonal/>
    </border>
    <border>
      <left style="medium">
        <color auto="1"/>
      </left>
      <right/>
      <top style="thin">
        <color indexed="64"/>
      </top>
      <bottom/>
      <diagonal/>
    </border>
    <border>
      <left/>
      <right/>
      <top style="hair">
        <color indexed="64"/>
      </top>
      <bottom style="hair">
        <color indexed="64"/>
      </bottom>
      <diagonal/>
    </border>
    <border>
      <left/>
      <right style="double">
        <color auto="1"/>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auto="1"/>
      </bottom>
      <diagonal/>
    </border>
    <border>
      <left style="thin">
        <color indexed="64"/>
      </left>
      <right style="medium">
        <color indexed="64"/>
      </right>
      <top style="medium">
        <color indexed="64"/>
      </top>
      <bottom style="medium">
        <color indexed="64"/>
      </bottom>
      <diagonal/>
    </border>
  </borders>
  <cellStyleXfs count="13">
    <xf numFmtId="0" fontId="0" fillId="0" borderId="0">
      <alignment vertical="top"/>
    </xf>
    <xf numFmtId="0" fontId="2" fillId="2" borderId="0">
      <alignment vertical="top"/>
    </xf>
    <xf numFmtId="0" fontId="1" fillId="0" borderId="0">
      <alignment vertical="top"/>
    </xf>
    <xf numFmtId="0" fontId="1" fillId="3" borderId="0"/>
    <xf numFmtId="0" fontId="3" fillId="0" borderId="0">
      <alignment horizontal="center" vertical="top"/>
    </xf>
    <xf numFmtId="0" fontId="3" fillId="0" borderId="0">
      <alignment horizontal="center" vertical="top" textRotation="90"/>
    </xf>
    <xf numFmtId="0" fontId="1" fillId="4" borderId="0"/>
    <xf numFmtId="0" fontId="4" fillId="0" borderId="0">
      <alignment vertical="top"/>
    </xf>
    <xf numFmtId="172" fontId="4" fillId="0" borderId="0">
      <alignment vertical="top"/>
    </xf>
    <xf numFmtId="9" fontId="1" fillId="0" borderId="0" applyFont="0" applyFill="0" applyBorder="0" applyAlignment="0" applyProtection="0"/>
    <xf numFmtId="1" fontId="23" fillId="17" borderId="74">
      <alignment horizontal="left" vertical="center"/>
      <protection locked="0"/>
    </xf>
    <xf numFmtId="0" fontId="35" fillId="0" borderId="0"/>
    <xf numFmtId="0" fontId="40" fillId="0" borderId="0">
      <alignment vertical="top"/>
    </xf>
  </cellStyleXfs>
  <cellXfs count="784">
    <xf numFmtId="0" fontId="0" fillId="0" borderId="0" xfId="0">
      <alignment vertical="top"/>
    </xf>
    <xf numFmtId="0" fontId="7" fillId="8" borderId="20" xfId="0" applyFont="1" applyFill="1" applyBorder="1" applyAlignment="1">
      <alignment horizontal="center"/>
    </xf>
    <xf numFmtId="164" fontId="7" fillId="11" borderId="47" xfId="0" applyNumberFormat="1" applyFont="1" applyFill="1" applyBorder="1" applyAlignment="1" applyProtection="1">
      <alignment horizontal="center" vertical="center"/>
      <protection locked="0"/>
    </xf>
    <xf numFmtId="164" fontId="7" fillId="11" borderId="11" xfId="0" applyNumberFormat="1" applyFont="1" applyFill="1" applyBorder="1" applyAlignment="1" applyProtection="1">
      <alignment horizontal="center" vertical="center"/>
      <protection locked="0"/>
    </xf>
    <xf numFmtId="0" fontId="7" fillId="9" borderId="11" xfId="0" applyFont="1" applyFill="1" applyBorder="1" applyAlignment="1">
      <alignment horizontal="center" vertical="center"/>
    </xf>
    <xf numFmtId="0" fontId="15" fillId="0" borderId="0" xfId="0" applyFont="1" applyBorder="1" applyAlignment="1">
      <alignment horizontal="right" vertical="center"/>
    </xf>
    <xf numFmtId="0" fontId="9" fillId="0" borderId="0" xfId="0" applyFont="1" applyAlignment="1">
      <alignment vertical="center"/>
    </xf>
    <xf numFmtId="0" fontId="0" fillId="0" borderId="0" xfId="0" applyAlignment="1">
      <alignment horizontal="center"/>
    </xf>
    <xf numFmtId="164" fontId="9" fillId="0" borderId="0" xfId="0" applyNumberFormat="1" applyFont="1" applyAlignment="1">
      <alignment horizontal="center"/>
    </xf>
    <xf numFmtId="0" fontId="21" fillId="0" borderId="0" xfId="0" applyFont="1">
      <alignment vertical="top"/>
    </xf>
    <xf numFmtId="0" fontId="0" fillId="13" borderId="0" xfId="0" applyFill="1" applyProtection="1">
      <alignment vertical="top"/>
      <protection locked="0"/>
    </xf>
    <xf numFmtId="2" fontId="0" fillId="14" borderId="0" xfId="0" applyNumberFormat="1" applyFill="1" applyProtection="1">
      <alignment vertical="top"/>
      <protection hidden="1"/>
    </xf>
    <xf numFmtId="0" fontId="15" fillId="0" borderId="0" xfId="0" applyFont="1" applyBorder="1" applyAlignment="1">
      <alignment horizontal="left" vertical="center"/>
    </xf>
    <xf numFmtId="0" fontId="7" fillId="0" borderId="0" xfId="0" applyFont="1" applyAlignment="1">
      <alignment horizontal="center" vertical="center"/>
    </xf>
    <xf numFmtId="0" fontId="7" fillId="0" borderId="0" xfId="0" applyFont="1" applyAlignment="1">
      <alignment horizontal="center" vertical="center"/>
    </xf>
    <xf numFmtId="0" fontId="7" fillId="0" borderId="11" xfId="0" applyFont="1" applyBorder="1" applyAlignment="1">
      <alignment horizontal="center" vertical="center"/>
    </xf>
    <xf numFmtId="2" fontId="7" fillId="0" borderId="11" xfId="0" applyNumberFormat="1" applyFont="1" applyBorder="1" applyAlignment="1">
      <alignment horizontal="center" vertical="center"/>
    </xf>
    <xf numFmtId="167" fontId="7" fillId="0" borderId="11" xfId="0" applyNumberFormat="1" applyFont="1" applyBorder="1" applyAlignment="1">
      <alignment horizontal="center" vertical="center"/>
    </xf>
    <xf numFmtId="2" fontId="7" fillId="0" borderId="48" xfId="0" applyNumberFormat="1" applyFont="1" applyBorder="1" applyAlignment="1">
      <alignment horizontal="center" vertical="center"/>
    </xf>
    <xf numFmtId="10" fontId="7" fillId="0" borderId="74" xfId="9" applyNumberFormat="1" applyFont="1" applyBorder="1" applyAlignment="1">
      <alignment horizontal="center" vertical="center"/>
    </xf>
    <xf numFmtId="0" fontId="7" fillId="0" borderId="11" xfId="0" applyFont="1" applyFill="1" applyBorder="1" applyAlignment="1">
      <alignment horizontal="center" vertical="center"/>
    </xf>
    <xf numFmtId="0" fontId="5" fillId="0" borderId="0" xfId="0" applyFont="1" applyAlignment="1">
      <alignment horizontal="center" vertical="center"/>
    </xf>
    <xf numFmtId="0" fontId="6" fillId="0" borderId="1" xfId="0" applyFont="1" applyBorder="1" applyAlignment="1">
      <alignment vertical="center"/>
    </xf>
    <xf numFmtId="0" fontId="6" fillId="0" borderId="2" xfId="0" applyFont="1" applyBorder="1" applyAlignment="1">
      <alignment vertical="center"/>
    </xf>
    <xf numFmtId="0" fontId="6" fillId="0" borderId="3" xfId="0" applyFont="1" applyBorder="1" applyAlignment="1">
      <alignment vertical="center"/>
    </xf>
    <xf numFmtId="0" fontId="7" fillId="0" borderId="0" xfId="0" applyFont="1" applyAlignment="1">
      <alignment vertical="center"/>
    </xf>
    <xf numFmtId="0" fontId="7" fillId="0" borderId="4" xfId="0" applyFont="1" applyBorder="1" applyAlignment="1">
      <alignment horizontal="left" vertical="center"/>
    </xf>
    <xf numFmtId="0" fontId="7" fillId="0" borderId="5" xfId="0" applyFont="1" applyBorder="1" applyAlignment="1">
      <alignment vertical="center"/>
    </xf>
    <xf numFmtId="0" fontId="7" fillId="0" borderId="6" xfId="0" applyFont="1" applyBorder="1" applyAlignment="1">
      <alignment vertical="center"/>
    </xf>
    <xf numFmtId="0" fontId="8" fillId="0" borderId="0" xfId="0" applyFont="1" applyAlignment="1">
      <alignment horizontal="center" vertical="center"/>
    </xf>
    <xf numFmtId="0" fontId="6" fillId="0" borderId="7" xfId="0" applyFont="1" applyBorder="1" applyAlignment="1">
      <alignment vertical="center"/>
    </xf>
    <xf numFmtId="0" fontId="6" fillId="0" borderId="0" xfId="0" applyFont="1" applyAlignment="1">
      <alignment vertical="center"/>
    </xf>
    <xf numFmtId="0" fontId="10" fillId="0" borderId="0" xfId="0" applyFont="1" applyAlignment="1">
      <alignment horizontal="center" vertical="center"/>
    </xf>
    <xf numFmtId="0" fontId="6" fillId="0" borderId="8" xfId="0" applyFont="1" applyBorder="1" applyAlignment="1">
      <alignment vertical="center"/>
    </xf>
    <xf numFmtId="0" fontId="7" fillId="0" borderId="9" xfId="0" applyFont="1" applyBorder="1" applyAlignment="1">
      <alignment vertical="center"/>
    </xf>
    <xf numFmtId="0" fontId="11" fillId="0" borderId="0" xfId="0" applyFont="1" applyAlignment="1">
      <alignment horizontal="center" vertical="center"/>
    </xf>
    <xf numFmtId="0" fontId="7" fillId="0" borderId="10" xfId="0" applyFont="1" applyBorder="1" applyAlignment="1">
      <alignment vertical="center"/>
    </xf>
    <xf numFmtId="169" fontId="7" fillId="5" borderId="11" xfId="0" applyNumberFormat="1" applyFont="1" applyFill="1" applyBorder="1" applyAlignment="1">
      <alignment horizontal="left" vertical="center"/>
    </xf>
    <xf numFmtId="169" fontId="7" fillId="6" borderId="12" xfId="0" applyNumberFormat="1" applyFont="1" applyFill="1" applyBorder="1" applyAlignment="1">
      <alignment horizontal="left" vertical="center"/>
    </xf>
    <xf numFmtId="0" fontId="7" fillId="0" borderId="0" xfId="0" applyFont="1" applyAlignment="1">
      <alignment horizontal="right" vertical="center"/>
    </xf>
    <xf numFmtId="0" fontId="7" fillId="0" borderId="0" xfId="0" applyFont="1" applyAlignment="1">
      <alignment horizontal="left" vertical="center"/>
    </xf>
    <xf numFmtId="0" fontId="6" fillId="0" borderId="13" xfId="0" applyFont="1" applyBorder="1" applyAlignment="1">
      <alignment vertical="center"/>
    </xf>
    <xf numFmtId="0" fontId="6" fillId="0" borderId="14" xfId="0" applyFont="1" applyBorder="1" applyAlignment="1">
      <alignment vertical="center"/>
    </xf>
    <xf numFmtId="0" fontId="6" fillId="0" borderId="15" xfId="0" applyFont="1" applyBorder="1" applyAlignment="1">
      <alignment vertical="center"/>
    </xf>
    <xf numFmtId="0" fontId="7" fillId="0" borderId="16" xfId="0" applyFont="1" applyBorder="1" applyAlignment="1">
      <alignment vertical="center"/>
    </xf>
    <xf numFmtId="0" fontId="7" fillId="0" borderId="17" xfId="0" applyFont="1" applyBorder="1" applyAlignment="1">
      <alignment vertical="center"/>
    </xf>
    <xf numFmtId="0" fontId="7" fillId="0" borderId="18" xfId="0" applyFont="1" applyBorder="1" applyAlignment="1">
      <alignment vertical="center"/>
    </xf>
    <xf numFmtId="0" fontId="12" fillId="0" borderId="0" xfId="0" applyFont="1" applyAlignment="1">
      <alignment horizontal="right" vertical="center"/>
    </xf>
    <xf numFmtId="169" fontId="7" fillId="5" borderId="11" xfId="0" applyNumberFormat="1" applyFont="1" applyFill="1" applyBorder="1" applyAlignment="1">
      <alignment vertical="center"/>
    </xf>
    <xf numFmtId="169" fontId="7" fillId="0" borderId="19" xfId="0" applyNumberFormat="1" applyFont="1" applyFill="1" applyBorder="1" applyAlignment="1">
      <alignment vertical="center"/>
    </xf>
    <xf numFmtId="0" fontId="7" fillId="6" borderId="12" xfId="0" applyFont="1" applyFill="1" applyBorder="1" applyAlignment="1">
      <alignment vertical="center"/>
    </xf>
    <xf numFmtId="0" fontId="7" fillId="5" borderId="11" xfId="0" applyFont="1" applyFill="1" applyBorder="1" applyAlignment="1">
      <alignment vertical="center"/>
    </xf>
    <xf numFmtId="0" fontId="7" fillId="6" borderId="20" xfId="0" applyFont="1" applyFill="1" applyBorder="1" applyAlignment="1">
      <alignment horizontal="left" vertical="center"/>
    </xf>
    <xf numFmtId="0" fontId="13" fillId="0" borderId="0" xfId="0" applyFont="1" applyAlignment="1">
      <alignment vertical="center"/>
    </xf>
    <xf numFmtId="0" fontId="7" fillId="5" borderId="20" xfId="0" applyFont="1" applyFill="1" applyBorder="1" applyAlignment="1">
      <alignment horizontal="left" vertical="center"/>
    </xf>
    <xf numFmtId="0" fontId="14" fillId="0" borderId="0" xfId="0" applyFont="1" applyAlignment="1">
      <alignment horizontal="center" vertical="center"/>
    </xf>
    <xf numFmtId="169" fontId="7" fillId="6" borderId="12" xfId="0" applyNumberFormat="1" applyFont="1" applyFill="1" applyBorder="1" applyAlignment="1">
      <alignment vertical="center"/>
    </xf>
    <xf numFmtId="169" fontId="7" fillId="0" borderId="20" xfId="0" applyNumberFormat="1" applyFont="1" applyFill="1" applyBorder="1" applyAlignment="1">
      <alignment vertical="center"/>
    </xf>
    <xf numFmtId="0" fontId="12" fillId="0" borderId="0" xfId="0" applyFont="1" applyAlignment="1">
      <alignment horizontal="center" vertical="center"/>
    </xf>
    <xf numFmtId="0" fontId="7" fillId="0" borderId="17" xfId="0" applyFont="1" applyFill="1" applyBorder="1" applyAlignment="1">
      <alignment vertical="center"/>
    </xf>
    <xf numFmtId="0" fontId="7" fillId="0" borderId="21" xfId="0" applyFont="1" applyFill="1" applyBorder="1" applyAlignment="1">
      <alignment vertical="center"/>
    </xf>
    <xf numFmtId="169" fontId="7" fillId="6" borderId="20" xfId="0" applyNumberFormat="1" applyFont="1" applyFill="1" applyBorder="1" applyAlignment="1">
      <alignment vertical="center"/>
    </xf>
    <xf numFmtId="169" fontId="7" fillId="5" borderId="20" xfId="0" applyNumberFormat="1" applyFont="1" applyFill="1" applyBorder="1" applyAlignment="1">
      <alignment vertical="center"/>
    </xf>
    <xf numFmtId="0" fontId="7" fillId="0" borderId="1" xfId="0" applyFont="1" applyBorder="1" applyAlignment="1">
      <alignment vertical="center"/>
    </xf>
    <xf numFmtId="0" fontId="7" fillId="0" borderId="2" xfId="0" applyFont="1" applyBorder="1" applyAlignment="1">
      <alignment vertical="center"/>
    </xf>
    <xf numFmtId="0" fontId="12" fillId="0" borderId="2" xfId="0" applyFont="1" applyBorder="1" applyAlignment="1">
      <alignment vertical="center"/>
    </xf>
    <xf numFmtId="0" fontId="7" fillId="0" borderId="3" xfId="0" applyFont="1" applyBorder="1" applyAlignment="1">
      <alignment vertical="center"/>
    </xf>
    <xf numFmtId="0" fontId="7" fillId="0" borderId="4" xfId="0" applyFont="1" applyBorder="1" applyAlignment="1">
      <alignment vertical="center"/>
    </xf>
    <xf numFmtId="0" fontId="12" fillId="0" borderId="5" xfId="0" applyFont="1" applyBorder="1" applyAlignment="1">
      <alignment vertical="center"/>
    </xf>
    <xf numFmtId="0" fontId="12" fillId="5" borderId="11" xfId="0" applyFont="1" applyFill="1" applyBorder="1" applyAlignment="1">
      <alignment horizontal="left" vertical="center"/>
    </xf>
    <xf numFmtId="0" fontId="7" fillId="6" borderId="20" xfId="0" applyFont="1" applyFill="1" applyBorder="1" applyAlignment="1">
      <alignment vertical="center"/>
    </xf>
    <xf numFmtId="0" fontId="7" fillId="5" borderId="20" xfId="0" applyFont="1" applyFill="1" applyBorder="1" applyAlignment="1">
      <alignment vertical="center"/>
    </xf>
    <xf numFmtId="0" fontId="7" fillId="0" borderId="7" xfId="0" applyFont="1" applyBorder="1" applyAlignment="1">
      <alignment vertical="center"/>
    </xf>
    <xf numFmtId="0" fontId="7" fillId="0" borderId="0" xfId="0" applyFont="1" applyBorder="1" applyAlignment="1">
      <alignment vertical="center"/>
    </xf>
    <xf numFmtId="0" fontId="7" fillId="0" borderId="8" xfId="0" applyFont="1" applyBorder="1" applyAlignment="1">
      <alignment vertical="center"/>
    </xf>
    <xf numFmtId="164" fontId="7" fillId="0" borderId="11" xfId="0" applyNumberFormat="1" applyFont="1" applyFill="1" applyBorder="1" applyAlignment="1">
      <alignment horizontal="center" vertical="center"/>
    </xf>
    <xf numFmtId="2" fontId="7" fillId="0" borderId="11" xfId="0" applyNumberFormat="1" applyFont="1" applyFill="1" applyBorder="1" applyAlignment="1">
      <alignment horizontal="center" vertical="center"/>
    </xf>
    <xf numFmtId="166" fontId="7" fillId="6" borderId="12" xfId="0" applyNumberFormat="1" applyFont="1" applyFill="1" applyBorder="1" applyAlignment="1">
      <alignment vertical="center"/>
    </xf>
    <xf numFmtId="173" fontId="7" fillId="5" borderId="11" xfId="0" applyNumberFormat="1" applyFont="1" applyFill="1" applyBorder="1" applyAlignment="1">
      <alignment vertical="center"/>
    </xf>
    <xf numFmtId="170" fontId="7" fillId="6" borderId="20" xfId="0" applyNumberFormat="1" applyFont="1" applyFill="1" applyBorder="1" applyAlignment="1">
      <alignment vertical="center"/>
    </xf>
    <xf numFmtId="0" fontId="12" fillId="0" borderId="0" xfId="0" applyFont="1" applyAlignment="1">
      <alignment vertical="center"/>
    </xf>
    <xf numFmtId="166" fontId="7" fillId="5" borderId="11" xfId="0" applyNumberFormat="1" applyFont="1" applyFill="1" applyBorder="1" applyAlignment="1">
      <alignment vertical="center"/>
    </xf>
    <xf numFmtId="166" fontId="7" fillId="6" borderId="20" xfId="0" applyNumberFormat="1" applyFont="1" applyFill="1" applyBorder="1" applyAlignment="1">
      <alignment vertical="center"/>
    </xf>
    <xf numFmtId="166" fontId="7" fillId="5" borderId="20" xfId="0" applyNumberFormat="1" applyFont="1" applyFill="1" applyBorder="1" applyAlignment="1">
      <alignment vertical="center"/>
    </xf>
    <xf numFmtId="0" fontId="12" fillId="0" borderId="0" xfId="0" applyFont="1" applyAlignment="1">
      <alignment horizontal="left" vertical="center"/>
    </xf>
    <xf numFmtId="0" fontId="7" fillId="0" borderId="13" xfId="0" applyFont="1" applyBorder="1" applyAlignment="1">
      <alignment vertical="center"/>
    </xf>
    <xf numFmtId="0" fontId="7" fillId="0" borderId="14" xfId="0" applyFont="1" applyBorder="1" applyAlignment="1">
      <alignment vertical="center"/>
    </xf>
    <xf numFmtId="0" fontId="7" fillId="0" borderId="15" xfId="0" applyFont="1" applyBorder="1" applyAlignment="1">
      <alignment vertical="center"/>
    </xf>
    <xf numFmtId="0" fontId="7" fillId="7" borderId="23" xfId="0" applyFont="1" applyFill="1" applyBorder="1" applyAlignment="1">
      <alignment horizontal="center" vertical="center"/>
    </xf>
    <xf numFmtId="0" fontId="7" fillId="7" borderId="25" xfId="0" applyFont="1" applyFill="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7" borderId="27"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30" xfId="0" applyFont="1" applyFill="1" applyBorder="1" applyAlignment="1">
      <alignment horizontal="center" vertical="center"/>
    </xf>
    <xf numFmtId="0" fontId="7" fillId="7" borderId="31" xfId="0" applyFont="1" applyFill="1" applyBorder="1" applyAlignment="1">
      <alignment horizontal="center" vertical="center"/>
    </xf>
    <xf numFmtId="1" fontId="7" fillId="7" borderId="32" xfId="0" applyNumberFormat="1" applyFont="1" applyFill="1" applyBorder="1" applyAlignment="1">
      <alignment horizontal="center" vertical="center"/>
    </xf>
    <xf numFmtId="0" fontId="7" fillId="0" borderId="33" xfId="0" applyFont="1" applyFill="1" applyBorder="1" applyAlignment="1">
      <alignment horizontal="center" vertical="center"/>
    </xf>
    <xf numFmtId="0" fontId="7" fillId="0" borderId="34" xfId="0" applyFont="1" applyFill="1" applyBorder="1" applyAlignment="1">
      <alignment horizontal="center" vertical="center"/>
    </xf>
    <xf numFmtId="0" fontId="7" fillId="0" borderId="35" xfId="0" applyFont="1" applyFill="1" applyBorder="1" applyAlignment="1">
      <alignment horizontal="center" vertical="center"/>
    </xf>
    <xf numFmtId="0" fontId="12" fillId="0" borderId="4" xfId="0" applyFont="1" applyBorder="1" applyAlignment="1">
      <alignment horizontal="left" vertical="center"/>
    </xf>
    <xf numFmtId="1" fontId="7" fillId="7" borderId="36" xfId="0" applyNumberFormat="1" applyFont="1" applyFill="1" applyBorder="1" applyAlignment="1">
      <alignment horizontal="center" vertical="center"/>
    </xf>
    <xf numFmtId="0" fontId="7" fillId="0" borderId="37" xfId="0" applyFont="1" applyFill="1" applyBorder="1" applyAlignment="1">
      <alignment horizontal="center" vertical="center"/>
    </xf>
    <xf numFmtId="0" fontId="7" fillId="0" borderId="38" xfId="0" applyFont="1" applyFill="1" applyBorder="1" applyAlignment="1">
      <alignment horizontal="center" vertical="center"/>
    </xf>
    <xf numFmtId="0" fontId="7" fillId="8" borderId="39" xfId="0" applyFont="1" applyFill="1" applyBorder="1" applyAlignment="1">
      <alignment horizontal="center" vertical="center"/>
    </xf>
    <xf numFmtId="1" fontId="7" fillId="7" borderId="40" xfId="0" applyNumberFormat="1" applyFont="1" applyFill="1" applyBorder="1" applyAlignment="1">
      <alignment horizontal="center" vertical="center"/>
    </xf>
    <xf numFmtId="0" fontId="7" fillId="0" borderId="41" xfId="0" applyFont="1" applyFill="1" applyBorder="1" applyAlignment="1">
      <alignment horizontal="center" vertical="center"/>
    </xf>
    <xf numFmtId="0" fontId="7" fillId="0" borderId="42" xfId="0" applyFont="1" applyFill="1" applyBorder="1" applyAlignment="1">
      <alignment horizontal="center" vertical="center"/>
    </xf>
    <xf numFmtId="0" fontId="7" fillId="0" borderId="43" xfId="0" applyFont="1" applyFill="1" applyBorder="1" applyAlignment="1">
      <alignment horizontal="center" vertical="center"/>
    </xf>
    <xf numFmtId="0" fontId="15" fillId="0" borderId="0" xfId="0" applyFont="1" applyBorder="1" applyAlignment="1">
      <alignment vertical="center"/>
    </xf>
    <xf numFmtId="0" fontId="7" fillId="0" borderId="0" xfId="0" applyFont="1" applyBorder="1" applyAlignment="1">
      <alignment horizontal="left" vertical="center"/>
    </xf>
    <xf numFmtId="0" fontId="16" fillId="0" borderId="0" xfId="0" applyFont="1" applyAlignment="1">
      <alignment horizontal="center" vertical="center"/>
    </xf>
    <xf numFmtId="0" fontId="16" fillId="0" borderId="8" xfId="0" applyFont="1" applyBorder="1" applyAlignment="1">
      <alignment horizontal="center" vertical="center"/>
    </xf>
    <xf numFmtId="0" fontId="7" fillId="0" borderId="11" xfId="0" applyFont="1" applyBorder="1" applyAlignment="1">
      <alignment vertical="center"/>
    </xf>
    <xf numFmtId="164" fontId="7" fillId="0" borderId="11" xfId="0" applyNumberFormat="1" applyFont="1" applyBorder="1" applyAlignment="1">
      <alignment horizontal="center" vertical="center"/>
    </xf>
    <xf numFmtId="0" fontId="7"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6" fillId="0" borderId="0" xfId="0" applyFont="1" applyAlignment="1">
      <alignment horizontal="right" vertical="center"/>
    </xf>
    <xf numFmtId="0" fontId="6" fillId="0" borderId="20" xfId="0" applyFont="1" applyBorder="1" applyAlignment="1">
      <alignment vertical="center"/>
    </xf>
    <xf numFmtId="0" fontId="6" fillId="0" borderId="20" xfId="0" applyFont="1" applyBorder="1" applyAlignment="1">
      <alignment horizontal="left" vertical="center"/>
    </xf>
    <xf numFmtId="0" fontId="11" fillId="0" borderId="0" xfId="0" applyFont="1" applyAlignment="1">
      <alignment horizontal="right" vertical="center"/>
    </xf>
    <xf numFmtId="0" fontId="15" fillId="0" borderId="0" xfId="0" applyFont="1" applyAlignment="1">
      <alignment horizontal="right" vertical="center"/>
    </xf>
    <xf numFmtId="0" fontId="15" fillId="0" borderId="2" xfId="0" applyFont="1" applyBorder="1" applyAlignment="1">
      <alignment vertical="center"/>
    </xf>
    <xf numFmtId="0" fontId="12" fillId="0" borderId="2" xfId="0" applyFont="1" applyBorder="1" applyAlignment="1">
      <alignment horizontal="center" vertical="center"/>
    </xf>
    <xf numFmtId="2" fontId="7" fillId="5" borderId="20" xfId="0" applyNumberFormat="1" applyFont="1" applyFill="1" applyBorder="1" applyAlignment="1">
      <alignment vertical="center"/>
    </xf>
    <xf numFmtId="167" fontId="7" fillId="5" borderId="20" xfId="0" applyNumberFormat="1" applyFont="1" applyFill="1" applyBorder="1" applyAlignment="1">
      <alignment vertical="center"/>
    </xf>
    <xf numFmtId="0" fontId="7" fillId="6" borderId="33" xfId="0" applyFont="1" applyFill="1" applyBorder="1" applyAlignment="1">
      <alignment horizontal="center" vertical="center"/>
    </xf>
    <xf numFmtId="0" fontId="7" fillId="6" borderId="34" xfId="0" applyFont="1" applyFill="1" applyBorder="1" applyAlignment="1">
      <alignment horizontal="center" vertical="center"/>
    </xf>
    <xf numFmtId="0" fontId="7" fillId="6" borderId="35" xfId="0" applyFont="1" applyFill="1" applyBorder="1" applyAlignment="1">
      <alignment horizontal="center" vertical="center"/>
    </xf>
    <xf numFmtId="0" fontId="7" fillId="6" borderId="37" xfId="0" applyFont="1" applyFill="1" applyBorder="1" applyAlignment="1">
      <alignment horizontal="center" vertical="center"/>
    </xf>
    <xf numFmtId="0" fontId="7" fillId="6" borderId="11" xfId="0" applyFont="1" applyFill="1" applyBorder="1" applyAlignment="1">
      <alignment horizontal="center" vertical="center"/>
    </xf>
    <xf numFmtId="0" fontId="7" fillId="6" borderId="38" xfId="0" applyFont="1" applyFill="1" applyBorder="1" applyAlignment="1">
      <alignment horizontal="center" vertical="center"/>
    </xf>
    <xf numFmtId="0" fontId="7" fillId="6" borderId="41" xfId="0" applyFont="1" applyFill="1" applyBorder="1" applyAlignment="1">
      <alignment horizontal="center" vertical="center"/>
    </xf>
    <xf numFmtId="0" fontId="7" fillId="6" borderId="42" xfId="0" applyFont="1" applyFill="1" applyBorder="1" applyAlignment="1">
      <alignment horizontal="center" vertical="center"/>
    </xf>
    <xf numFmtId="0" fontId="7" fillId="6" borderId="43" xfId="0" applyFont="1" applyFill="1" applyBorder="1" applyAlignment="1">
      <alignment horizontal="center" vertical="center"/>
    </xf>
    <xf numFmtId="0" fontId="7" fillId="5" borderId="33" xfId="0" applyFont="1" applyFill="1" applyBorder="1" applyAlignment="1">
      <alignment horizontal="center" vertical="center"/>
    </xf>
    <xf numFmtId="0" fontId="7" fillId="5" borderId="34" xfId="0" applyFont="1" applyFill="1" applyBorder="1" applyAlignment="1">
      <alignment horizontal="center" vertical="center"/>
    </xf>
    <xf numFmtId="0" fontId="7" fillId="5" borderId="35" xfId="0" applyFont="1" applyFill="1" applyBorder="1" applyAlignment="1">
      <alignment horizontal="center" vertical="center"/>
    </xf>
    <xf numFmtId="0" fontId="7" fillId="5" borderId="37"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41" xfId="0" applyFont="1" applyFill="1" applyBorder="1" applyAlignment="1">
      <alignment horizontal="center" vertical="center"/>
    </xf>
    <xf numFmtId="0" fontId="7" fillId="5" borderId="42" xfId="0" applyFont="1" applyFill="1" applyBorder="1" applyAlignment="1">
      <alignment horizontal="center" vertical="center"/>
    </xf>
    <xf numFmtId="0" fontId="7" fillId="5" borderId="43" xfId="0" applyFont="1" applyFill="1" applyBorder="1" applyAlignment="1">
      <alignment horizontal="center" vertical="center"/>
    </xf>
    <xf numFmtId="0" fontId="12" fillId="0" borderId="4" xfId="0" applyFont="1" applyBorder="1" applyAlignment="1">
      <alignment vertical="center"/>
    </xf>
    <xf numFmtId="0" fontId="7" fillId="8" borderId="20" xfId="0" applyFont="1" applyFill="1" applyBorder="1" applyAlignment="1">
      <alignment horizontal="center" vertical="center"/>
    </xf>
    <xf numFmtId="0" fontId="15" fillId="0" borderId="0" xfId="0" applyFont="1" applyAlignment="1">
      <alignment vertical="center"/>
    </xf>
    <xf numFmtId="0" fontId="12" fillId="0" borderId="9" xfId="0" applyFont="1" applyBorder="1" applyAlignment="1">
      <alignment vertical="center"/>
    </xf>
    <xf numFmtId="0" fontId="7" fillId="0" borderId="20" xfId="0" applyFont="1" applyBorder="1" applyAlignment="1">
      <alignment horizontal="center" vertical="center"/>
    </xf>
    <xf numFmtId="2" fontId="7" fillId="0" borderId="20" xfId="0" applyNumberFormat="1" applyFont="1" applyBorder="1" applyAlignment="1">
      <alignment horizontal="center" vertical="center"/>
    </xf>
    <xf numFmtId="2" fontId="7" fillId="0" borderId="22" xfId="0" applyNumberFormat="1" applyFont="1" applyBorder="1" applyAlignment="1">
      <alignment horizontal="center" vertical="center"/>
    </xf>
    <xf numFmtId="0" fontId="7" fillId="0" borderId="44" xfId="0" applyFont="1" applyFill="1" applyBorder="1" applyAlignment="1">
      <alignment horizontal="center" vertical="center"/>
    </xf>
    <xf numFmtId="0" fontId="7" fillId="0" borderId="45" xfId="0" applyFont="1" applyBorder="1" applyAlignment="1">
      <alignment horizontal="center" vertical="center"/>
    </xf>
    <xf numFmtId="0" fontId="7" fillId="8" borderId="11" xfId="0" applyFont="1" applyFill="1" applyBorder="1" applyAlignment="1">
      <alignment horizontal="center" vertical="center"/>
    </xf>
    <xf numFmtId="0" fontId="12" fillId="0" borderId="0" xfId="0" applyFont="1" applyBorder="1" applyAlignment="1">
      <alignment vertical="center"/>
    </xf>
    <xf numFmtId="0" fontId="9" fillId="0" borderId="0" xfId="0" applyFont="1" applyFill="1" applyBorder="1" applyAlignment="1">
      <alignment vertical="center"/>
    </xf>
    <xf numFmtId="0" fontId="16" fillId="0" borderId="0" xfId="0" applyFont="1" applyBorder="1" applyAlignment="1">
      <alignment horizontal="center" vertical="center"/>
    </xf>
    <xf numFmtId="0" fontId="7" fillId="0" borderId="20" xfId="0" applyFont="1" applyFill="1" applyBorder="1" applyAlignment="1">
      <alignment horizontal="center" vertical="center"/>
    </xf>
    <xf numFmtId="0" fontId="7" fillId="6" borderId="11" xfId="0" applyFont="1" applyFill="1" applyBorder="1" applyAlignment="1">
      <alignment horizontal="left" vertical="center"/>
    </xf>
    <xf numFmtId="0" fontId="7" fillId="0" borderId="20" xfId="0" applyFont="1" applyBorder="1" applyAlignment="1">
      <alignment vertical="center"/>
    </xf>
    <xf numFmtId="0" fontId="17" fillId="0" borderId="0" xfId="0" applyFont="1" applyAlignment="1">
      <alignment horizontal="right" vertical="center"/>
    </xf>
    <xf numFmtId="0" fontId="7" fillId="0" borderId="22" xfId="0" applyFont="1" applyBorder="1" applyAlignment="1">
      <alignment horizontal="left" vertical="center"/>
    </xf>
    <xf numFmtId="0" fontId="7" fillId="0" borderId="22" xfId="0" applyFont="1" applyBorder="1" applyAlignment="1">
      <alignment vertical="center"/>
    </xf>
    <xf numFmtId="0" fontId="7" fillId="5" borderId="11" xfId="0" applyFont="1" applyFill="1" applyBorder="1" applyAlignment="1">
      <alignment horizontal="left" vertical="center"/>
    </xf>
    <xf numFmtId="0" fontId="7" fillId="0" borderId="46" xfId="0" applyFont="1" applyBorder="1" applyAlignment="1" applyProtection="1">
      <alignment horizontal="center" vertical="center"/>
    </xf>
    <xf numFmtId="0" fontId="7" fillId="0" borderId="47" xfId="0" applyFont="1" applyBorder="1" applyAlignment="1" applyProtection="1">
      <alignment horizontal="center" vertical="center"/>
    </xf>
    <xf numFmtId="1" fontId="7" fillId="8" borderId="48" xfId="0" applyNumberFormat="1" applyFont="1" applyFill="1" applyBorder="1" applyAlignment="1" applyProtection="1">
      <alignment horizontal="center" vertical="center"/>
      <protection locked="0"/>
    </xf>
    <xf numFmtId="1" fontId="7" fillId="8" borderId="11" xfId="0" applyNumberFormat="1" applyFont="1" applyFill="1" applyBorder="1" applyAlignment="1" applyProtection="1">
      <alignment horizontal="center" vertical="center"/>
      <protection locked="0"/>
    </xf>
    <xf numFmtId="0" fontId="7" fillId="0" borderId="49" xfId="0" applyFont="1" applyBorder="1" applyAlignment="1">
      <alignment vertical="center"/>
    </xf>
    <xf numFmtId="0" fontId="7" fillId="0" borderId="50" xfId="0" applyFont="1" applyBorder="1" applyAlignment="1">
      <alignment vertical="center"/>
    </xf>
    <xf numFmtId="0" fontId="7" fillId="0" borderId="9" xfId="0" applyFont="1" applyBorder="1" applyAlignment="1">
      <alignment horizontal="right" vertical="center"/>
    </xf>
    <xf numFmtId="0" fontId="7" fillId="0" borderId="0" xfId="0" applyFont="1" applyBorder="1" applyAlignment="1">
      <alignment horizontal="right" vertical="center"/>
    </xf>
    <xf numFmtId="164" fontId="7" fillId="8" borderId="51" xfId="0" applyNumberFormat="1" applyFont="1" applyFill="1" applyBorder="1" applyAlignment="1">
      <alignment horizontal="center" vertical="center"/>
    </xf>
    <xf numFmtId="164" fontId="7" fillId="8" borderId="52" xfId="0" applyNumberFormat="1" applyFont="1" applyFill="1" applyBorder="1" applyAlignment="1">
      <alignment horizontal="center" vertical="center"/>
    </xf>
    <xf numFmtId="164" fontId="7" fillId="8" borderId="53" xfId="0" applyNumberFormat="1" applyFont="1" applyFill="1" applyBorder="1" applyAlignment="1">
      <alignment horizontal="center" vertical="center"/>
    </xf>
    <xf numFmtId="164" fontId="7" fillId="8" borderId="54" xfId="0" applyNumberFormat="1" applyFont="1" applyFill="1" applyBorder="1" applyAlignment="1">
      <alignment horizontal="center" vertical="center"/>
    </xf>
    <xf numFmtId="164" fontId="7" fillId="8" borderId="11" xfId="0" applyNumberFormat="1" applyFont="1" applyFill="1" applyBorder="1" applyAlignment="1">
      <alignment horizontal="center" vertical="center"/>
    </xf>
    <xf numFmtId="164" fontId="7" fillId="8" borderId="38" xfId="0" applyNumberFormat="1" applyFont="1" applyFill="1" applyBorder="1" applyAlignment="1">
      <alignment horizontal="center" vertical="center"/>
    </xf>
    <xf numFmtId="0" fontId="6" fillId="0" borderId="55" xfId="0" applyFont="1" applyBorder="1" applyAlignment="1">
      <alignment vertical="center"/>
    </xf>
    <xf numFmtId="164" fontId="7" fillId="8" borderId="56" xfId="0" applyNumberFormat="1" applyFont="1" applyFill="1" applyBorder="1" applyAlignment="1">
      <alignment horizontal="center" vertical="center"/>
    </xf>
    <xf numFmtId="164" fontId="7" fillId="8" borderId="42" xfId="0" applyNumberFormat="1" applyFont="1" applyFill="1" applyBorder="1" applyAlignment="1">
      <alignment horizontal="center" vertical="center"/>
    </xf>
    <xf numFmtId="164" fontId="7" fillId="8" borderId="43" xfId="0" applyNumberFormat="1" applyFont="1" applyFill="1" applyBorder="1" applyAlignment="1">
      <alignment horizontal="center" vertical="center"/>
    </xf>
    <xf numFmtId="0" fontId="6" fillId="0" borderId="22" xfId="0" applyFont="1" applyBorder="1" applyAlignment="1">
      <alignment horizontal="left" vertical="center"/>
    </xf>
    <xf numFmtId="0" fontId="6" fillId="0" borderId="22" xfId="0" applyFont="1" applyBorder="1" applyAlignment="1">
      <alignment vertical="center"/>
    </xf>
    <xf numFmtId="0" fontId="6" fillId="0" borderId="57" xfId="0" applyFont="1" applyBorder="1" applyAlignment="1">
      <alignment vertical="center"/>
    </xf>
    <xf numFmtId="0" fontId="7" fillId="0" borderId="53" xfId="0" applyFont="1" applyBorder="1" applyAlignment="1">
      <alignment horizontal="center" vertical="center"/>
    </xf>
    <xf numFmtId="0" fontId="7" fillId="0" borderId="43" xfId="0" applyFont="1" applyBorder="1" applyAlignment="1">
      <alignment horizontal="center" vertical="center"/>
    </xf>
    <xf numFmtId="1" fontId="7" fillId="0" borderId="48" xfId="0" applyNumberFormat="1" applyFont="1" applyFill="1" applyBorder="1" applyAlignment="1" applyProtection="1">
      <alignment horizontal="center" vertical="center"/>
      <protection locked="0"/>
    </xf>
    <xf numFmtId="1" fontId="7" fillId="0" borderId="11" xfId="0" applyNumberFormat="1" applyFont="1" applyFill="1" applyBorder="1" applyAlignment="1" applyProtection="1">
      <alignment horizontal="center" vertical="center"/>
      <protection locked="0"/>
    </xf>
    <xf numFmtId="164" fontId="7" fillId="0" borderId="11" xfId="0" applyNumberFormat="1" applyFont="1" applyFill="1" applyBorder="1" applyAlignment="1" applyProtection="1">
      <alignment horizontal="center" vertical="center"/>
    </xf>
    <xf numFmtId="10" fontId="7" fillId="0" borderId="11" xfId="0" applyNumberFormat="1" applyFont="1" applyBorder="1" applyAlignment="1">
      <alignment horizontal="center" vertical="center"/>
    </xf>
    <xf numFmtId="10" fontId="7" fillId="0" borderId="38" xfId="0" applyNumberFormat="1" applyFont="1" applyBorder="1" applyAlignment="1">
      <alignment horizontal="center" vertical="center"/>
    </xf>
    <xf numFmtId="10" fontId="7" fillId="0" borderId="53" xfId="0" applyNumberFormat="1" applyFont="1" applyBorder="1" applyAlignment="1">
      <alignment horizontal="center" vertical="center"/>
    </xf>
    <xf numFmtId="10" fontId="7" fillId="0" borderId="42" xfId="0" applyNumberFormat="1" applyFont="1" applyBorder="1" applyAlignment="1">
      <alignment horizontal="center" vertical="center"/>
    </xf>
    <xf numFmtId="10" fontId="7" fillId="0" borderId="43" xfId="0" applyNumberFormat="1" applyFont="1" applyBorder="1" applyAlignment="1">
      <alignment horizontal="center" vertical="center"/>
    </xf>
    <xf numFmtId="0" fontId="9" fillId="0" borderId="9" xfId="0" applyFont="1" applyBorder="1" applyAlignment="1">
      <alignment vertical="center"/>
    </xf>
    <xf numFmtId="164" fontId="7" fillId="8" borderId="60" xfId="0" applyNumberFormat="1" applyFont="1" applyFill="1" applyBorder="1" applyAlignment="1">
      <alignment horizontal="center" vertical="center"/>
    </xf>
    <xf numFmtId="164" fontId="7" fillId="8" borderId="61" xfId="0" applyNumberFormat="1" applyFont="1" applyFill="1" applyBorder="1" applyAlignment="1">
      <alignment horizontal="center" vertical="center"/>
    </xf>
    <xf numFmtId="164" fontId="7" fillId="8" borderId="62" xfId="0" applyNumberFormat="1" applyFont="1" applyFill="1" applyBorder="1" applyAlignment="1">
      <alignment horizontal="center" vertical="center"/>
    </xf>
    <xf numFmtId="10" fontId="7" fillId="0" borderId="56" xfId="0" applyNumberFormat="1" applyFont="1" applyBorder="1" applyAlignment="1">
      <alignment horizontal="center" vertical="center"/>
    </xf>
    <xf numFmtId="0" fontId="18" fillId="0" borderId="0" xfId="0" applyFont="1" applyAlignment="1">
      <alignment vertical="center"/>
    </xf>
    <xf numFmtId="0" fontId="9" fillId="0" borderId="17" xfId="0" applyFont="1" applyBorder="1" applyAlignment="1">
      <alignment vertical="center"/>
    </xf>
    <xf numFmtId="0" fontId="6" fillId="0" borderId="0" xfId="0" applyFont="1" applyBorder="1" applyAlignment="1">
      <alignment vertical="center"/>
    </xf>
    <xf numFmtId="0" fontId="7" fillId="0" borderId="63" xfId="0" applyFont="1" applyBorder="1" applyAlignment="1">
      <alignment horizontal="center" vertical="center"/>
    </xf>
    <xf numFmtId="0" fontId="7" fillId="8" borderId="51" xfId="0" applyFont="1" applyFill="1" applyBorder="1" applyAlignment="1">
      <alignment horizontal="center" vertical="center"/>
    </xf>
    <xf numFmtId="0" fontId="7" fillId="8" borderId="52" xfId="0" applyFont="1" applyFill="1" applyBorder="1" applyAlignment="1">
      <alignment horizontal="center" vertical="center"/>
    </xf>
    <xf numFmtId="2" fontId="7" fillId="0" borderId="45" xfId="0" applyNumberFormat="1" applyFont="1" applyBorder="1" applyAlignment="1">
      <alignment horizontal="center" vertical="center"/>
    </xf>
    <xf numFmtId="0" fontId="7" fillId="0" borderId="64" xfId="0" applyFont="1" applyBorder="1" applyAlignment="1">
      <alignment horizontal="center" vertical="center"/>
    </xf>
    <xf numFmtId="0" fontId="7" fillId="8" borderId="54" xfId="0" applyFont="1" applyFill="1" applyBorder="1" applyAlignment="1">
      <alignment horizontal="center" vertical="center"/>
    </xf>
    <xf numFmtId="10" fontId="7" fillId="0" borderId="45" xfId="9" applyNumberFormat="1" applyFont="1" applyBorder="1" applyAlignment="1">
      <alignment horizontal="center" vertical="center"/>
    </xf>
    <xf numFmtId="0" fontId="7" fillId="0" borderId="65" xfId="0" applyFont="1" applyBorder="1" applyAlignment="1">
      <alignment horizontal="center" vertical="center"/>
    </xf>
    <xf numFmtId="0" fontId="7" fillId="8" borderId="56" xfId="0" applyFont="1" applyFill="1" applyBorder="1" applyAlignment="1">
      <alignment horizontal="center" vertical="center"/>
    </xf>
    <xf numFmtId="0" fontId="7" fillId="8" borderId="42" xfId="0" applyFont="1" applyFill="1" applyBorder="1" applyAlignment="1">
      <alignment horizontal="center" vertical="center"/>
    </xf>
    <xf numFmtId="0" fontId="7" fillId="0" borderId="51" xfId="0" applyFont="1" applyBorder="1" applyAlignment="1">
      <alignment horizontal="center" vertical="center"/>
    </xf>
    <xf numFmtId="0" fontId="7" fillId="0" borderId="52" xfId="0" applyFont="1" applyBorder="1" applyAlignment="1">
      <alignment horizontal="center" vertical="center"/>
    </xf>
    <xf numFmtId="0" fontId="7" fillId="0" borderId="54" xfId="0" applyFont="1" applyBorder="1" applyAlignment="1">
      <alignment horizontal="center" vertical="center"/>
    </xf>
    <xf numFmtId="0" fontId="7" fillId="0" borderId="56" xfId="0" applyFont="1" applyBorder="1" applyAlignment="1">
      <alignment horizontal="center" vertical="center"/>
    </xf>
    <xf numFmtId="0" fontId="7" fillId="0" borderId="42" xfId="0" applyFont="1" applyBorder="1" applyAlignment="1">
      <alignment horizontal="center" vertical="center"/>
    </xf>
    <xf numFmtId="0" fontId="7" fillId="0" borderId="0" xfId="0" applyFont="1" applyFill="1" applyBorder="1" applyAlignment="1">
      <alignment horizontal="center" vertical="center"/>
    </xf>
    <xf numFmtId="0" fontId="7" fillId="0" borderId="10" xfId="0" applyFont="1" applyBorder="1" applyAlignment="1">
      <alignment horizontal="center" vertical="center"/>
    </xf>
    <xf numFmtId="164" fontId="7" fillId="0" borderId="52" xfId="0" applyNumberFormat="1" applyFont="1" applyFill="1" applyBorder="1" applyAlignment="1">
      <alignment horizontal="center" vertical="center"/>
    </xf>
    <xf numFmtId="2" fontId="7" fillId="0" borderId="52" xfId="0" applyNumberFormat="1" applyFont="1" applyFill="1" applyBorder="1" applyAlignment="1">
      <alignment horizontal="center" vertical="center"/>
    </xf>
    <xf numFmtId="167" fontId="9" fillId="8" borderId="53" xfId="0" applyNumberFormat="1" applyFont="1" applyFill="1" applyBorder="1" applyAlignment="1">
      <alignment horizontal="center" vertical="center"/>
    </xf>
    <xf numFmtId="10" fontId="7" fillId="0" borderId="11" xfId="9" applyNumberFormat="1" applyFont="1" applyBorder="1" applyAlignment="1">
      <alignment horizontal="center" vertical="center"/>
    </xf>
    <xf numFmtId="10" fontId="7" fillId="0" borderId="38" xfId="9" applyNumberFormat="1" applyFont="1" applyBorder="1" applyAlignment="1">
      <alignment horizontal="center" vertical="center"/>
    </xf>
    <xf numFmtId="167" fontId="9" fillId="8" borderId="38" xfId="0" applyNumberFormat="1" applyFont="1" applyFill="1" applyBorder="1" applyAlignment="1">
      <alignment horizontal="center" vertical="center"/>
    </xf>
    <xf numFmtId="164" fontId="7" fillId="8" borderId="66" xfId="0" applyNumberFormat="1" applyFont="1" applyFill="1" applyBorder="1" applyAlignment="1">
      <alignment horizontal="center" vertical="center"/>
    </xf>
    <xf numFmtId="164" fontId="7" fillId="8" borderId="30" xfId="0" applyNumberFormat="1" applyFont="1" applyFill="1" applyBorder="1" applyAlignment="1">
      <alignment horizontal="center" vertical="center"/>
    </xf>
    <xf numFmtId="164" fontId="7" fillId="0" borderId="30" xfId="0" applyNumberFormat="1" applyFont="1" applyFill="1" applyBorder="1" applyAlignment="1">
      <alignment horizontal="center" vertical="center"/>
    </xf>
    <xf numFmtId="2" fontId="7" fillId="0" borderId="30" xfId="0" applyNumberFormat="1" applyFont="1" applyFill="1" applyBorder="1" applyAlignment="1">
      <alignment horizontal="center" vertical="center"/>
    </xf>
    <xf numFmtId="167" fontId="9" fillId="8" borderId="31" xfId="0" applyNumberFormat="1" applyFont="1" applyFill="1" applyBorder="1" applyAlignment="1">
      <alignment horizontal="center" vertical="center"/>
    </xf>
    <xf numFmtId="0" fontId="7" fillId="0" borderId="53" xfId="0" applyFont="1" applyBorder="1" applyAlignment="1">
      <alignment vertical="center"/>
    </xf>
    <xf numFmtId="164" fontId="7" fillId="0" borderId="51" xfId="0" applyNumberFormat="1" applyFont="1" applyFill="1" applyBorder="1" applyAlignment="1">
      <alignment horizontal="center" vertical="center"/>
    </xf>
    <xf numFmtId="167" fontId="9" fillId="0" borderId="53" xfId="0" applyNumberFormat="1" applyFont="1" applyBorder="1" applyAlignment="1">
      <alignment horizontal="center" vertical="center"/>
    </xf>
    <xf numFmtId="0" fontId="7" fillId="0" borderId="38" xfId="0" applyFont="1" applyBorder="1" applyAlignment="1">
      <alignment horizontal="center" vertical="center"/>
    </xf>
    <xf numFmtId="164" fontId="7" fillId="0" borderId="54" xfId="0" applyNumberFormat="1" applyFont="1" applyFill="1" applyBorder="1" applyAlignment="1">
      <alignment horizontal="center" vertical="center"/>
    </xf>
    <xf numFmtId="167" fontId="9" fillId="0" borderId="38" xfId="0" applyNumberFormat="1" applyFont="1" applyBorder="1" applyAlignment="1">
      <alignment horizontal="center" vertical="center"/>
    </xf>
    <xf numFmtId="10" fontId="7" fillId="0" borderId="56" xfId="0" applyNumberFormat="1" applyFont="1" applyFill="1" applyBorder="1" applyAlignment="1">
      <alignment horizontal="center" vertical="center"/>
    </xf>
    <xf numFmtId="10" fontId="7" fillId="0" borderId="42" xfId="0" applyNumberFormat="1" applyFont="1" applyFill="1" applyBorder="1" applyAlignment="1">
      <alignment horizontal="center" vertical="center"/>
    </xf>
    <xf numFmtId="10" fontId="9" fillId="0" borderId="43" xfId="0" applyNumberFormat="1" applyFont="1" applyBorder="1" applyAlignment="1">
      <alignment horizontal="center" vertical="center"/>
    </xf>
    <xf numFmtId="0" fontId="9" fillId="0" borderId="16" xfId="0" applyFont="1" applyBorder="1" applyAlignment="1">
      <alignment vertical="center"/>
    </xf>
    <xf numFmtId="0" fontId="9" fillId="0" borderId="18" xfId="0" applyFont="1" applyBorder="1" applyAlignment="1">
      <alignment vertical="center"/>
    </xf>
    <xf numFmtId="0" fontId="9" fillId="0" borderId="5" xfId="0" applyFont="1" applyBorder="1" applyAlignment="1">
      <alignment vertical="center"/>
    </xf>
    <xf numFmtId="0" fontId="9" fillId="0" borderId="6" xfId="0" applyFont="1" applyBorder="1" applyAlignment="1">
      <alignment vertical="center"/>
    </xf>
    <xf numFmtId="2" fontId="7" fillId="0" borderId="42" xfId="0" applyNumberFormat="1" applyFont="1" applyBorder="1" applyAlignment="1">
      <alignment horizontal="center" vertical="center"/>
    </xf>
    <xf numFmtId="0" fontId="7" fillId="0" borderId="47" xfId="0" applyFont="1" applyBorder="1" applyAlignment="1">
      <alignment horizontal="right" vertical="center"/>
    </xf>
    <xf numFmtId="0" fontId="7" fillId="0" borderId="47" xfId="0" applyFont="1" applyBorder="1" applyAlignment="1">
      <alignment horizontal="center" vertical="center"/>
    </xf>
    <xf numFmtId="0" fontId="9" fillId="0" borderId="10" xfId="0" applyFont="1" applyBorder="1" applyAlignment="1">
      <alignment vertical="center"/>
    </xf>
    <xf numFmtId="0" fontId="7" fillId="0" borderId="11" xfId="0" applyFont="1" applyBorder="1" applyAlignment="1">
      <alignment horizontal="right" vertical="center"/>
    </xf>
    <xf numFmtId="167" fontId="7" fillId="0" borderId="0" xfId="0" applyNumberFormat="1" applyFont="1" applyAlignment="1">
      <alignment vertical="center"/>
    </xf>
    <xf numFmtId="164" fontId="7" fillId="0" borderId="51" xfId="0" applyNumberFormat="1" applyFont="1" applyBorder="1" applyAlignment="1">
      <alignment horizontal="center" vertical="center"/>
    </xf>
    <xf numFmtId="167" fontId="7" fillId="0" borderId="52" xfId="0" applyNumberFormat="1" applyFont="1" applyBorder="1" applyAlignment="1">
      <alignment horizontal="center" vertical="center"/>
    </xf>
    <xf numFmtId="2" fontId="7" fillId="0" borderId="53" xfId="0" applyNumberFormat="1" applyFont="1" applyBorder="1" applyAlignment="1">
      <alignment horizontal="center" vertical="center"/>
    </xf>
    <xf numFmtId="164" fontId="7" fillId="0" borderId="54" xfId="0" applyNumberFormat="1" applyFont="1" applyBorder="1" applyAlignment="1">
      <alignment horizontal="center" vertical="center"/>
    </xf>
    <xf numFmtId="2" fontId="7" fillId="0" borderId="38" xfId="0" applyNumberFormat="1" applyFont="1" applyBorder="1" applyAlignment="1">
      <alignment horizontal="center" vertical="center"/>
    </xf>
    <xf numFmtId="164" fontId="7" fillId="0" borderId="22" xfId="0" applyNumberFormat="1" applyFont="1" applyBorder="1" applyAlignment="1">
      <alignment horizontal="center" vertical="center"/>
    </xf>
    <xf numFmtId="165" fontId="7" fillId="0" borderId="30" xfId="0" applyNumberFormat="1" applyFont="1" applyBorder="1" applyAlignment="1">
      <alignment horizontal="center" vertical="center"/>
    </xf>
    <xf numFmtId="164" fontId="7" fillId="0" borderId="56" xfId="0" applyNumberFormat="1" applyFont="1" applyBorder="1" applyAlignment="1">
      <alignment horizontal="center" vertical="center"/>
    </xf>
    <xf numFmtId="167" fontId="7" fillId="0" borderId="42" xfId="0" applyNumberFormat="1" applyFont="1" applyBorder="1" applyAlignment="1">
      <alignment horizontal="center" vertical="center"/>
    </xf>
    <xf numFmtId="2" fontId="7" fillId="0" borderId="43" xfId="0" applyNumberFormat="1" applyFont="1" applyBorder="1" applyAlignment="1">
      <alignment horizontal="center" vertical="center"/>
    </xf>
    <xf numFmtId="165" fontId="7" fillId="0" borderId="22" xfId="0" applyNumberFormat="1" applyFont="1" applyBorder="1" applyAlignment="1">
      <alignment horizontal="center" vertical="center"/>
    </xf>
    <xf numFmtId="165" fontId="7" fillId="0" borderId="20" xfId="0" applyNumberFormat="1" applyFont="1" applyBorder="1" applyAlignment="1">
      <alignment horizontal="center" vertical="center"/>
    </xf>
    <xf numFmtId="164" fontId="7" fillId="0" borderId="20" xfId="0" applyNumberFormat="1" applyFont="1" applyBorder="1" applyAlignment="1">
      <alignment horizontal="center" vertical="center"/>
    </xf>
    <xf numFmtId="164" fontId="7" fillId="0" borderId="11" xfId="0" applyNumberFormat="1" applyFont="1" applyBorder="1" applyAlignment="1" applyProtection="1">
      <alignment horizontal="center" vertical="center"/>
      <protection locked="0"/>
    </xf>
    <xf numFmtId="10" fontId="7" fillId="0" borderId="11" xfId="0" applyNumberFormat="1" applyFont="1" applyFill="1" applyBorder="1" applyAlignment="1">
      <alignment horizontal="center" vertical="center"/>
    </xf>
    <xf numFmtId="0" fontId="7" fillId="0" borderId="11" xfId="2" applyFont="1" applyFill="1" applyBorder="1" applyAlignment="1">
      <alignment horizontal="center" vertical="center"/>
    </xf>
    <xf numFmtId="164" fontId="7" fillId="0" borderId="20" xfId="0" applyNumberFormat="1" applyFont="1" applyFill="1" applyBorder="1" applyAlignment="1">
      <alignment horizontal="center" vertical="center"/>
    </xf>
    <xf numFmtId="2" fontId="7" fillId="0" borderId="20" xfId="0" applyNumberFormat="1" applyFont="1" applyFill="1" applyBorder="1" applyAlignment="1">
      <alignment horizontal="center" vertical="center"/>
    </xf>
    <xf numFmtId="2" fontId="7" fillId="6" borderId="22" xfId="0" applyNumberFormat="1" applyFont="1" applyFill="1" applyBorder="1" applyAlignment="1">
      <alignment horizontal="center" vertical="center"/>
    </xf>
    <xf numFmtId="1" fontId="7" fillId="0" borderId="11" xfId="0" applyNumberFormat="1" applyFont="1" applyFill="1" applyBorder="1" applyAlignment="1">
      <alignment horizontal="center" vertical="center"/>
    </xf>
    <xf numFmtId="167" fontId="7" fillId="0" borderId="11" xfId="0" applyNumberFormat="1" applyFont="1" applyFill="1" applyBorder="1" applyAlignment="1">
      <alignment horizontal="center" vertical="center"/>
    </xf>
    <xf numFmtId="165" fontId="7" fillId="0" borderId="20" xfId="0" applyNumberFormat="1" applyFont="1" applyFill="1" applyBorder="1" applyAlignment="1">
      <alignment horizontal="center" vertical="center"/>
    </xf>
    <xf numFmtId="0" fontId="18" fillId="0" borderId="0" xfId="0" applyFont="1" applyAlignment="1">
      <alignment horizontal="right" vertical="center"/>
    </xf>
    <xf numFmtId="0" fontId="12" fillId="0" borderId="0" xfId="0" applyFont="1" applyAlignment="1">
      <alignment horizontal="center" vertical="center"/>
    </xf>
    <xf numFmtId="0" fontId="7" fillId="0" borderId="8" xfId="0" applyFont="1" applyBorder="1" applyAlignment="1">
      <alignment horizontal="center" vertical="center"/>
    </xf>
    <xf numFmtId="0" fontId="7" fillId="0" borderId="17" xfId="0" applyFont="1" applyBorder="1" applyAlignment="1">
      <alignment horizontal="right" vertical="center"/>
    </xf>
    <xf numFmtId="168" fontId="7" fillId="0" borderId="55" xfId="0" applyNumberFormat="1" applyFont="1" applyFill="1" applyBorder="1" applyAlignment="1">
      <alignment horizontal="center" vertical="center"/>
    </xf>
    <xf numFmtId="0" fontId="7" fillId="0" borderId="67" xfId="0" applyFont="1" applyBorder="1" applyAlignment="1">
      <alignment horizontal="center" vertical="center"/>
    </xf>
    <xf numFmtId="168" fontId="7" fillId="8" borderId="20" xfId="0" applyNumberFormat="1" applyFont="1" applyFill="1" applyBorder="1" applyAlignment="1">
      <alignment horizontal="center" vertical="center"/>
    </xf>
    <xf numFmtId="0" fontId="7" fillId="0" borderId="68" xfId="0" applyFont="1" applyBorder="1" applyAlignment="1">
      <alignment horizontal="center" vertical="center"/>
    </xf>
    <xf numFmtId="0" fontId="7" fillId="0" borderId="69" xfId="0" applyFont="1" applyBorder="1" applyAlignment="1">
      <alignment horizontal="center" vertical="center"/>
    </xf>
    <xf numFmtId="0" fontId="7" fillId="0" borderId="2" xfId="0" applyFont="1" applyBorder="1" applyAlignment="1">
      <alignment horizontal="right" vertical="center"/>
    </xf>
    <xf numFmtId="0" fontId="7" fillId="0" borderId="70" xfId="0" applyFont="1" applyBorder="1" applyAlignment="1">
      <alignment horizontal="center" vertical="center"/>
    </xf>
    <xf numFmtId="0" fontId="7" fillId="0" borderId="71" xfId="0" applyFont="1" applyBorder="1" applyAlignment="1">
      <alignment horizontal="center" vertical="center"/>
    </xf>
    <xf numFmtId="0" fontId="7" fillId="0" borderId="19" xfId="0" applyFont="1" applyBorder="1" applyAlignment="1">
      <alignment horizontal="center" vertical="center"/>
    </xf>
    <xf numFmtId="2" fontId="7" fillId="0" borderId="19" xfId="0" applyNumberFormat="1" applyFont="1" applyBorder="1" applyAlignment="1">
      <alignment horizontal="center" vertical="center"/>
    </xf>
    <xf numFmtId="164" fontId="7" fillId="0" borderId="19" xfId="0" applyNumberFormat="1" applyFont="1" applyBorder="1" applyAlignment="1">
      <alignment horizontal="center" vertical="center"/>
    </xf>
    <xf numFmtId="2" fontId="7" fillId="0" borderId="0" xfId="0" applyNumberFormat="1" applyFont="1" applyBorder="1" applyAlignment="1">
      <alignment horizontal="center" vertical="center"/>
    </xf>
    <xf numFmtId="2" fontId="7" fillId="0" borderId="0" xfId="0" applyNumberFormat="1" applyFont="1" applyAlignment="1">
      <alignment horizontal="center" vertical="center"/>
    </xf>
    <xf numFmtId="0" fontId="15" fillId="0" borderId="17" xfId="0" applyFont="1" applyBorder="1" applyAlignment="1">
      <alignment vertical="center"/>
    </xf>
    <xf numFmtId="0" fontId="7" fillId="0" borderId="39" xfId="0" applyFont="1" applyFill="1" applyBorder="1" applyAlignment="1">
      <alignment horizontal="center" vertical="center"/>
    </xf>
    <xf numFmtId="167" fontId="7" fillId="0" borderId="11" xfId="0" applyNumberFormat="1" applyFont="1" applyFill="1" applyBorder="1" applyAlignment="1" applyProtection="1">
      <alignment horizontal="center" vertical="center"/>
      <protection locked="0"/>
    </xf>
    <xf numFmtId="10" fontId="7" fillId="0" borderId="45" xfId="0" applyNumberFormat="1" applyFont="1" applyBorder="1" applyAlignment="1">
      <alignment horizontal="center" vertical="center"/>
    </xf>
    <xf numFmtId="164" fontId="7" fillId="0" borderId="30" xfId="0" applyNumberFormat="1" applyFont="1" applyBorder="1" applyAlignment="1">
      <alignment horizontal="center" vertical="center"/>
    </xf>
    <xf numFmtId="167" fontId="7" fillId="0" borderId="30" xfId="0" applyNumberFormat="1" applyFont="1" applyFill="1" applyBorder="1" applyAlignment="1" applyProtection="1">
      <alignment horizontal="center" vertical="center"/>
      <protection locked="0"/>
    </xf>
    <xf numFmtId="2" fontId="7" fillId="0" borderId="52" xfId="0" applyNumberFormat="1" applyFont="1" applyBorder="1" applyAlignment="1">
      <alignment horizontal="center" vertical="center"/>
    </xf>
    <xf numFmtId="2" fontId="7" fillId="0" borderId="11" xfId="0" applyNumberFormat="1" applyFont="1" applyBorder="1" applyAlignment="1" applyProtection="1">
      <alignment horizontal="center" vertical="center"/>
      <protection locked="0"/>
    </xf>
    <xf numFmtId="0" fontId="7" fillId="0" borderId="11" xfId="0" applyFont="1" applyBorder="1" applyAlignment="1" applyProtection="1">
      <alignment horizontal="center" vertical="center"/>
      <protection locked="0"/>
    </xf>
    <xf numFmtId="0" fontId="7" fillId="0" borderId="0" xfId="0" applyFont="1" applyAlignment="1" applyProtection="1">
      <alignment horizontal="center" vertical="center"/>
      <protection locked="0"/>
    </xf>
    <xf numFmtId="0" fontId="7" fillId="9" borderId="47" xfId="0" applyFont="1" applyFill="1" applyBorder="1" applyAlignment="1">
      <alignment horizontal="center" vertical="center"/>
    </xf>
    <xf numFmtId="0" fontId="8" fillId="0" borderId="9" xfId="0" applyFont="1" applyBorder="1" applyAlignment="1">
      <alignment vertical="center"/>
    </xf>
    <xf numFmtId="0" fontId="7" fillId="0" borderId="20" xfId="0" applyFont="1" applyFill="1" applyBorder="1" applyAlignment="1" applyProtection="1">
      <alignment horizontal="center" vertical="center"/>
      <protection locked="0"/>
    </xf>
    <xf numFmtId="0" fontId="7" fillId="8" borderId="73" xfId="0" applyFont="1" applyFill="1" applyBorder="1" applyAlignment="1" applyProtection="1">
      <alignment horizontal="center" vertical="center"/>
      <protection locked="0"/>
    </xf>
    <xf numFmtId="0" fontId="7" fillId="8" borderId="11" xfId="0" applyFont="1" applyFill="1" applyBorder="1" applyAlignment="1" applyProtection="1">
      <alignment horizontal="center" vertical="center"/>
      <protection locked="0"/>
    </xf>
    <xf numFmtId="0" fontId="7" fillId="8" borderId="48" xfId="0" applyFont="1" applyFill="1" applyBorder="1" applyAlignment="1" applyProtection="1">
      <alignment horizontal="center" vertical="center"/>
      <protection locked="0"/>
    </xf>
    <xf numFmtId="0" fontId="7" fillId="12" borderId="73" xfId="0" applyFont="1" applyFill="1" applyBorder="1" applyAlignment="1" applyProtection="1">
      <alignment horizontal="center" vertical="center"/>
      <protection locked="0"/>
    </xf>
    <xf numFmtId="0" fontId="7" fillId="12" borderId="11" xfId="0" applyFont="1" applyFill="1" applyBorder="1" applyAlignment="1" applyProtection="1">
      <alignment horizontal="center" vertical="center"/>
      <protection locked="0"/>
    </xf>
    <xf numFmtId="0" fontId="7" fillId="12" borderId="48" xfId="0" applyFont="1" applyFill="1" applyBorder="1" applyAlignment="1" applyProtection="1">
      <alignment horizontal="center" vertical="center"/>
      <protection locked="0"/>
    </xf>
    <xf numFmtId="0" fontId="7" fillId="8" borderId="12" xfId="0" applyFont="1" applyFill="1" applyBorder="1" applyAlignment="1" applyProtection="1">
      <alignment horizontal="center" vertical="center"/>
      <protection locked="0"/>
    </xf>
    <xf numFmtId="0" fontId="7" fillId="8" borderId="47" xfId="0" applyFont="1" applyFill="1" applyBorder="1" applyAlignment="1" applyProtection="1">
      <alignment horizontal="center" vertical="center"/>
      <protection locked="0"/>
    </xf>
    <xf numFmtId="0" fontId="7" fillId="8" borderId="46" xfId="0" applyFont="1" applyFill="1" applyBorder="1" applyAlignment="1" applyProtection="1">
      <alignment horizontal="center" vertical="center"/>
      <protection locked="0"/>
    </xf>
    <xf numFmtId="0" fontId="7" fillId="12" borderId="12" xfId="0" applyFont="1" applyFill="1" applyBorder="1" applyAlignment="1" applyProtection="1">
      <alignment horizontal="center" vertical="center"/>
      <protection locked="0"/>
    </xf>
    <xf numFmtId="0" fontId="7" fillId="12" borderId="47" xfId="0" applyFont="1" applyFill="1" applyBorder="1" applyAlignment="1" applyProtection="1">
      <alignment horizontal="center" vertical="center"/>
      <protection locked="0"/>
    </xf>
    <xf numFmtId="0" fontId="7" fillId="12" borderId="46" xfId="0" applyFont="1" applyFill="1" applyBorder="1" applyAlignment="1" applyProtection="1">
      <alignment horizontal="center" vertical="center"/>
      <protection locked="0"/>
    </xf>
    <xf numFmtId="0" fontId="12" fillId="0" borderId="0" xfId="0" applyFont="1" applyBorder="1" applyAlignment="1">
      <alignment horizontal="right" vertical="center"/>
    </xf>
    <xf numFmtId="0" fontId="15" fillId="0" borderId="17" xfId="0" applyFont="1" applyBorder="1" applyAlignment="1">
      <alignment horizontal="right" vertical="center"/>
    </xf>
    <xf numFmtId="0" fontId="15" fillId="0" borderId="17" xfId="0" applyFont="1" applyBorder="1" applyAlignment="1">
      <alignment horizontal="left" vertical="center"/>
    </xf>
    <xf numFmtId="0" fontId="9" fillId="8" borderId="11" xfId="0" applyFont="1" applyFill="1" applyBorder="1" applyAlignment="1">
      <alignment horizontal="center" vertical="center"/>
    </xf>
    <xf numFmtId="167" fontId="7" fillId="15" borderId="11" xfId="0" applyNumberFormat="1" applyFont="1" applyFill="1" applyBorder="1" applyAlignment="1" applyProtection="1">
      <alignment horizontal="center" vertical="center"/>
      <protection locked="0"/>
    </xf>
    <xf numFmtId="167" fontId="7" fillId="0" borderId="30" xfId="0" applyNumberFormat="1" applyFont="1" applyFill="1" applyBorder="1" applyAlignment="1">
      <alignment horizontal="center" vertical="center"/>
    </xf>
    <xf numFmtId="164" fontId="7" fillId="0" borderId="58" xfId="0" applyNumberFormat="1" applyFont="1" applyBorder="1" applyAlignment="1">
      <alignment horizontal="center" vertical="center"/>
    </xf>
    <xf numFmtId="167" fontId="7" fillId="0" borderId="58" xfId="0" applyNumberFormat="1" applyFont="1" applyFill="1" applyBorder="1" applyAlignment="1" applyProtection="1">
      <alignment horizontal="center" vertical="center"/>
      <protection locked="0"/>
    </xf>
    <xf numFmtId="167" fontId="7" fillId="0" borderId="47" xfId="0" applyNumberFormat="1" applyFont="1" applyFill="1" applyBorder="1" applyAlignment="1" applyProtection="1">
      <alignment horizontal="center" vertical="center"/>
      <protection locked="0"/>
    </xf>
    <xf numFmtId="0" fontId="7" fillId="0" borderId="74" xfId="0" applyFont="1" applyBorder="1" applyAlignment="1">
      <alignment horizontal="center" vertical="center"/>
    </xf>
    <xf numFmtId="167" fontId="7" fillId="0" borderId="74" xfId="0" applyNumberFormat="1" applyFont="1" applyBorder="1" applyAlignment="1">
      <alignment horizontal="center" vertical="center"/>
    </xf>
    <xf numFmtId="167" fontId="7" fillId="15" borderId="30" xfId="0" applyNumberFormat="1" applyFont="1" applyFill="1" applyBorder="1" applyAlignment="1">
      <alignment horizontal="center" vertical="center"/>
    </xf>
    <xf numFmtId="167" fontId="7" fillId="15" borderId="74" xfId="0" applyNumberFormat="1" applyFont="1" applyFill="1" applyBorder="1" applyAlignment="1">
      <alignment horizontal="center" vertical="center"/>
    </xf>
    <xf numFmtId="167" fontId="7" fillId="15" borderId="11" xfId="0" applyNumberFormat="1" applyFont="1" applyFill="1" applyBorder="1" applyAlignment="1">
      <alignment horizontal="center" vertical="center"/>
    </xf>
    <xf numFmtId="167" fontId="7" fillId="0" borderId="0" xfId="0" applyNumberFormat="1" applyFont="1" applyBorder="1" applyAlignment="1">
      <alignment horizontal="center" vertical="center"/>
    </xf>
    <xf numFmtId="171" fontId="7" fillId="0" borderId="0" xfId="0" applyNumberFormat="1" applyFont="1" applyAlignment="1">
      <alignment horizontal="center" vertical="center"/>
    </xf>
    <xf numFmtId="167" fontId="7" fillId="0" borderId="0" xfId="0" applyNumberFormat="1" applyFont="1" applyAlignment="1">
      <alignment horizontal="center" vertical="center"/>
    </xf>
    <xf numFmtId="167" fontId="7" fillId="0" borderId="48" xfId="0" applyNumberFormat="1" applyFont="1" applyBorder="1" applyAlignment="1">
      <alignment horizontal="center" vertical="center"/>
    </xf>
    <xf numFmtId="2" fontId="7" fillId="0" borderId="47" xfId="0" applyNumberFormat="1" applyFont="1" applyFill="1" applyBorder="1" applyAlignment="1">
      <alignment horizontal="center" vertical="center"/>
    </xf>
    <xf numFmtId="2" fontId="7" fillId="0" borderId="74" xfId="0" applyNumberFormat="1" applyFont="1" applyBorder="1" applyAlignment="1">
      <alignment horizontal="center" vertical="center"/>
    </xf>
    <xf numFmtId="0" fontId="7" fillId="0" borderId="51" xfId="0" applyFont="1" applyBorder="1" applyAlignment="1">
      <alignment vertical="center"/>
    </xf>
    <xf numFmtId="0" fontId="7" fillId="0" borderId="0" xfId="0" applyFont="1" applyAlignment="1" applyProtection="1">
      <alignment vertical="center"/>
      <protection locked="0"/>
    </xf>
    <xf numFmtId="0" fontId="7" fillId="0" borderId="0" xfId="0" applyFont="1" applyFill="1" applyBorder="1" applyAlignment="1" applyProtection="1">
      <alignment vertical="center"/>
      <protection locked="0"/>
    </xf>
    <xf numFmtId="167" fontId="7" fillId="0" borderId="44" xfId="0" applyNumberFormat="1" applyFont="1" applyFill="1" applyBorder="1" applyAlignment="1" applyProtection="1">
      <alignment horizontal="center" vertical="center"/>
      <protection locked="0"/>
    </xf>
    <xf numFmtId="167" fontId="7" fillId="0" borderId="0" xfId="0" applyNumberFormat="1" applyFont="1" applyFill="1" applyBorder="1" applyAlignment="1" applyProtection="1">
      <alignment horizontal="center" vertical="center"/>
      <protection locked="0"/>
    </xf>
    <xf numFmtId="167" fontId="7" fillId="0" borderId="44" xfId="0" applyNumberFormat="1" applyFont="1" applyFill="1" applyBorder="1" applyAlignment="1">
      <alignment horizontal="center" vertical="center"/>
    </xf>
    <xf numFmtId="167" fontId="7" fillId="0" borderId="0" xfId="0" applyNumberFormat="1" applyFont="1" applyFill="1" applyBorder="1" applyAlignment="1">
      <alignment horizontal="center" vertical="center"/>
    </xf>
    <xf numFmtId="167" fontId="7" fillId="0" borderId="75" xfId="0" applyNumberFormat="1" applyFont="1" applyFill="1" applyBorder="1" applyAlignment="1">
      <alignment horizontal="center" vertical="center"/>
    </xf>
    <xf numFmtId="2" fontId="7" fillId="0" borderId="44" xfId="0" applyNumberFormat="1" applyFont="1" applyFill="1" applyBorder="1" applyAlignment="1">
      <alignment horizontal="center" vertical="center"/>
    </xf>
    <xf numFmtId="2" fontId="7" fillId="0" borderId="0" xfId="0" applyNumberFormat="1" applyFont="1" applyFill="1" applyBorder="1" applyAlignment="1">
      <alignment horizontal="center" vertical="center"/>
    </xf>
    <xf numFmtId="10" fontId="7" fillId="0" borderId="44" xfId="0" applyNumberFormat="1" applyFont="1" applyFill="1" applyBorder="1" applyAlignment="1">
      <alignment horizontal="center" vertical="center"/>
    </xf>
    <xf numFmtId="10" fontId="7" fillId="0" borderId="0" xfId="0" applyNumberFormat="1" applyFont="1" applyFill="1" applyBorder="1" applyAlignment="1">
      <alignment horizontal="center" vertical="center"/>
    </xf>
    <xf numFmtId="2" fontId="7" fillId="0" borderId="44" xfId="0" applyNumberFormat="1" applyFont="1" applyFill="1" applyBorder="1" applyAlignment="1" applyProtection="1">
      <alignment horizontal="center" vertical="center"/>
      <protection locked="0"/>
    </xf>
    <xf numFmtId="2" fontId="7" fillId="0" borderId="0" xfId="0" applyNumberFormat="1" applyFont="1" applyFill="1" applyBorder="1" applyAlignment="1" applyProtection="1">
      <alignment horizontal="center" vertical="center"/>
      <protection locked="0"/>
    </xf>
    <xf numFmtId="0" fontId="7" fillId="0" borderId="73" xfId="0" applyFont="1" applyBorder="1" applyAlignment="1">
      <alignment horizontal="center" vertical="center"/>
    </xf>
    <xf numFmtId="0" fontId="7" fillId="0" borderId="73" xfId="0" applyFont="1" applyFill="1" applyBorder="1" applyAlignment="1">
      <alignment horizontal="center" vertical="center"/>
    </xf>
    <xf numFmtId="0" fontId="7" fillId="8" borderId="20" xfId="0" applyNumberFormat="1" applyFont="1" applyFill="1" applyBorder="1" applyAlignment="1">
      <alignment horizontal="center" vertical="center"/>
    </xf>
    <xf numFmtId="0" fontId="7" fillId="0" borderId="47" xfId="0" applyFont="1" applyFill="1" applyBorder="1" applyAlignment="1">
      <alignment horizontal="center" vertical="center"/>
    </xf>
    <xf numFmtId="0" fontId="7" fillId="0" borderId="74"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0" xfId="0" applyFont="1" applyAlignment="1">
      <alignment horizontal="center" vertical="center"/>
    </xf>
    <xf numFmtId="0" fontId="12" fillId="0" borderId="8" xfId="0" applyFont="1" applyFill="1" applyBorder="1" applyAlignment="1">
      <alignment horizontal="center" vertical="center"/>
    </xf>
    <xf numFmtId="164" fontId="7" fillId="0" borderId="0" xfId="0" applyNumberFormat="1" applyFont="1" applyFill="1" applyBorder="1" applyAlignment="1" applyProtection="1">
      <alignment horizontal="center" vertical="center"/>
    </xf>
    <xf numFmtId="164" fontId="7" fillId="10" borderId="74" xfId="0" applyNumberFormat="1" applyFont="1" applyFill="1" applyBorder="1" applyAlignment="1" applyProtection="1">
      <alignment horizontal="center" vertical="center"/>
    </xf>
    <xf numFmtId="0" fontId="7" fillId="0" borderId="78" xfId="0" applyFont="1" applyFill="1" applyBorder="1" applyAlignment="1">
      <alignment horizontal="center" vertical="center"/>
    </xf>
    <xf numFmtId="0" fontId="7" fillId="0" borderId="59" xfId="0" applyFont="1" applyFill="1" applyBorder="1" applyAlignment="1">
      <alignment horizontal="center" vertical="center"/>
    </xf>
    <xf numFmtId="167" fontId="7" fillId="6" borderId="47" xfId="0" applyNumberFormat="1" applyFont="1" applyFill="1" applyBorder="1" applyAlignment="1">
      <alignment horizontal="center" vertical="center"/>
    </xf>
    <xf numFmtId="2" fontId="7" fillId="6" borderId="47" xfId="0" applyNumberFormat="1" applyFont="1" applyFill="1" applyBorder="1" applyAlignment="1">
      <alignment horizontal="center" vertical="center"/>
    </xf>
    <xf numFmtId="0" fontId="7" fillId="0" borderId="79" xfId="0" applyFont="1" applyBorder="1" applyAlignment="1">
      <alignment horizontal="right" vertical="center"/>
    </xf>
    <xf numFmtId="0" fontId="7" fillId="0" borderId="79" xfId="0" applyFont="1" applyBorder="1" applyAlignment="1">
      <alignment horizontal="center" vertical="center"/>
    </xf>
    <xf numFmtId="0" fontId="7" fillId="0" borderId="4" xfId="0" applyFont="1" applyBorder="1" applyAlignment="1">
      <alignment horizontal="right" vertical="center"/>
    </xf>
    <xf numFmtId="0" fontId="7" fillId="0" borderId="80" xfId="0" applyFont="1" applyFill="1" applyBorder="1" applyAlignment="1">
      <alignment horizontal="center" vertical="center"/>
    </xf>
    <xf numFmtId="0" fontId="7" fillId="0" borderId="5" xfId="0" applyFont="1" applyBorder="1" applyAlignment="1">
      <alignment horizontal="right" vertical="center"/>
    </xf>
    <xf numFmtId="0" fontId="7" fillId="0" borderId="9" xfId="0" applyFont="1" applyBorder="1" applyAlignment="1">
      <alignment horizontal="center" vertical="center"/>
    </xf>
    <xf numFmtId="2" fontId="7" fillId="0" borderId="54" xfId="0" applyNumberFormat="1" applyFont="1" applyBorder="1" applyAlignment="1">
      <alignment horizontal="center" vertical="center"/>
    </xf>
    <xf numFmtId="10" fontId="7" fillId="0" borderId="42" xfId="9" applyNumberFormat="1" applyFont="1" applyBorder="1" applyAlignment="1">
      <alignment horizontal="center" vertical="center"/>
    </xf>
    <xf numFmtId="10" fontId="7" fillId="0" borderId="43" xfId="9" applyNumberFormat="1" applyFont="1" applyBorder="1" applyAlignment="1">
      <alignment horizontal="center" vertical="center"/>
    </xf>
    <xf numFmtId="2" fontId="7" fillId="0" borderId="51" xfId="0" applyNumberFormat="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8" xfId="0" applyFont="1" applyBorder="1" applyAlignment="1">
      <alignment horizontal="center" vertical="center"/>
    </xf>
    <xf numFmtId="0" fontId="9" fillId="0" borderId="14" xfId="0" applyFont="1" applyBorder="1" applyAlignment="1">
      <alignment vertical="center"/>
    </xf>
    <xf numFmtId="0" fontId="7" fillId="0" borderId="0" xfId="0" applyFont="1" applyFill="1" applyBorder="1" applyAlignment="1">
      <alignment vertical="center"/>
    </xf>
    <xf numFmtId="0" fontId="9" fillId="0" borderId="0" xfId="0" applyFont="1" applyBorder="1" applyAlignment="1">
      <alignment vertical="center"/>
    </xf>
    <xf numFmtId="10" fontId="7" fillId="0" borderId="0" xfId="0" applyNumberFormat="1" applyFont="1" applyBorder="1" applyAlignment="1">
      <alignment horizontal="center" vertical="center"/>
    </xf>
    <xf numFmtId="0" fontId="7" fillId="0" borderId="81" xfId="0" applyFont="1" applyBorder="1" applyAlignment="1">
      <alignment horizontal="center" vertical="center"/>
    </xf>
    <xf numFmtId="0" fontId="7" fillId="0" borderId="74" xfId="0" applyNumberFormat="1" applyFont="1" applyBorder="1" applyAlignment="1">
      <alignment horizontal="center" vertical="center"/>
    </xf>
    <xf numFmtId="0" fontId="9" fillId="0" borderId="74" xfId="0" applyNumberFormat="1" applyFont="1" applyBorder="1" applyAlignment="1">
      <alignment horizontal="center" vertical="center"/>
    </xf>
    <xf numFmtId="0" fontId="7" fillId="0" borderId="82" xfId="0" applyFont="1" applyBorder="1" applyAlignment="1">
      <alignment horizontal="right" vertical="center"/>
    </xf>
    <xf numFmtId="0" fontId="7" fillId="0" borderId="85" xfId="0" applyFont="1" applyBorder="1" applyAlignment="1">
      <alignment horizontal="center" vertical="center"/>
    </xf>
    <xf numFmtId="0" fontId="7" fillId="0" borderId="86" xfId="0" applyFont="1" applyBorder="1" applyAlignment="1">
      <alignment horizontal="center" vertical="center"/>
    </xf>
    <xf numFmtId="0" fontId="9" fillId="0" borderId="85" xfId="0" applyNumberFormat="1" applyFont="1" applyBorder="1" applyAlignment="1">
      <alignment horizontal="center" vertical="center"/>
    </xf>
    <xf numFmtId="0" fontId="9" fillId="0" borderId="86" xfId="0" applyNumberFormat="1" applyFont="1" applyBorder="1" applyAlignment="1">
      <alignment horizontal="center" vertical="center"/>
    </xf>
    <xf numFmtId="0" fontId="9" fillId="0" borderId="87" xfId="0" applyNumberFormat="1" applyFont="1" applyBorder="1" applyAlignment="1">
      <alignment horizontal="center" vertical="center"/>
    </xf>
    <xf numFmtId="0" fontId="9" fillId="0" borderId="88" xfId="0" applyNumberFormat="1" applyFont="1" applyBorder="1" applyAlignment="1">
      <alignment horizontal="center" vertical="center"/>
    </xf>
    <xf numFmtId="0" fontId="9" fillId="0" borderId="89" xfId="0" applyNumberFormat="1" applyFont="1" applyBorder="1" applyAlignment="1">
      <alignment horizontal="center" vertical="center"/>
    </xf>
    <xf numFmtId="0" fontId="7" fillId="0" borderId="85" xfId="0" applyNumberFormat="1" applyFont="1" applyBorder="1" applyAlignment="1">
      <alignment horizontal="center" vertical="center"/>
    </xf>
    <xf numFmtId="0" fontId="7" fillId="0" borderId="87" xfId="0" applyNumberFormat="1" applyFont="1" applyBorder="1" applyAlignment="1">
      <alignment horizontal="center" vertical="center"/>
    </xf>
    <xf numFmtId="0" fontId="7" fillId="0" borderId="88" xfId="0" applyNumberFormat="1" applyFont="1" applyBorder="1" applyAlignment="1">
      <alignment horizontal="center" vertical="center"/>
    </xf>
    <xf numFmtId="0" fontId="7" fillId="0" borderId="93" xfId="0" applyFont="1" applyBorder="1" applyAlignment="1">
      <alignment horizontal="right" vertical="center"/>
    </xf>
    <xf numFmtId="0" fontId="7" fillId="0" borderId="85" xfId="0" applyFont="1" applyFill="1" applyBorder="1" applyAlignment="1">
      <alignment horizontal="center" vertical="center"/>
    </xf>
    <xf numFmtId="0" fontId="7" fillId="0" borderId="86" xfId="0" applyFont="1" applyFill="1" applyBorder="1" applyAlignment="1">
      <alignment horizontal="center" vertical="center"/>
    </xf>
    <xf numFmtId="0" fontId="7" fillId="0" borderId="87" xfId="0" applyFont="1" applyFill="1" applyBorder="1" applyAlignment="1">
      <alignment horizontal="center" vertical="center"/>
    </xf>
    <xf numFmtId="0" fontId="7" fillId="0" borderId="88" xfId="0" applyFont="1" applyFill="1" applyBorder="1" applyAlignment="1">
      <alignment horizontal="center" vertical="center"/>
    </xf>
    <xf numFmtId="0" fontId="7" fillId="0" borderId="89" xfId="0" applyFont="1" applyFill="1" applyBorder="1" applyAlignment="1">
      <alignment horizontal="center" vertical="center"/>
    </xf>
    <xf numFmtId="0" fontId="7" fillId="0" borderId="94" xfId="0" applyNumberFormat="1" applyFont="1" applyBorder="1" applyAlignment="1">
      <alignment horizontal="center" vertical="center"/>
    </xf>
    <xf numFmtId="0" fontId="7" fillId="0" borderId="95" xfId="0" applyNumberFormat="1" applyFont="1" applyBorder="1" applyAlignment="1">
      <alignment horizontal="center" vertical="center"/>
    </xf>
    <xf numFmtId="0" fontId="7" fillId="0" borderId="96" xfId="0" applyNumberFormat="1" applyFont="1" applyBorder="1" applyAlignment="1">
      <alignment horizontal="center" vertical="center"/>
    </xf>
    <xf numFmtId="0" fontId="7" fillId="0" borderId="86" xfId="0" applyNumberFormat="1" applyFont="1" applyBorder="1" applyAlignment="1">
      <alignment horizontal="center" vertical="center"/>
    </xf>
    <xf numFmtId="0" fontId="7" fillId="0" borderId="89" xfId="0" applyNumberFormat="1" applyFont="1" applyBorder="1" applyAlignment="1">
      <alignment horizontal="center" vertical="center"/>
    </xf>
    <xf numFmtId="0" fontId="7" fillId="0" borderId="97" xfId="0" applyFont="1" applyFill="1" applyBorder="1" applyAlignment="1">
      <alignment horizontal="center" vertical="center"/>
    </xf>
    <xf numFmtId="0" fontId="7" fillId="0" borderId="98" xfId="0" applyFont="1" applyFill="1" applyBorder="1" applyAlignment="1">
      <alignment horizontal="center" vertical="center"/>
    </xf>
    <xf numFmtId="0" fontId="7" fillId="0" borderId="99" xfId="0" applyFont="1" applyFill="1" applyBorder="1" applyAlignment="1">
      <alignment horizontal="center" vertical="center"/>
    </xf>
    <xf numFmtId="0" fontId="7" fillId="0" borderId="97" xfId="0" applyNumberFormat="1" applyFont="1" applyBorder="1" applyAlignment="1">
      <alignment horizontal="center" vertical="center"/>
    </xf>
    <xf numFmtId="0" fontId="7" fillId="0" borderId="98" xfId="0" applyNumberFormat="1" applyFont="1" applyBorder="1" applyAlignment="1">
      <alignment horizontal="center" vertical="center"/>
    </xf>
    <xf numFmtId="0" fontId="7" fillId="0" borderId="99" xfId="0" applyNumberFormat="1" applyFont="1" applyBorder="1" applyAlignment="1">
      <alignment horizontal="center" vertical="center"/>
    </xf>
    <xf numFmtId="0" fontId="9" fillId="0" borderId="97" xfId="0" applyNumberFormat="1" applyFont="1" applyBorder="1" applyAlignment="1">
      <alignment horizontal="center" vertical="center"/>
    </xf>
    <xf numFmtId="0" fontId="9" fillId="0" borderId="98" xfId="0" applyNumberFormat="1" applyFont="1" applyBorder="1" applyAlignment="1">
      <alignment horizontal="center" vertical="center"/>
    </xf>
    <xf numFmtId="0" fontId="9" fillId="0" borderId="99" xfId="0" applyNumberFormat="1" applyFont="1" applyBorder="1" applyAlignment="1">
      <alignment horizontal="center" vertical="center"/>
    </xf>
    <xf numFmtId="0" fontId="6" fillId="0" borderId="101" xfId="0" applyFont="1" applyBorder="1" applyAlignment="1">
      <alignment vertical="center"/>
    </xf>
    <xf numFmtId="0" fontId="15" fillId="0" borderId="101" xfId="0" applyFont="1" applyBorder="1" applyAlignment="1">
      <alignment vertical="center"/>
    </xf>
    <xf numFmtId="0" fontId="7" fillId="0" borderId="84" xfId="0" applyFont="1" applyBorder="1" applyAlignment="1">
      <alignment horizontal="center" vertical="center"/>
    </xf>
    <xf numFmtId="164" fontId="7" fillId="0" borderId="44" xfId="0" applyNumberFormat="1" applyFont="1" applyFill="1" applyBorder="1" applyAlignment="1" applyProtection="1">
      <alignment horizontal="center" vertical="center"/>
    </xf>
    <xf numFmtId="0" fontId="6" fillId="0" borderId="79" xfId="0" applyFont="1" applyBorder="1" applyAlignment="1">
      <alignment vertical="center"/>
    </xf>
    <xf numFmtId="0" fontId="7" fillId="0" borderId="105" xfId="0" applyFont="1" applyBorder="1" applyAlignment="1">
      <alignment vertical="center"/>
    </xf>
    <xf numFmtId="0" fontId="7" fillId="0" borderId="101" xfId="0" applyFont="1" applyBorder="1" applyAlignment="1">
      <alignment vertical="center"/>
    </xf>
    <xf numFmtId="0" fontId="7" fillId="0" borderId="106" xfId="0" applyFont="1" applyBorder="1" applyAlignment="1">
      <alignment vertical="center"/>
    </xf>
    <xf numFmtId="168" fontId="6" fillId="0" borderId="20" xfId="0" applyNumberFormat="1" applyFont="1" applyBorder="1" applyAlignment="1">
      <alignment horizontal="center" vertical="center"/>
    </xf>
    <xf numFmtId="0" fontId="6" fillId="0" borderId="20" xfId="0" applyFont="1" applyBorder="1" applyAlignment="1">
      <alignment horizontal="center" vertical="center"/>
    </xf>
    <xf numFmtId="0" fontId="7" fillId="0" borderId="83" xfId="0" applyFont="1" applyBorder="1" applyAlignment="1">
      <alignment horizontal="center" vertical="center"/>
    </xf>
    <xf numFmtId="0" fontId="7" fillId="0" borderId="107" xfId="0" applyFont="1" applyFill="1" applyBorder="1" applyAlignment="1">
      <alignment horizontal="center" vertical="center"/>
    </xf>
    <xf numFmtId="0" fontId="7" fillId="0" borderId="108" xfId="0" applyFont="1" applyFill="1" applyBorder="1" applyAlignment="1">
      <alignment horizontal="center" vertical="center"/>
    </xf>
    <xf numFmtId="0" fontId="7" fillId="0" borderId="109" xfId="0" applyFont="1" applyFill="1" applyBorder="1" applyAlignment="1">
      <alignment horizontal="center" vertical="center"/>
    </xf>
    <xf numFmtId="0" fontId="7" fillId="0" borderId="110" xfId="0" applyFont="1" applyFill="1" applyBorder="1" applyAlignment="1">
      <alignment horizontal="center" vertical="center"/>
    </xf>
    <xf numFmtId="0" fontId="7" fillId="0" borderId="111" xfId="0" applyFont="1" applyFill="1" applyBorder="1" applyAlignment="1">
      <alignment horizontal="center" vertical="center"/>
    </xf>
    <xf numFmtId="0" fontId="7" fillId="0" borderId="112" xfId="0" applyFont="1" applyFill="1" applyBorder="1" applyAlignment="1">
      <alignment horizontal="center" vertical="center"/>
    </xf>
    <xf numFmtId="0" fontId="7" fillId="0" borderId="113" xfId="0" applyFont="1" applyFill="1" applyBorder="1" applyAlignment="1">
      <alignment horizontal="center" vertical="center"/>
    </xf>
    <xf numFmtId="0" fontId="7" fillId="0" borderId="114" xfId="0" applyFont="1" applyFill="1" applyBorder="1" applyAlignment="1">
      <alignment horizontal="center" vertical="center"/>
    </xf>
    <xf numFmtId="0" fontId="7" fillId="0" borderId="94" xfId="0" applyFont="1" applyBorder="1" applyAlignment="1">
      <alignment vertical="center"/>
    </xf>
    <xf numFmtId="0" fontId="7" fillId="0" borderId="87" xfId="0" applyFont="1" applyBorder="1" applyAlignment="1">
      <alignment horizontal="center" vertical="center"/>
    </xf>
    <xf numFmtId="0" fontId="7" fillId="0" borderId="89" xfId="0" applyFont="1" applyBorder="1" applyAlignment="1">
      <alignment horizontal="center" vertical="center"/>
    </xf>
    <xf numFmtId="0" fontId="7" fillId="0" borderId="107" xfId="0" applyFont="1" applyBorder="1" applyAlignment="1">
      <alignment horizontal="center" vertical="center"/>
    </xf>
    <xf numFmtId="0" fontId="7" fillId="0" borderId="109" xfId="0" applyFont="1" applyBorder="1" applyAlignment="1">
      <alignment horizontal="center" vertical="center"/>
    </xf>
    <xf numFmtId="0" fontId="7" fillId="0" borderId="110" xfId="0" applyFont="1" applyBorder="1" applyAlignment="1">
      <alignment horizontal="center" vertical="center"/>
    </xf>
    <xf numFmtId="0" fontId="7" fillId="0" borderId="111" xfId="0" applyFont="1" applyBorder="1" applyAlignment="1">
      <alignment horizontal="center" vertical="center"/>
    </xf>
    <xf numFmtId="0" fontId="7" fillId="0" borderId="112" xfId="0" applyFont="1" applyBorder="1" applyAlignment="1">
      <alignment horizontal="center" vertical="center"/>
    </xf>
    <xf numFmtId="0" fontId="7" fillId="0" borderId="114" xfId="0" applyFont="1" applyBorder="1" applyAlignment="1">
      <alignment horizontal="center" vertical="center"/>
    </xf>
    <xf numFmtId="0" fontId="7" fillId="0" borderId="108" xfId="0" applyFont="1" applyBorder="1" applyAlignment="1">
      <alignment horizontal="center" vertical="center"/>
    </xf>
    <xf numFmtId="10" fontId="7" fillId="0" borderId="109" xfId="9" applyNumberFormat="1" applyFont="1" applyBorder="1" applyAlignment="1">
      <alignment horizontal="center" vertical="center"/>
    </xf>
    <xf numFmtId="10" fontId="7" fillId="0" borderId="111" xfId="9" applyNumberFormat="1" applyFont="1" applyBorder="1" applyAlignment="1">
      <alignment horizontal="center" vertical="center"/>
    </xf>
    <xf numFmtId="0" fontId="7" fillId="0" borderId="113" xfId="0" applyFont="1" applyBorder="1" applyAlignment="1">
      <alignment horizontal="center" vertical="center"/>
    </xf>
    <xf numFmtId="10" fontId="7" fillId="0" borderId="114" xfId="9" applyNumberFormat="1" applyFont="1" applyBorder="1" applyAlignment="1">
      <alignment horizontal="center" vertical="center"/>
    </xf>
    <xf numFmtId="10" fontId="7" fillId="0" borderId="115" xfId="9" applyNumberFormat="1" applyFont="1" applyBorder="1" applyAlignment="1">
      <alignment horizontal="center" vertical="center"/>
    </xf>
    <xf numFmtId="164" fontId="7" fillId="0" borderId="74" xfId="0" applyNumberFormat="1" applyFont="1" applyBorder="1" applyAlignment="1">
      <alignment horizontal="center" vertical="center"/>
    </xf>
    <xf numFmtId="0" fontId="7" fillId="0" borderId="96" xfId="0" applyFont="1" applyBorder="1" applyAlignment="1">
      <alignment vertical="center"/>
    </xf>
    <xf numFmtId="164" fontId="7" fillId="0" borderId="85" xfId="0" applyNumberFormat="1" applyFont="1" applyBorder="1" applyAlignment="1">
      <alignment horizontal="center" vertical="center"/>
    </xf>
    <xf numFmtId="164" fontId="7" fillId="0" borderId="86" xfId="0" applyNumberFormat="1" applyFont="1" applyBorder="1" applyAlignment="1">
      <alignment horizontal="center" vertical="center"/>
    </xf>
    <xf numFmtId="164" fontId="7" fillId="0" borderId="116" xfId="0" applyNumberFormat="1" applyFont="1" applyBorder="1" applyAlignment="1">
      <alignment horizontal="center" vertical="center"/>
    </xf>
    <xf numFmtId="164" fontId="7" fillId="0" borderId="115" xfId="0" applyNumberFormat="1" applyFont="1" applyBorder="1" applyAlignment="1">
      <alignment horizontal="center" vertical="center"/>
    </xf>
    <xf numFmtId="164" fontId="7" fillId="0" borderId="117" xfId="0" applyNumberFormat="1" applyFont="1" applyBorder="1" applyAlignment="1">
      <alignment horizontal="center" vertical="center"/>
    </xf>
    <xf numFmtId="164" fontId="7" fillId="0" borderId="94" xfId="0" applyNumberFormat="1" applyFont="1" applyBorder="1" applyAlignment="1">
      <alignment horizontal="center" vertical="center"/>
    </xf>
    <xf numFmtId="164" fontId="7" fillId="0" borderId="95" xfId="0" applyNumberFormat="1" applyFont="1" applyBorder="1" applyAlignment="1">
      <alignment horizontal="center" vertical="center"/>
    </xf>
    <xf numFmtId="164" fontId="7" fillId="0" borderId="96" xfId="0" applyNumberFormat="1" applyFont="1" applyBorder="1" applyAlignment="1">
      <alignment horizontal="center" vertical="center"/>
    </xf>
    <xf numFmtId="10" fontId="7" fillId="0" borderId="87" xfId="9" applyNumberFormat="1" applyFont="1" applyBorder="1" applyAlignment="1">
      <alignment horizontal="center" vertical="center"/>
    </xf>
    <xf numFmtId="10" fontId="7" fillId="0" borderId="88" xfId="9" applyNumberFormat="1" applyFont="1" applyBorder="1" applyAlignment="1">
      <alignment horizontal="center" vertical="center"/>
    </xf>
    <xf numFmtId="10" fontId="7" fillId="0" borderId="89" xfId="9" applyNumberFormat="1" applyFont="1" applyBorder="1" applyAlignment="1">
      <alignment horizontal="center" vertical="center"/>
    </xf>
    <xf numFmtId="164" fontId="7" fillId="0" borderId="83" xfId="0" applyNumberFormat="1" applyFont="1" applyBorder="1" applyAlignment="1">
      <alignment horizontal="center" vertical="center"/>
    </xf>
    <xf numFmtId="0" fontId="7" fillId="0" borderId="98" xfId="0" applyFont="1" applyBorder="1" applyAlignment="1">
      <alignment horizontal="center" vertical="center"/>
    </xf>
    <xf numFmtId="10" fontId="7" fillId="0" borderId="85" xfId="9" applyNumberFormat="1" applyFont="1" applyBorder="1" applyAlignment="1">
      <alignment horizontal="center" vertical="center"/>
    </xf>
    <xf numFmtId="10" fontId="7" fillId="0" borderId="116" xfId="9" applyNumberFormat="1" applyFont="1" applyBorder="1" applyAlignment="1">
      <alignment horizontal="center" vertical="center"/>
    </xf>
    <xf numFmtId="10" fontId="7" fillId="0" borderId="83" xfId="9" applyNumberFormat="1"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96" xfId="0" applyFont="1" applyBorder="1" applyAlignment="1">
      <alignment horizontal="center" vertical="center"/>
    </xf>
    <xf numFmtId="10" fontId="7" fillId="0" borderId="86" xfId="9" applyNumberFormat="1" applyFont="1" applyBorder="1" applyAlignment="1">
      <alignment horizontal="center" vertical="center"/>
    </xf>
    <xf numFmtId="0" fontId="7" fillId="0" borderId="94" xfId="0" applyFont="1" applyBorder="1" applyAlignment="1">
      <alignment horizontal="right" vertical="center"/>
    </xf>
    <xf numFmtId="0" fontId="7" fillId="0" borderId="85" xfId="0" applyFont="1" applyBorder="1" applyAlignment="1">
      <alignment horizontal="right" vertical="center"/>
    </xf>
    <xf numFmtId="0" fontId="7" fillId="0" borderId="87" xfId="0" applyFont="1" applyBorder="1" applyAlignment="1">
      <alignment horizontal="right" vertical="center"/>
    </xf>
    <xf numFmtId="164" fontId="7" fillId="0" borderId="97" xfId="0" applyNumberFormat="1" applyFont="1" applyBorder="1" applyAlignment="1">
      <alignment horizontal="center" vertical="center"/>
    </xf>
    <xf numFmtId="164" fontId="7" fillId="0" borderId="98" xfId="0" applyNumberFormat="1" applyFont="1" applyBorder="1" applyAlignment="1">
      <alignment horizontal="center" vertical="center"/>
    </xf>
    <xf numFmtId="164" fontId="7" fillId="0" borderId="99" xfId="0" applyNumberFormat="1" applyFont="1" applyBorder="1" applyAlignment="1">
      <alignment horizontal="center" vertical="center"/>
    </xf>
    <xf numFmtId="0" fontId="7" fillId="0" borderId="122" xfId="0" applyFont="1" applyBorder="1" applyAlignment="1">
      <alignment horizontal="center" vertical="center"/>
    </xf>
    <xf numFmtId="0" fontId="7" fillId="0" borderId="123" xfId="0" applyFont="1" applyBorder="1" applyAlignment="1">
      <alignment vertical="center"/>
    </xf>
    <xf numFmtId="0" fontId="7" fillId="0" borderId="101" xfId="0" applyFont="1" applyBorder="1" applyAlignment="1">
      <alignment horizontal="right" vertical="center"/>
    </xf>
    <xf numFmtId="0" fontId="7" fillId="0" borderId="101" xfId="0" applyFont="1" applyBorder="1" applyAlignment="1">
      <alignment horizontal="center" vertical="center"/>
    </xf>
    <xf numFmtId="0" fontId="9" fillId="0" borderId="101" xfId="0" applyFont="1" applyBorder="1" applyAlignment="1">
      <alignment vertical="center"/>
    </xf>
    <xf numFmtId="10" fontId="7" fillId="0" borderId="117" xfId="9" applyNumberFormat="1" applyFont="1" applyBorder="1" applyAlignment="1">
      <alignment horizontal="center" vertical="center"/>
    </xf>
    <xf numFmtId="0" fontId="7" fillId="0" borderId="124" xfId="0" applyFont="1" applyFill="1" applyBorder="1" applyAlignment="1">
      <alignment horizontal="center" vertical="center"/>
    </xf>
    <xf numFmtId="0" fontId="7" fillId="0" borderId="83" xfId="0" applyFont="1" applyFill="1" applyBorder="1" applyAlignment="1">
      <alignment horizontal="center" vertical="center"/>
    </xf>
    <xf numFmtId="0" fontId="18" fillId="0" borderId="0" xfId="0" applyFont="1" applyBorder="1" applyAlignment="1">
      <alignment vertical="center"/>
    </xf>
    <xf numFmtId="0" fontId="7" fillId="0" borderId="115" xfId="0" applyFont="1" applyBorder="1" applyAlignment="1">
      <alignment horizontal="center" vertical="center"/>
    </xf>
    <xf numFmtId="0" fontId="7" fillId="0" borderId="125" xfId="0" applyFont="1" applyBorder="1" applyAlignment="1">
      <alignment horizontal="center" vertical="center"/>
    </xf>
    <xf numFmtId="0" fontId="7" fillId="0" borderId="115" xfId="0" applyFont="1" applyFill="1" applyBorder="1" applyAlignment="1">
      <alignment horizontal="center" vertical="center"/>
    </xf>
    <xf numFmtId="0" fontId="7" fillId="0" borderId="125" xfId="0" applyFont="1" applyFill="1" applyBorder="1" applyAlignment="1">
      <alignment horizontal="center" vertical="center"/>
    </xf>
    <xf numFmtId="0" fontId="7" fillId="0" borderId="126" xfId="0" applyFont="1" applyBorder="1" applyAlignment="1">
      <alignment horizontal="center" vertical="center"/>
    </xf>
    <xf numFmtId="2" fontId="7" fillId="0" borderId="95" xfId="0" applyNumberFormat="1" applyFont="1" applyBorder="1" applyAlignment="1">
      <alignment horizontal="center" vertical="center"/>
    </xf>
    <xf numFmtId="167" fontId="7" fillId="0" borderId="95" xfId="0" applyNumberFormat="1" applyFont="1" applyBorder="1" applyAlignment="1">
      <alignment horizontal="center" vertical="center"/>
    </xf>
    <xf numFmtId="10" fontId="7" fillId="0" borderId="96" xfId="9" applyNumberFormat="1" applyFont="1" applyBorder="1" applyAlignment="1">
      <alignment horizontal="center" vertical="center"/>
    </xf>
    <xf numFmtId="0" fontId="7" fillId="0" borderId="127" xfId="0" applyFont="1" applyBorder="1" applyAlignment="1">
      <alignment horizontal="center" vertical="center"/>
    </xf>
    <xf numFmtId="0" fontId="7" fillId="0" borderId="127" xfId="0" applyFont="1" applyFill="1" applyBorder="1" applyAlignment="1">
      <alignment horizontal="center" vertical="center"/>
    </xf>
    <xf numFmtId="0" fontId="7" fillId="0" borderId="120" xfId="0" applyFont="1" applyFill="1" applyBorder="1" applyAlignment="1">
      <alignment horizontal="center" vertical="center"/>
    </xf>
    <xf numFmtId="0" fontId="7" fillId="0" borderId="88" xfId="0" applyFont="1" applyBorder="1" applyAlignment="1">
      <alignment horizontal="center" vertical="center"/>
    </xf>
    <xf numFmtId="2" fontId="7" fillId="0" borderId="88" xfId="0" applyNumberFormat="1" applyFont="1" applyBorder="1" applyAlignment="1">
      <alignment horizontal="center" vertical="center"/>
    </xf>
    <xf numFmtId="167" fontId="7" fillId="0" borderId="88" xfId="0" applyNumberFormat="1" applyFont="1" applyBorder="1" applyAlignment="1">
      <alignment horizontal="center" vertical="center"/>
    </xf>
    <xf numFmtId="2" fontId="7" fillId="0" borderId="98" xfId="0" applyNumberFormat="1" applyFont="1" applyBorder="1" applyAlignment="1">
      <alignment horizontal="center" vertical="center"/>
    </xf>
    <xf numFmtId="167" fontId="7" fillId="0" borderId="98" xfId="0" applyNumberFormat="1" applyFont="1" applyBorder="1" applyAlignment="1">
      <alignment horizontal="center" vertical="center"/>
    </xf>
    <xf numFmtId="10" fontId="7" fillId="0" borderId="99" xfId="9" applyNumberFormat="1" applyFont="1" applyBorder="1" applyAlignment="1">
      <alignment horizontal="center" vertical="center"/>
    </xf>
    <xf numFmtId="0" fontId="7" fillId="0" borderId="120" xfId="0" applyFont="1" applyBorder="1" applyAlignment="1">
      <alignment horizontal="center" vertical="center"/>
    </xf>
    <xf numFmtId="0" fontId="7" fillId="0" borderId="126" xfId="0" applyFont="1" applyFill="1" applyBorder="1" applyAlignment="1">
      <alignment horizontal="center" vertical="center"/>
    </xf>
    <xf numFmtId="0" fontId="7" fillId="0" borderId="118" xfId="0" applyFont="1" applyBorder="1" applyAlignment="1">
      <alignment horizontal="right" vertical="center"/>
    </xf>
    <xf numFmtId="0" fontId="7" fillId="0" borderId="84" xfId="0" applyFont="1" applyBorder="1" applyAlignment="1">
      <alignment horizontal="right" vertical="center"/>
    </xf>
    <xf numFmtId="2" fontId="7" fillId="0" borderId="85" xfId="0" applyNumberFormat="1" applyFont="1" applyBorder="1" applyAlignment="1">
      <alignment horizontal="center" vertical="center"/>
    </xf>
    <xf numFmtId="2" fontId="7" fillId="0" borderId="86" xfId="0" applyNumberFormat="1" applyFont="1" applyBorder="1" applyAlignment="1">
      <alignment horizontal="center" vertical="center"/>
    </xf>
    <xf numFmtId="2" fontId="7" fillId="0" borderId="87" xfId="0" applyNumberFormat="1" applyFont="1" applyBorder="1" applyAlignment="1">
      <alignment horizontal="center" vertical="center"/>
    </xf>
    <xf numFmtId="2" fontId="7" fillId="0" borderId="89" xfId="0" applyNumberFormat="1" applyFont="1" applyBorder="1" applyAlignment="1">
      <alignment horizontal="center" vertical="center"/>
    </xf>
    <xf numFmtId="2" fontId="7" fillId="0" borderId="97" xfId="0" applyNumberFormat="1" applyFont="1" applyBorder="1" applyAlignment="1">
      <alignment horizontal="center" vertical="center"/>
    </xf>
    <xf numFmtId="0" fontId="7" fillId="0" borderId="103" xfId="0" applyFont="1" applyFill="1" applyBorder="1" applyAlignment="1">
      <alignment horizontal="center" vertical="center"/>
    </xf>
    <xf numFmtId="2" fontId="7" fillId="0" borderId="129" xfId="0" applyNumberFormat="1" applyFont="1" applyBorder="1" applyAlignment="1">
      <alignment horizontal="center" vertical="center"/>
    </xf>
    <xf numFmtId="2" fontId="7" fillId="0" borderId="82" xfId="0" applyNumberFormat="1" applyFont="1" applyBorder="1" applyAlignment="1">
      <alignment horizontal="center" vertical="center"/>
    </xf>
    <xf numFmtId="2" fontId="7" fillId="0" borderId="130" xfId="0" applyNumberFormat="1" applyFont="1" applyBorder="1" applyAlignment="1">
      <alignment horizontal="center" vertical="center"/>
    </xf>
    <xf numFmtId="2" fontId="7" fillId="0" borderId="94" xfId="0" applyNumberFormat="1" applyFont="1" applyBorder="1" applyAlignment="1">
      <alignment horizontal="center" vertical="center"/>
    </xf>
    <xf numFmtId="0" fontId="7" fillId="0" borderId="5" xfId="0" applyFont="1" applyFill="1" applyBorder="1" applyAlignment="1">
      <alignment horizontal="center" vertical="center"/>
    </xf>
    <xf numFmtId="0" fontId="7" fillId="0" borderId="79" xfId="0" applyFont="1" applyBorder="1" applyAlignment="1">
      <alignment vertical="center"/>
    </xf>
    <xf numFmtId="2" fontId="7" fillId="0" borderId="131" xfId="0" applyNumberFormat="1" applyFont="1" applyBorder="1" applyAlignment="1">
      <alignment horizontal="center" vertical="center"/>
    </xf>
    <xf numFmtId="164" fontId="7" fillId="0" borderId="47" xfId="0" applyNumberFormat="1" applyFont="1" applyBorder="1" applyAlignment="1">
      <alignment horizontal="center" vertical="center"/>
    </xf>
    <xf numFmtId="2" fontId="7" fillId="0" borderId="47" xfId="0" applyNumberFormat="1" applyFont="1" applyBorder="1" applyAlignment="1">
      <alignment horizontal="center" vertical="center"/>
    </xf>
    <xf numFmtId="167" fontId="7" fillId="0" borderId="47" xfId="0" applyNumberFormat="1" applyFont="1" applyBorder="1" applyAlignment="1">
      <alignment horizontal="center" vertical="center"/>
    </xf>
    <xf numFmtId="2" fontId="7" fillId="0" borderId="132" xfId="0" applyNumberFormat="1" applyFont="1" applyBorder="1" applyAlignment="1">
      <alignment horizontal="center" vertical="center"/>
    </xf>
    <xf numFmtId="2" fontId="7" fillId="0" borderId="56" xfId="0" applyNumberFormat="1" applyFont="1" applyBorder="1" applyAlignment="1">
      <alignment horizontal="center" vertical="center"/>
    </xf>
    <xf numFmtId="10" fontId="7" fillId="0" borderId="0" xfId="0" applyNumberFormat="1" applyFont="1" applyBorder="1" applyAlignment="1">
      <alignment horizontal="right" vertical="center"/>
    </xf>
    <xf numFmtId="10" fontId="7" fillId="16" borderId="130" xfId="9" applyNumberFormat="1" applyFont="1" applyFill="1" applyBorder="1" applyAlignment="1">
      <alignment horizontal="center" vertical="center"/>
    </xf>
    <xf numFmtId="10" fontId="7" fillId="16" borderId="88" xfId="9" applyNumberFormat="1" applyFont="1" applyFill="1" applyBorder="1" applyAlignment="1">
      <alignment horizontal="center" vertical="center"/>
    </xf>
    <xf numFmtId="0" fontId="7" fillId="0" borderId="77" xfId="0" applyFont="1" applyBorder="1" applyAlignment="1">
      <alignment vertical="center"/>
    </xf>
    <xf numFmtId="0" fontId="7" fillId="0" borderId="50" xfId="0" applyFont="1" applyBorder="1" applyAlignment="1">
      <alignment horizontal="center" vertical="center"/>
    </xf>
    <xf numFmtId="2" fontId="7" fillId="0" borderId="119" xfId="0" applyNumberFormat="1" applyFont="1" applyBorder="1" applyAlignment="1">
      <alignment horizontal="center" vertical="center"/>
    </xf>
    <xf numFmtId="2" fontId="7" fillId="0" borderId="91" xfId="0" applyNumberFormat="1" applyFont="1" applyBorder="1" applyAlignment="1">
      <alignment horizontal="center" vertical="center"/>
    </xf>
    <xf numFmtId="2" fontId="7" fillId="0" borderId="92" xfId="0" applyNumberFormat="1" applyFont="1" applyBorder="1" applyAlignment="1">
      <alignment horizontal="center" vertical="center"/>
    </xf>
    <xf numFmtId="2" fontId="7" fillId="0" borderId="100" xfId="0" applyNumberFormat="1" applyFont="1" applyBorder="1" applyAlignment="1">
      <alignment horizontal="center" vertical="center"/>
    </xf>
    <xf numFmtId="10" fontId="7" fillId="16" borderId="92" xfId="9" applyNumberFormat="1" applyFont="1" applyFill="1" applyBorder="1" applyAlignment="1">
      <alignment horizontal="center" vertical="center"/>
    </xf>
    <xf numFmtId="0" fontId="7" fillId="0" borderId="90" xfId="0" applyFont="1" applyBorder="1" applyAlignment="1">
      <alignment horizontal="center" vertical="center"/>
    </xf>
    <xf numFmtId="0" fontId="7" fillId="0" borderId="121" xfId="0" applyFont="1" applyBorder="1" applyAlignment="1">
      <alignment horizontal="center" vertical="center"/>
    </xf>
    <xf numFmtId="0" fontId="7" fillId="0" borderId="87" xfId="0" applyFont="1" applyBorder="1" applyAlignment="1" applyProtection="1">
      <alignment horizontal="center" vertical="center"/>
      <protection locked="0"/>
    </xf>
    <xf numFmtId="164" fontId="7" fillId="0" borderId="107" xfId="0" applyNumberFormat="1" applyFont="1" applyBorder="1" applyAlignment="1" applyProtection="1">
      <alignment horizontal="center" vertical="center"/>
      <protection locked="0"/>
    </xf>
    <xf numFmtId="164" fontId="7" fillId="0" borderId="112" xfId="0" applyNumberFormat="1" applyFont="1" applyBorder="1" applyAlignment="1" applyProtection="1">
      <alignment horizontal="center" vertical="center"/>
      <protection locked="0"/>
    </xf>
    <xf numFmtId="10" fontId="7" fillId="0" borderId="133" xfId="0" applyNumberFormat="1" applyFont="1" applyFill="1" applyBorder="1" applyAlignment="1">
      <alignment horizontal="center" vertical="center"/>
    </xf>
    <xf numFmtId="0" fontId="7" fillId="0" borderId="83" xfId="2" applyFont="1" applyFill="1" applyBorder="1" applyAlignment="1">
      <alignment horizontal="center" vertical="center"/>
    </xf>
    <xf numFmtId="10" fontId="7" fillId="0" borderId="134" xfId="0" applyNumberFormat="1" applyFont="1" applyFill="1" applyBorder="1" applyAlignment="1">
      <alignment horizontal="center" vertical="center"/>
    </xf>
    <xf numFmtId="0" fontId="7" fillId="0" borderId="135" xfId="0" applyFont="1" applyBorder="1" applyAlignment="1">
      <alignment horizontal="center" vertical="center"/>
    </xf>
    <xf numFmtId="0" fontId="7" fillId="0" borderId="136" xfId="0" applyFont="1" applyBorder="1" applyAlignment="1">
      <alignment horizontal="center" vertical="center"/>
    </xf>
    <xf numFmtId="0" fontId="7" fillId="0" borderId="137" xfId="0" applyFont="1" applyBorder="1" applyAlignment="1">
      <alignment horizontal="center" vertical="center"/>
    </xf>
    <xf numFmtId="0" fontId="7" fillId="0" borderId="138" xfId="0" applyFont="1" applyBorder="1" applyAlignment="1">
      <alignment vertical="center"/>
    </xf>
    <xf numFmtId="0" fontId="12" fillId="0" borderId="0" xfId="0" applyFont="1" applyFill="1" applyBorder="1" applyAlignment="1">
      <alignment vertical="center"/>
    </xf>
    <xf numFmtId="0" fontId="7" fillId="0" borderId="5" xfId="0" applyFont="1" applyFill="1" applyBorder="1" applyAlignment="1">
      <alignment horizontal="center" vertical="center"/>
    </xf>
    <xf numFmtId="0" fontId="6" fillId="0" borderId="0" xfId="0" applyFont="1" applyBorder="1" applyAlignment="1">
      <alignment horizontal="center" vertical="center"/>
    </xf>
    <xf numFmtId="0" fontId="12" fillId="0" borderId="0" xfId="0" applyFont="1" applyBorder="1" applyAlignment="1">
      <alignment horizontal="center" vertical="center"/>
    </xf>
    <xf numFmtId="0" fontId="0" fillId="0" borderId="0" xfId="0" applyBorder="1" applyAlignment="1" applyProtection="1">
      <alignment horizontal="center" vertical="center"/>
    </xf>
    <xf numFmtId="0" fontId="22" fillId="0" borderId="0" xfId="0" applyFont="1" applyBorder="1" applyAlignment="1" applyProtection="1">
      <alignment horizontal="center" vertical="center"/>
    </xf>
    <xf numFmtId="0" fontId="23" fillId="0" borderId="14" xfId="0" applyFont="1" applyBorder="1" applyAlignment="1">
      <alignment horizontal="left" vertical="center"/>
    </xf>
    <xf numFmtId="0" fontId="0" fillId="0" borderId="1" xfId="0" applyBorder="1" applyAlignment="1" applyProtection="1">
      <alignment horizontal="center" vertical="center"/>
    </xf>
    <xf numFmtId="0" fontId="0" fillId="0" borderId="2" xfId="0" applyBorder="1" applyAlignment="1" applyProtection="1">
      <alignment horizontal="center" vertical="center"/>
    </xf>
    <xf numFmtId="0" fontId="24" fillId="0" borderId="2" xfId="0" applyFont="1" applyBorder="1" applyAlignment="1" applyProtection="1">
      <alignment horizontal="left" vertical="center"/>
    </xf>
    <xf numFmtId="0" fontId="25" fillId="0" borderId="2" xfId="0" applyFont="1" applyBorder="1" applyAlignment="1" applyProtection="1">
      <alignment horizontal="left" vertical="center"/>
    </xf>
    <xf numFmtId="0" fontId="0" fillId="0" borderId="3" xfId="0" applyBorder="1" applyAlignment="1" applyProtection="1">
      <alignment horizontal="center" vertical="center"/>
    </xf>
    <xf numFmtId="0" fontId="0" fillId="0" borderId="7" xfId="0" applyBorder="1" applyAlignment="1" applyProtection="1">
      <alignment horizontal="left" vertical="center"/>
    </xf>
    <xf numFmtId="0" fontId="23" fillId="0" borderId="0" xfId="0" applyFont="1" applyBorder="1" applyAlignment="1" applyProtection="1">
      <alignment horizontal="right" vertical="center"/>
    </xf>
    <xf numFmtId="174" fontId="23" fillId="18" borderId="74" xfId="10" applyNumberFormat="1" applyFont="1" applyFill="1" applyBorder="1" applyProtection="1">
      <alignment horizontal="left" vertical="center"/>
      <protection locked="0"/>
    </xf>
    <xf numFmtId="0" fontId="24" fillId="0" borderId="81" xfId="0" applyFont="1" applyBorder="1" applyAlignment="1" applyProtection="1">
      <alignment horizontal="left" vertical="center"/>
    </xf>
    <xf numFmtId="0" fontId="23" fillId="0" borderId="81" xfId="0" applyFont="1" applyBorder="1" applyAlignment="1" applyProtection="1">
      <alignment horizontal="center" vertical="center"/>
    </xf>
    <xf numFmtId="0" fontId="23" fillId="0" borderId="8" xfId="0" applyFont="1" applyBorder="1" applyAlignment="1" applyProtection="1">
      <alignment horizontal="center" vertical="center"/>
    </xf>
    <xf numFmtId="0" fontId="23" fillId="0" borderId="7" xfId="0" applyFont="1" applyBorder="1" applyAlignment="1" applyProtection="1">
      <alignment horizontal="left" vertical="center"/>
    </xf>
    <xf numFmtId="0" fontId="27" fillId="0" borderId="0" xfId="0" applyFont="1" applyBorder="1" applyAlignment="1">
      <alignment horizontal="right" vertical="center"/>
    </xf>
    <xf numFmtId="174" fontId="28" fillId="0" borderId="81" xfId="0" applyNumberFormat="1" applyFont="1" applyBorder="1" applyAlignment="1" applyProtection="1">
      <alignment horizontal="center" vertical="center"/>
    </xf>
    <xf numFmtId="174" fontId="29" fillId="0" borderId="81" xfId="0" applyNumberFormat="1" applyFont="1" applyBorder="1" applyAlignment="1" applyProtection="1">
      <alignment horizontal="center" vertical="center"/>
    </xf>
    <xf numFmtId="174" fontId="29" fillId="0" borderId="93" xfId="0" applyNumberFormat="1" applyFont="1" applyBorder="1" applyAlignment="1" applyProtection="1">
      <alignment horizontal="center" vertical="center"/>
    </xf>
    <xf numFmtId="0" fontId="30" fillId="0" borderId="81" xfId="0" applyFont="1" applyBorder="1" applyAlignment="1" applyProtection="1">
      <alignment horizontal="left" vertical="center"/>
    </xf>
    <xf numFmtId="0" fontId="23" fillId="0" borderId="81" xfId="0" applyFont="1" applyBorder="1" applyAlignment="1" applyProtection="1">
      <alignment horizontal="left" vertical="center"/>
    </xf>
    <xf numFmtId="0" fontId="23" fillId="0" borderId="8" xfId="0" applyFont="1" applyBorder="1" applyAlignment="1" applyProtection="1">
      <alignment horizontal="left" vertical="center"/>
    </xf>
    <xf numFmtId="0" fontId="31" fillId="0" borderId="7" xfId="0" applyFont="1" applyBorder="1" applyAlignment="1" applyProtection="1">
      <alignment horizontal="left" vertical="center"/>
    </xf>
    <xf numFmtId="0" fontId="23" fillId="0" borderId="0" xfId="0" applyFont="1" applyBorder="1" applyAlignment="1">
      <alignment horizontal="left" vertical="center"/>
    </xf>
    <xf numFmtId="174" fontId="0" fillId="0" borderId="0" xfId="0" applyNumberFormat="1" applyBorder="1" applyAlignment="1">
      <alignment horizontal="center" vertical="center"/>
    </xf>
    <xf numFmtId="0" fontId="23" fillId="0" borderId="0" xfId="0" applyFont="1" applyBorder="1" applyAlignment="1" applyProtection="1">
      <alignment horizontal="center" vertical="center"/>
    </xf>
    <xf numFmtId="0" fontId="23" fillId="0" borderId="0" xfId="0" applyFont="1" applyBorder="1" applyAlignment="1" applyProtection="1">
      <alignment horizontal="left" vertical="center"/>
    </xf>
    <xf numFmtId="0" fontId="23" fillId="0" borderId="13" xfId="0" applyFont="1" applyBorder="1" applyAlignment="1" applyProtection="1">
      <alignment horizontal="left" vertical="center"/>
    </xf>
    <xf numFmtId="0" fontId="23" fillId="0" borderId="14" xfId="0" applyFont="1" applyBorder="1" applyAlignment="1" applyProtection="1">
      <alignment horizontal="center" vertical="center"/>
    </xf>
    <xf numFmtId="174" fontId="23" fillId="0" borderId="14" xfId="0" applyNumberFormat="1" applyFont="1" applyBorder="1" applyAlignment="1" applyProtection="1">
      <alignment horizontal="center" vertical="center"/>
    </xf>
    <xf numFmtId="0" fontId="24" fillId="0" borderId="14" xfId="0" applyFont="1" applyBorder="1" applyAlignment="1" applyProtection="1">
      <alignment horizontal="left" vertical="center"/>
    </xf>
    <xf numFmtId="0" fontId="23" fillId="0" borderId="15" xfId="0" applyFont="1" applyBorder="1" applyAlignment="1" applyProtection="1">
      <alignment horizontal="center" vertical="center"/>
    </xf>
    <xf numFmtId="0" fontId="23" fillId="0" borderId="139" xfId="0" applyFont="1" applyBorder="1" applyAlignment="1" applyProtection="1">
      <alignment horizontal="center" vertical="center"/>
    </xf>
    <xf numFmtId="1" fontId="23" fillId="0" borderId="0" xfId="0" applyNumberFormat="1" applyFont="1" applyBorder="1" applyAlignment="1" applyProtection="1">
      <alignment horizontal="right" vertical="center"/>
    </xf>
    <xf numFmtId="1" fontId="23" fillId="0" borderId="0" xfId="0" applyNumberFormat="1" applyFont="1" applyBorder="1" applyAlignment="1" applyProtection="1">
      <alignment horizontal="center" vertical="center"/>
    </xf>
    <xf numFmtId="174" fontId="28" fillId="0" borderId="0" xfId="0" applyNumberFormat="1" applyFont="1" applyBorder="1" applyAlignment="1" applyProtection="1">
      <alignment horizontal="center" vertical="center"/>
    </xf>
    <xf numFmtId="174" fontId="29" fillId="0" borderId="0" xfId="0" applyNumberFormat="1" applyFont="1" applyBorder="1" applyAlignment="1" applyProtection="1">
      <alignment horizontal="center" vertical="center"/>
    </xf>
    <xf numFmtId="174" fontId="29" fillId="0" borderId="124" xfId="0" applyNumberFormat="1" applyFont="1" applyBorder="1" applyAlignment="1" applyProtection="1">
      <alignment horizontal="center" vertical="center"/>
    </xf>
    <xf numFmtId="0" fontId="30" fillId="0" borderId="0" xfId="0" applyFont="1" applyBorder="1" applyAlignment="1" applyProtection="1">
      <alignment horizontal="left" vertical="center"/>
    </xf>
    <xf numFmtId="0" fontId="24" fillId="0" borderId="0" xfId="0" applyFont="1" applyBorder="1" applyAlignment="1" applyProtection="1">
      <alignment horizontal="left" vertical="center"/>
    </xf>
    <xf numFmtId="0" fontId="26" fillId="0" borderId="0" xfId="0" applyFont="1" applyBorder="1" applyAlignment="1" applyProtection="1">
      <alignment horizontal="left" vertical="center"/>
    </xf>
    <xf numFmtId="174" fontId="23" fillId="0" borderId="0" xfId="10" applyNumberFormat="1" applyFont="1" applyFill="1" applyBorder="1" applyProtection="1">
      <alignment horizontal="left" vertical="center"/>
      <protection locked="0"/>
    </xf>
    <xf numFmtId="0" fontId="24" fillId="0" borderId="0" xfId="0" applyFont="1" applyFill="1" applyBorder="1" applyAlignment="1" applyProtection="1">
      <alignment horizontal="left" vertical="center"/>
    </xf>
    <xf numFmtId="0" fontId="26" fillId="0" borderId="0" xfId="0" applyFont="1" applyFill="1" applyBorder="1" applyAlignment="1" applyProtection="1">
      <alignment horizontal="left" vertical="center"/>
    </xf>
    <xf numFmtId="0" fontId="23" fillId="0" borderId="0" xfId="0" applyFont="1" applyFill="1" applyBorder="1" applyAlignment="1" applyProtection="1">
      <alignment horizontal="center" vertical="center"/>
    </xf>
    <xf numFmtId="174" fontId="28" fillId="0" borderId="0" xfId="0" applyNumberFormat="1" applyFont="1" applyFill="1" applyBorder="1" applyAlignment="1" applyProtection="1">
      <alignment horizontal="center" vertical="center"/>
    </xf>
    <xf numFmtId="174" fontId="29" fillId="0" borderId="0" xfId="0" applyNumberFormat="1" applyFont="1" applyFill="1" applyBorder="1" applyAlignment="1" applyProtection="1">
      <alignment horizontal="center" vertical="center"/>
    </xf>
    <xf numFmtId="0" fontId="23" fillId="0" borderId="0" xfId="0" applyFont="1" applyFill="1" applyBorder="1" applyAlignment="1" applyProtection="1">
      <alignment horizontal="left" vertical="center"/>
    </xf>
    <xf numFmtId="0" fontId="32" fillId="0" borderId="0" xfId="0" applyFont="1" applyFill="1" applyBorder="1" applyAlignment="1" applyProtection="1">
      <alignment horizontal="center" vertical="center"/>
    </xf>
    <xf numFmtId="174" fontId="24" fillId="0" borderId="0" xfId="0" applyNumberFormat="1" applyFont="1" applyFill="1" applyBorder="1" applyAlignment="1" applyProtection="1">
      <alignment horizontal="left" vertical="center"/>
    </xf>
    <xf numFmtId="0" fontId="33" fillId="0" borderId="0" xfId="0" applyFont="1" applyFill="1" applyBorder="1" applyAlignment="1" applyProtection="1">
      <alignment horizontal="left" vertical="center"/>
    </xf>
    <xf numFmtId="0" fontId="26" fillId="0" borderId="128" xfId="0" applyFont="1" applyBorder="1" applyAlignment="1" applyProtection="1">
      <alignment horizontal="left" vertical="center"/>
    </xf>
    <xf numFmtId="174" fontId="29" fillId="0" borderId="140" xfId="0" applyNumberFormat="1" applyFont="1" applyBorder="1" applyAlignment="1" applyProtection="1">
      <alignment horizontal="center" vertical="center"/>
    </xf>
    <xf numFmtId="174" fontId="29" fillId="0" borderId="141" xfId="0" applyNumberFormat="1" applyFont="1" applyBorder="1" applyAlignment="1" applyProtection="1">
      <alignment horizontal="center" vertical="center"/>
    </xf>
    <xf numFmtId="0" fontId="23" fillId="0" borderId="14" xfId="0" applyFont="1" applyBorder="1" applyAlignment="1" applyProtection="1">
      <alignment horizontal="left" vertical="center"/>
    </xf>
    <xf numFmtId="0" fontId="24" fillId="0" borderId="14" xfId="0" applyFont="1" applyBorder="1" applyAlignment="1" applyProtection="1">
      <alignment vertical="center"/>
    </xf>
    <xf numFmtId="0" fontId="34" fillId="0" borderId="0" xfId="0" applyFont="1" applyBorder="1" applyAlignment="1" applyProtection="1">
      <alignment horizontal="right" vertical="center"/>
    </xf>
    <xf numFmtId="0" fontId="7" fillId="0" borderId="0" xfId="0" applyFont="1" applyAlignment="1">
      <alignment horizontal="center" vertical="center"/>
    </xf>
    <xf numFmtId="0" fontId="23" fillId="0" borderId="142" xfId="0" applyFont="1" applyBorder="1" applyAlignment="1" applyProtection="1">
      <alignment horizontal="center" vertical="center"/>
    </xf>
    <xf numFmtId="0" fontId="7" fillId="0" borderId="142" xfId="0" applyFont="1" applyBorder="1" applyAlignment="1">
      <alignment vertical="center"/>
    </xf>
    <xf numFmtId="0" fontId="23" fillId="0" borderId="142" xfId="0" applyFont="1" applyBorder="1" applyAlignment="1">
      <alignment horizontal="center" vertical="center"/>
    </xf>
    <xf numFmtId="0" fontId="6" fillId="0" borderId="0" xfId="0" applyFont="1" applyBorder="1" applyAlignment="1">
      <alignment horizontal="right" vertical="center"/>
    </xf>
    <xf numFmtId="0" fontId="7" fillId="0" borderId="76" xfId="0" applyFont="1" applyBorder="1" applyAlignment="1">
      <alignment vertical="center"/>
    </xf>
    <xf numFmtId="0" fontId="7" fillId="0" borderId="91" xfId="0" applyFont="1" applyBorder="1" applyAlignment="1">
      <alignment horizontal="center" vertical="center"/>
    </xf>
    <xf numFmtId="0" fontId="7" fillId="0" borderId="91" xfId="0" applyNumberFormat="1" applyFont="1" applyBorder="1" applyAlignment="1">
      <alignment horizontal="center" vertical="center"/>
    </xf>
    <xf numFmtId="0" fontId="7" fillId="0" borderId="92" xfId="0" applyNumberFormat="1" applyFont="1" applyBorder="1" applyAlignment="1">
      <alignment horizontal="center" vertical="center"/>
    </xf>
    <xf numFmtId="0" fontId="7" fillId="0" borderId="100" xfId="0" applyNumberFormat="1" applyFont="1" applyBorder="1" applyAlignment="1">
      <alignment horizontal="center" vertical="center"/>
    </xf>
    <xf numFmtId="0" fontId="7" fillId="0" borderId="70" xfId="0" applyFont="1" applyBorder="1" applyAlignment="1">
      <alignment horizontal="left" vertical="center"/>
    </xf>
    <xf numFmtId="0" fontId="35" fillId="0" borderId="0" xfId="11"/>
    <xf numFmtId="0" fontId="38" fillId="0" borderId="0" xfId="11" applyFont="1" applyFill="1" applyBorder="1" applyAlignment="1">
      <alignment horizontal="center"/>
    </xf>
    <xf numFmtId="0" fontId="38" fillId="0" borderId="0" xfId="11" applyFont="1" applyFill="1"/>
    <xf numFmtId="0" fontId="38" fillId="0" borderId="74" xfId="11" applyFont="1" applyFill="1" applyBorder="1" applyAlignment="1">
      <alignment horizontal="center"/>
    </xf>
    <xf numFmtId="0" fontId="35" fillId="0" borderId="0" xfId="11" applyFill="1"/>
    <xf numFmtId="0" fontId="40" fillId="0" borderId="0" xfId="11" applyFont="1" applyFill="1"/>
    <xf numFmtId="164" fontId="40" fillId="0" borderId="75" xfId="11" applyNumberFormat="1" applyFont="1" applyFill="1" applyBorder="1" applyAlignment="1">
      <alignment horizontal="center"/>
    </xf>
    <xf numFmtId="164" fontId="35" fillId="0" borderId="74" xfId="11" applyNumberFormat="1" applyFont="1" applyFill="1" applyBorder="1" applyAlignment="1">
      <alignment horizontal="center"/>
    </xf>
    <xf numFmtId="0" fontId="40" fillId="0" borderId="0" xfId="11" applyFont="1" applyFill="1" applyAlignment="1">
      <alignment horizontal="right"/>
    </xf>
    <xf numFmtId="2" fontId="40" fillId="0" borderId="0" xfId="11" applyNumberFormat="1" applyFont="1" applyFill="1" applyAlignment="1"/>
    <xf numFmtId="0" fontId="39" fillId="0" borderId="0" xfId="11" applyFont="1" applyFill="1" applyAlignment="1">
      <alignment vertical="top"/>
    </xf>
    <xf numFmtId="0" fontId="38" fillId="0" borderId="93" xfId="11" applyFont="1" applyFill="1" applyBorder="1" applyAlignment="1">
      <alignment horizontal="center"/>
    </xf>
    <xf numFmtId="0" fontId="38" fillId="0" borderId="0" xfId="11" applyFont="1" applyFill="1" applyAlignment="1">
      <alignment horizontal="center"/>
    </xf>
    <xf numFmtId="0" fontId="39" fillId="0" borderId="0" xfId="11" applyFont="1" applyFill="1"/>
    <xf numFmtId="0" fontId="40" fillId="0" borderId="81" xfId="11" applyFont="1" applyFill="1" applyBorder="1" applyAlignment="1">
      <alignment horizontal="right"/>
    </xf>
    <xf numFmtId="0" fontId="40" fillId="0" borderId="0" xfId="11" applyFont="1" applyFill="1" applyBorder="1" applyAlignment="1">
      <alignment horizontal="right"/>
    </xf>
    <xf numFmtId="0" fontId="42" fillId="0" borderId="0" xfId="11" applyFont="1" applyAlignment="1">
      <alignment horizontal="center"/>
    </xf>
    <xf numFmtId="0" fontId="38" fillId="0" borderId="0" xfId="11" applyFont="1"/>
    <xf numFmtId="0" fontId="44" fillId="0" borderId="0" xfId="11" applyFont="1" applyBorder="1" applyAlignment="1">
      <alignment horizontal="center"/>
    </xf>
    <xf numFmtId="0" fontId="45" fillId="0" borderId="0" xfId="11" applyFont="1" applyAlignment="1">
      <alignment horizontal="right"/>
    </xf>
    <xf numFmtId="0" fontId="42" fillId="0" borderId="0" xfId="11" applyFont="1" applyAlignment="1">
      <alignment horizontal="right"/>
    </xf>
    <xf numFmtId="0" fontId="45" fillId="0" borderId="0" xfId="11" applyFont="1"/>
    <xf numFmtId="0" fontId="42" fillId="0" borderId="0" xfId="11" applyFont="1" applyAlignment="1">
      <alignment horizontal="left"/>
    </xf>
    <xf numFmtId="0" fontId="35" fillId="0" borderId="0" xfId="11" applyFont="1" applyAlignment="1">
      <alignment horizontal="right"/>
    </xf>
    <xf numFmtId="0" fontId="35" fillId="0" borderId="0" xfId="11" applyFont="1"/>
    <xf numFmtId="0" fontId="46" fillId="0" borderId="0" xfId="11" applyFont="1" applyAlignment="1">
      <alignment horizontal="right"/>
    </xf>
    <xf numFmtId="0" fontId="47" fillId="0" borderId="0" xfId="11" applyFont="1" applyAlignment="1">
      <alignment horizontal="center"/>
    </xf>
    <xf numFmtId="0" fontId="35" fillId="0" borderId="0" xfId="11" applyFont="1" applyAlignment="1">
      <alignment horizontal="left"/>
    </xf>
    <xf numFmtId="0" fontId="40" fillId="0" borderId="0" xfId="11" applyFont="1"/>
    <xf numFmtId="0" fontId="38" fillId="0" borderId="0" xfId="11" applyFont="1" applyAlignment="1">
      <alignment horizontal="left"/>
    </xf>
    <xf numFmtId="0" fontId="35" fillId="0" borderId="0" xfId="11" applyAlignment="1">
      <alignment vertical="center"/>
    </xf>
    <xf numFmtId="0" fontId="35" fillId="0" borderId="0" xfId="11" applyFont="1" applyBorder="1" applyAlignment="1"/>
    <xf numFmtId="0" fontId="38" fillId="0" borderId="0" xfId="11" applyFont="1" applyBorder="1" applyAlignment="1"/>
    <xf numFmtId="0" fontId="48" fillId="0" borderId="0" xfId="11" applyFont="1"/>
    <xf numFmtId="0" fontId="35" fillId="19" borderId="0" xfId="11" applyFont="1" applyFill="1" applyBorder="1" applyAlignment="1">
      <alignment horizontal="left"/>
    </xf>
    <xf numFmtId="0" fontId="38" fillId="0" borderId="0" xfId="11" applyFont="1" applyAlignment="1">
      <alignment horizontal="right"/>
    </xf>
    <xf numFmtId="0" fontId="38" fillId="0" borderId="0" xfId="11" applyFont="1" applyBorder="1"/>
    <xf numFmtId="14" fontId="35" fillId="19" borderId="0" xfId="11" applyNumberFormat="1" applyFont="1" applyFill="1" applyBorder="1" applyAlignment="1">
      <alignment horizontal="left"/>
    </xf>
    <xf numFmtId="0" fontId="50" fillId="0" borderId="0" xfId="11" applyFont="1" applyAlignment="1">
      <alignment horizontal="center"/>
    </xf>
    <xf numFmtId="0" fontId="35" fillId="0" borderId="0" xfId="11" applyAlignment="1">
      <alignment horizontal="centerContinuous"/>
    </xf>
    <xf numFmtId="0" fontId="43" fillId="0" borderId="0" xfId="11" applyFont="1" applyAlignment="1">
      <alignment horizontal="centerContinuous"/>
    </xf>
    <xf numFmtId="0" fontId="35" fillId="0" borderId="0" xfId="11" applyBorder="1"/>
    <xf numFmtId="2" fontId="54" fillId="0" borderId="0" xfId="11" applyNumberFormat="1" applyFont="1" applyAlignment="1">
      <alignment horizontal="center" vertical="center" wrapText="1"/>
    </xf>
    <xf numFmtId="0" fontId="38" fillId="0" borderId="0" xfId="11" applyFont="1" applyAlignment="1">
      <alignment horizontal="center" vertical="center"/>
    </xf>
    <xf numFmtId="0" fontId="35" fillId="0" borderId="0" xfId="11" applyNumberFormat="1" applyFont="1" applyFill="1" applyAlignment="1"/>
    <xf numFmtId="0" fontId="35" fillId="0" borderId="0" xfId="11" applyNumberFormat="1" applyFont="1" applyFill="1" applyBorder="1" applyAlignment="1"/>
    <xf numFmtId="0" fontId="40" fillId="0" borderId="0" xfId="11" applyFont="1" applyBorder="1" applyAlignment="1">
      <alignment horizontal="center"/>
    </xf>
    <xf numFmtId="0" fontId="40" fillId="0" borderId="0" xfId="11" applyNumberFormat="1" applyFont="1" applyFill="1" applyAlignment="1"/>
    <xf numFmtId="49" fontId="40" fillId="0" borderId="0" xfId="11" applyNumberFormat="1" applyFont="1" applyAlignment="1"/>
    <xf numFmtId="0" fontId="40" fillId="0" borderId="0" xfId="11" applyFont="1" applyAlignment="1">
      <alignment horizontal="center" vertical="center"/>
    </xf>
    <xf numFmtId="0" fontId="40" fillId="0" borderId="0" xfId="11" applyNumberFormat="1" applyFont="1" applyAlignment="1"/>
    <xf numFmtId="0" fontId="40" fillId="0" borderId="0" xfId="11" applyFont="1" applyAlignment="1">
      <alignment horizontal="right" vertical="center"/>
    </xf>
    <xf numFmtId="0" fontId="40" fillId="0" borderId="0" xfId="11" applyFont="1" applyAlignment="1">
      <alignment horizontal="center"/>
    </xf>
    <xf numFmtId="49" fontId="40" fillId="0" borderId="0" xfId="11" applyNumberFormat="1" applyFont="1" applyAlignment="1">
      <alignment horizontal="left"/>
    </xf>
    <xf numFmtId="0" fontId="45" fillId="0" borderId="0" xfId="11" applyFont="1" applyAlignment="1"/>
    <xf numFmtId="0" fontId="55" fillId="19" borderId="0" xfId="12" applyFont="1" applyFill="1" applyBorder="1" applyAlignment="1">
      <alignment horizontal="left" wrapText="1"/>
    </xf>
    <xf numFmtId="0" fontId="55" fillId="19" borderId="0" xfId="12" applyFont="1" applyFill="1" applyBorder="1" applyAlignment="1">
      <alignment horizontal="left"/>
    </xf>
    <xf numFmtId="0" fontId="56" fillId="19" borderId="0" xfId="12" applyFont="1" applyFill="1" applyBorder="1" applyAlignment="1">
      <alignment horizontal="center" wrapText="1"/>
    </xf>
    <xf numFmtId="2" fontId="57" fillId="20" borderId="0" xfId="12" applyNumberFormat="1" applyFont="1" applyFill="1" applyAlignment="1"/>
    <xf numFmtId="0" fontId="56" fillId="19" borderId="0" xfId="12" applyFont="1" applyFill="1" applyBorder="1" applyAlignment="1"/>
    <xf numFmtId="0" fontId="55" fillId="19" borderId="0" xfId="12" applyFont="1" applyFill="1" applyBorder="1" applyAlignment="1"/>
    <xf numFmtId="0" fontId="35" fillId="0" borderId="0" xfId="11" applyFont="1" applyAlignment="1">
      <alignment horizontal="centerContinuous"/>
    </xf>
    <xf numFmtId="0" fontId="35" fillId="0" borderId="0" xfId="11" applyNumberFormat="1" applyFont="1" applyAlignment="1">
      <alignment horizontal="centerContinuous"/>
    </xf>
    <xf numFmtId="0" fontId="38" fillId="0" borderId="0" xfId="11" applyFont="1" applyAlignment="1">
      <alignment horizontal="centerContinuous"/>
    </xf>
    <xf numFmtId="0" fontId="43" fillId="0" borderId="0" xfId="11" applyFont="1" applyBorder="1" applyAlignment="1">
      <alignment horizontal="centerContinuous"/>
    </xf>
    <xf numFmtId="0" fontId="58" fillId="0" borderId="0" xfId="11" applyFont="1" applyAlignment="1">
      <alignment horizontal="centerContinuous"/>
    </xf>
    <xf numFmtId="0" fontId="59" fillId="0" borderId="0" xfId="11" applyFont="1" applyAlignment="1">
      <alignment horizontal="centerContinuous"/>
    </xf>
    <xf numFmtId="164" fontId="35" fillId="0" borderId="0" xfId="11" applyNumberFormat="1" applyAlignment="1">
      <alignment horizontal="left"/>
    </xf>
    <xf numFmtId="0" fontId="46" fillId="0" borderId="0" xfId="11" applyFont="1" applyAlignment="1">
      <alignment horizontal="left"/>
    </xf>
    <xf numFmtId="0" fontId="46" fillId="0" borderId="0" xfId="11" applyFont="1"/>
    <xf numFmtId="2" fontId="35" fillId="0" borderId="74" xfId="11" applyNumberFormat="1" applyFont="1" applyFill="1" applyBorder="1" applyAlignment="1">
      <alignment horizontal="center"/>
    </xf>
    <xf numFmtId="0" fontId="11" fillId="0" borderId="0" xfId="0" applyFont="1" applyBorder="1" applyAlignment="1">
      <alignment horizontal="right" vertical="center"/>
    </xf>
    <xf numFmtId="0" fontId="14" fillId="0" borderId="14" xfId="0" applyFont="1" applyBorder="1" applyAlignment="1">
      <alignment horizontal="center" vertical="center"/>
    </xf>
    <xf numFmtId="0" fontId="15" fillId="0" borderId="14" xfId="0" applyFont="1" applyBorder="1" applyAlignment="1">
      <alignment horizontal="right" vertical="center"/>
    </xf>
    <xf numFmtId="0" fontId="62" fillId="0" borderId="139" xfId="0" applyFont="1" applyBorder="1" applyAlignment="1" applyProtection="1">
      <alignment vertical="center"/>
    </xf>
    <xf numFmtId="0" fontId="62" fillId="0" borderId="142" xfId="0" applyFont="1" applyBorder="1" applyAlignment="1" applyProtection="1">
      <alignment vertical="center"/>
    </xf>
    <xf numFmtId="0" fontId="7" fillId="0" borderId="11" xfId="0" applyFont="1" applyFill="1" applyBorder="1" applyAlignment="1" applyProtection="1">
      <alignment horizontal="center" vertical="center"/>
      <protection locked="0"/>
    </xf>
    <xf numFmtId="168" fontId="7" fillId="0" borderId="20" xfId="0" applyNumberFormat="1" applyFont="1" applyFill="1" applyBorder="1" applyAlignment="1">
      <alignment horizontal="center" vertical="center"/>
    </xf>
    <xf numFmtId="0" fontId="7" fillId="0" borderId="154" xfId="0" applyFont="1" applyBorder="1" applyAlignment="1">
      <alignment horizontal="center" vertical="center"/>
    </xf>
    <xf numFmtId="0" fontId="7" fillId="0" borderId="155" xfId="0" applyFont="1" applyBorder="1" applyAlignment="1">
      <alignment horizontal="center" vertical="center"/>
    </xf>
    <xf numFmtId="0" fontId="7" fillId="0" borderId="156" xfId="0" applyFont="1" applyBorder="1" applyAlignment="1">
      <alignment horizontal="center" vertical="center"/>
    </xf>
    <xf numFmtId="0" fontId="7" fillId="0" borderId="123" xfId="0" applyFont="1" applyBorder="1" applyAlignment="1">
      <alignment horizontal="center" vertical="center"/>
    </xf>
    <xf numFmtId="164" fontId="7" fillId="0" borderId="52" xfId="0" applyNumberFormat="1" applyFont="1" applyBorder="1" applyAlignment="1">
      <alignment horizontal="center" vertical="center"/>
    </xf>
    <xf numFmtId="164" fontId="7" fillId="0" borderId="42" xfId="0" applyNumberFormat="1" applyFont="1" applyBorder="1" applyAlignment="1">
      <alignment horizontal="center" vertical="center"/>
    </xf>
    <xf numFmtId="173" fontId="35" fillId="19" borderId="82" xfId="11" applyNumberFormat="1" applyFont="1" applyFill="1" applyBorder="1" applyAlignment="1">
      <alignment horizontal="center"/>
    </xf>
    <xf numFmtId="173" fontId="35" fillId="19" borderId="93" xfId="11" applyNumberFormat="1" applyFont="1" applyFill="1" applyBorder="1" applyAlignment="1">
      <alignment horizontal="center"/>
    </xf>
    <xf numFmtId="173" fontId="35" fillId="19" borderId="144" xfId="11" applyNumberFormat="1" applyFont="1" applyFill="1" applyBorder="1" applyAlignment="1">
      <alignment horizontal="center"/>
    </xf>
    <xf numFmtId="0" fontId="35" fillId="0" borderId="147" xfId="11" applyFont="1" applyBorder="1" applyAlignment="1">
      <alignment horizontal="center"/>
    </xf>
    <xf numFmtId="0" fontId="35" fillId="0" borderId="145" xfId="11" applyFont="1" applyBorder="1" applyAlignment="1">
      <alignment horizontal="center"/>
    </xf>
    <xf numFmtId="0" fontId="35" fillId="0" borderId="150" xfId="11" applyFont="1" applyBorder="1" applyAlignment="1">
      <alignment horizontal="center"/>
    </xf>
    <xf numFmtId="0" fontId="35" fillId="0" borderId="148" xfId="11" applyFont="1" applyBorder="1" applyAlignment="1">
      <alignment horizontal="center"/>
    </xf>
    <xf numFmtId="0" fontId="40" fillId="0" borderId="147" xfId="11" applyFont="1" applyBorder="1" applyAlignment="1">
      <alignment horizontal="center"/>
    </xf>
    <xf numFmtId="0" fontId="40" fillId="0" borderId="145" xfId="11" applyFont="1" applyBorder="1" applyAlignment="1">
      <alignment horizontal="center"/>
    </xf>
    <xf numFmtId="0" fontId="50" fillId="0" borderId="0" xfId="11" applyFont="1" applyAlignment="1">
      <alignment horizontal="center"/>
    </xf>
    <xf numFmtId="0" fontId="35" fillId="19" borderId="82" xfId="11" applyFont="1" applyFill="1" applyBorder="1" applyAlignment="1">
      <alignment horizontal="center"/>
    </xf>
    <xf numFmtId="0" fontId="35" fillId="19" borderId="93" xfId="11" applyFont="1" applyFill="1" applyBorder="1" applyAlignment="1">
      <alignment horizontal="center"/>
    </xf>
    <xf numFmtId="0" fontId="35" fillId="19" borderId="144" xfId="11" applyFont="1" applyFill="1" applyBorder="1" applyAlignment="1">
      <alignment horizontal="center"/>
    </xf>
    <xf numFmtId="0" fontId="35" fillId="0" borderId="149" xfId="11" applyFont="1" applyBorder="1" applyAlignment="1">
      <alignment horizontal="center"/>
    </xf>
    <xf numFmtId="175" fontId="35" fillId="19" borderId="82" xfId="11" applyNumberFormat="1" applyFont="1" applyFill="1" applyBorder="1" applyAlignment="1">
      <alignment horizontal="center"/>
    </xf>
    <xf numFmtId="175" fontId="35" fillId="19" borderId="93" xfId="11" applyNumberFormat="1" applyFont="1" applyFill="1" applyBorder="1" applyAlignment="1">
      <alignment horizontal="center"/>
    </xf>
    <xf numFmtId="175" fontId="35" fillId="19" borderId="144" xfId="11" applyNumberFormat="1" applyFont="1" applyFill="1" applyBorder="1" applyAlignment="1">
      <alignment horizontal="center"/>
    </xf>
    <xf numFmtId="0" fontId="35" fillId="0" borderId="82" xfId="11" applyBorder="1" applyAlignment="1">
      <alignment horizontal="center"/>
    </xf>
    <xf numFmtId="0" fontId="35" fillId="0" borderId="93" xfId="11" applyBorder="1" applyAlignment="1">
      <alignment horizontal="center"/>
    </xf>
    <xf numFmtId="0" fontId="35" fillId="0" borderId="144" xfId="11" applyBorder="1" applyAlignment="1">
      <alignment horizontal="center"/>
    </xf>
    <xf numFmtId="0" fontId="35" fillId="0" borderId="146" xfId="11" applyFont="1" applyBorder="1" applyAlignment="1">
      <alignment horizontal="center"/>
    </xf>
    <xf numFmtId="0" fontId="60" fillId="7" borderId="11" xfId="0" applyFont="1" applyFill="1" applyBorder="1" applyAlignment="1">
      <alignment horizontal="center" vertical="top"/>
    </xf>
    <xf numFmtId="0" fontId="45" fillId="19" borderId="82" xfId="11" applyFont="1" applyFill="1" applyBorder="1" applyAlignment="1">
      <alignment horizontal="center"/>
    </xf>
    <xf numFmtId="0" fontId="45" fillId="19" borderId="93" xfId="11" applyFont="1" applyFill="1" applyBorder="1" applyAlignment="1">
      <alignment horizontal="center"/>
    </xf>
    <xf numFmtId="0" fontId="45" fillId="19" borderId="144" xfId="11" applyFont="1" applyFill="1" applyBorder="1" applyAlignment="1">
      <alignment horizontal="center"/>
    </xf>
    <xf numFmtId="0" fontId="36" fillId="0" borderId="0" xfId="11" applyFont="1" applyBorder="1" applyAlignment="1">
      <alignment horizontal="center"/>
    </xf>
    <xf numFmtId="0" fontId="39" fillId="0" borderId="0" xfId="11" applyFont="1" applyAlignment="1">
      <alignment horizontal="center" vertical="center"/>
    </xf>
    <xf numFmtId="0" fontId="38" fillId="0" borderId="82" xfId="11" applyFont="1" applyBorder="1" applyAlignment="1">
      <alignment horizontal="center"/>
    </xf>
    <xf numFmtId="0" fontId="38" fillId="0" borderId="144" xfId="11" applyFont="1" applyBorder="1" applyAlignment="1">
      <alignment horizontal="center"/>
    </xf>
    <xf numFmtId="0" fontId="35" fillId="0" borderId="82" xfId="11" applyFont="1" applyBorder="1" applyAlignment="1">
      <alignment horizontal="center"/>
    </xf>
    <xf numFmtId="0" fontId="35" fillId="0" borderId="93" xfId="11" applyFont="1" applyBorder="1" applyAlignment="1">
      <alignment horizontal="center"/>
    </xf>
    <xf numFmtId="0" fontId="35" fillId="0" borderId="144" xfId="11" applyFont="1" applyBorder="1" applyAlignment="1">
      <alignment horizontal="center"/>
    </xf>
    <xf numFmtId="0" fontId="43" fillId="0" borderId="0" xfId="11" applyFont="1" applyAlignment="1">
      <alignment horizontal="center" vertical="center"/>
    </xf>
    <xf numFmtId="0" fontId="39" fillId="0" borderId="0" xfId="11" applyFont="1" applyAlignment="1">
      <alignment horizontal="left" vertical="center" wrapText="1"/>
    </xf>
    <xf numFmtId="0" fontId="38" fillId="0" borderId="153" xfId="11" applyFont="1" applyFill="1" applyBorder="1" applyAlignment="1">
      <alignment horizontal="left" vertical="center" wrapText="1"/>
    </xf>
    <xf numFmtId="0" fontId="38" fillId="0" borderId="152" xfId="11" applyFont="1" applyFill="1" applyBorder="1" applyAlignment="1">
      <alignment horizontal="left" vertical="center" wrapText="1"/>
    </xf>
    <xf numFmtId="0" fontId="38" fillId="0" borderId="151" xfId="11" applyFont="1" applyFill="1" applyBorder="1" applyAlignment="1">
      <alignment horizontal="left" vertical="center" wrapText="1"/>
    </xf>
    <xf numFmtId="0" fontId="35" fillId="0" borderId="124" xfId="11" applyBorder="1" applyAlignment="1">
      <alignment horizontal="left" vertical="top" wrapText="1"/>
    </xf>
    <xf numFmtId="0" fontId="35" fillId="0" borderId="0" xfId="11" applyBorder="1" applyAlignment="1">
      <alignment horizontal="left" vertical="top" wrapText="1"/>
    </xf>
    <xf numFmtId="0" fontId="38" fillId="20" borderId="82" xfId="11" applyNumberFormat="1" applyFont="1" applyFill="1" applyBorder="1" applyAlignment="1">
      <alignment horizontal="center"/>
    </xf>
    <xf numFmtId="0" fontId="38" fillId="20" borderId="144" xfId="11" applyNumberFormat="1" applyFont="1" applyFill="1" applyBorder="1" applyAlignment="1">
      <alignment horizontal="center"/>
    </xf>
    <xf numFmtId="0" fontId="43" fillId="0" borderId="0" xfId="11" applyFont="1" applyAlignment="1">
      <alignment horizontal="center"/>
    </xf>
    <xf numFmtId="0" fontId="50" fillId="0" borderId="0" xfId="11" applyFont="1" applyBorder="1" applyAlignment="1">
      <alignment horizontal="center"/>
    </xf>
    <xf numFmtId="0" fontId="42" fillId="0" borderId="0" xfId="11" applyFont="1" applyAlignment="1">
      <alignment horizontal="center"/>
    </xf>
    <xf numFmtId="0" fontId="38" fillId="0" borderId="0" xfId="11" applyFont="1" applyAlignment="1">
      <alignment horizontal="center"/>
    </xf>
    <xf numFmtId="0" fontId="55" fillId="19" borderId="0" xfId="12" applyNumberFormat="1" applyFont="1" applyFill="1" applyBorder="1" applyAlignment="1">
      <alignment horizontal="left" wrapText="1"/>
    </xf>
    <xf numFmtId="0" fontId="35" fillId="0" borderId="82" xfId="11" applyBorder="1" applyAlignment="1">
      <alignment horizontal="left" vertical="top" wrapText="1"/>
    </xf>
    <xf numFmtId="0" fontId="35" fillId="0" borderId="93" xfId="11" applyBorder="1" applyAlignment="1">
      <alignment horizontal="left" vertical="top" wrapText="1"/>
    </xf>
    <xf numFmtId="0" fontId="35" fillId="0" borderId="144" xfId="11" applyBorder="1" applyAlignment="1">
      <alignment horizontal="left" vertical="top" wrapText="1"/>
    </xf>
    <xf numFmtId="0" fontId="7" fillId="0" borderId="0" xfId="0" applyFont="1" applyAlignment="1">
      <alignment horizontal="center" vertical="center"/>
    </xf>
    <xf numFmtId="168" fontId="7" fillId="0" borderId="70" xfId="0" applyNumberFormat="1" applyFont="1" applyFill="1" applyBorder="1" applyAlignment="1">
      <alignment horizontal="center" vertical="center"/>
    </xf>
    <xf numFmtId="168" fontId="7" fillId="0" borderId="22" xfId="0" applyNumberFormat="1" applyFont="1" applyFill="1" applyBorder="1" applyAlignment="1">
      <alignment horizontal="center" vertical="center"/>
    </xf>
    <xf numFmtId="0" fontId="7" fillId="0" borderId="20" xfId="0" applyFont="1" applyFill="1" applyBorder="1" applyAlignment="1">
      <alignment horizontal="center" vertical="center"/>
    </xf>
    <xf numFmtId="0" fontId="7" fillId="0" borderId="102" xfId="0" applyFont="1" applyBorder="1" applyAlignment="1">
      <alignment horizontal="center" vertical="center"/>
    </xf>
    <xf numFmtId="0" fontId="7" fillId="0" borderId="103" xfId="0" applyFont="1" applyBorder="1" applyAlignment="1">
      <alignment horizontal="center" vertical="center"/>
    </xf>
    <xf numFmtId="0" fontId="7" fillId="0" borderId="104" xfId="0" applyFont="1" applyBorder="1" applyAlignment="1">
      <alignment horizontal="center" vertical="center"/>
    </xf>
    <xf numFmtId="0" fontId="7" fillId="0" borderId="0" xfId="0" applyFont="1" applyFill="1" applyBorder="1" applyAlignment="1">
      <alignment horizontal="center" vertical="center"/>
    </xf>
    <xf numFmtId="0" fontId="7" fillId="0" borderId="143" xfId="0" applyFont="1" applyBorder="1" applyAlignment="1">
      <alignment horizontal="center" vertical="center"/>
    </xf>
    <xf numFmtId="166" fontId="7" fillId="0" borderId="20" xfId="0" applyNumberFormat="1" applyFont="1" applyFill="1" applyBorder="1" applyAlignment="1">
      <alignment horizontal="center" vertical="center"/>
    </xf>
    <xf numFmtId="0" fontId="7" fillId="0" borderId="22" xfId="0" applyFont="1" applyFill="1" applyBorder="1" applyAlignment="1">
      <alignment horizontal="center" vertical="center"/>
    </xf>
    <xf numFmtId="0" fontId="7" fillId="0" borderId="20" xfId="0" applyNumberFormat="1" applyFont="1" applyFill="1" applyBorder="1" applyAlignment="1">
      <alignment horizontal="center" vertical="center"/>
    </xf>
    <xf numFmtId="0" fontId="7" fillId="7" borderId="24" xfId="0" applyFont="1" applyFill="1" applyBorder="1" applyAlignment="1">
      <alignment horizontal="center" vertical="center"/>
    </xf>
    <xf numFmtId="0" fontId="7" fillId="7" borderId="28" xfId="0" applyFont="1" applyFill="1" applyBorder="1" applyAlignment="1">
      <alignment horizontal="center" vertical="center"/>
    </xf>
    <xf numFmtId="0" fontId="15" fillId="0" borderId="8" xfId="0" applyFont="1" applyFill="1" applyBorder="1" applyAlignment="1">
      <alignment horizontal="center" vertical="center"/>
    </xf>
    <xf numFmtId="0" fontId="7" fillId="7" borderId="76" xfId="0" applyFont="1" applyFill="1" applyBorder="1" applyAlignment="1">
      <alignment horizontal="center" vertical="center"/>
    </xf>
    <xf numFmtId="0" fontId="7" fillId="7" borderId="5" xfId="0" applyFont="1" applyFill="1" applyBorder="1" applyAlignment="1">
      <alignment horizontal="center" vertical="center"/>
    </xf>
    <xf numFmtId="0" fontId="7" fillId="7" borderId="77" xfId="0" applyFont="1" applyFill="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7" borderId="55" xfId="0" applyFont="1" applyFill="1" applyBorder="1" applyAlignment="1">
      <alignment horizontal="center" vertical="center"/>
    </xf>
    <xf numFmtId="0" fontId="7" fillId="7" borderId="6" xfId="0" applyFont="1" applyFill="1" applyBorder="1" applyAlignment="1">
      <alignment horizontal="center" vertical="center"/>
    </xf>
    <xf numFmtId="0" fontId="7" fillId="7" borderId="27" xfId="0" applyFont="1" applyFill="1" applyBorder="1" applyAlignment="1">
      <alignment horizontal="center" vertical="center"/>
    </xf>
    <xf numFmtId="0" fontId="7" fillId="0" borderId="22" xfId="0" applyFont="1" applyFill="1" applyBorder="1" applyAlignment="1" applyProtection="1">
      <alignment horizontal="center" vertical="center"/>
      <protection locked="0"/>
    </xf>
    <xf numFmtId="0" fontId="7" fillId="0" borderId="76"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6" xfId="0" applyFont="1" applyFill="1" applyBorder="1" applyAlignment="1">
      <alignment horizontal="center" vertical="center"/>
    </xf>
    <xf numFmtId="0" fontId="7" fillId="0" borderId="26" xfId="0" applyFont="1" applyFill="1" applyBorder="1" applyAlignment="1">
      <alignment horizontal="center" vertical="center"/>
    </xf>
    <xf numFmtId="0" fontId="7" fillId="0" borderId="27" xfId="0" applyFont="1" applyFill="1" applyBorder="1" applyAlignment="1">
      <alignment horizontal="center" vertical="center"/>
    </xf>
    <xf numFmtId="0" fontId="7" fillId="0" borderId="53" xfId="0" applyFont="1" applyFill="1" applyBorder="1" applyAlignment="1">
      <alignment horizontal="center" vertical="center"/>
    </xf>
    <xf numFmtId="0" fontId="7" fillId="0" borderId="52" xfId="0" applyFont="1" applyFill="1" applyBorder="1" applyAlignment="1">
      <alignment horizontal="center" vertical="center"/>
    </xf>
    <xf numFmtId="0" fontId="7" fillId="0" borderId="11" xfId="0" applyFont="1" applyFill="1" applyBorder="1" applyAlignment="1">
      <alignment horizontal="center" vertical="center" wrapText="1"/>
    </xf>
    <xf numFmtId="0" fontId="7" fillId="0" borderId="72" xfId="0" applyFont="1" applyFill="1" applyBorder="1" applyAlignment="1">
      <alignment horizontal="center" vertical="center"/>
    </xf>
  </cellXfs>
  <cellStyles count="13">
    <cellStyle name="COMMENT" xfId="10"/>
    <cellStyle name="ConditionalStyle_27" xfId="1"/>
    <cellStyle name="Date" xfId="2"/>
    <cellStyle name="Fail" xfId="3"/>
    <cellStyle name="Heading" xfId="4"/>
    <cellStyle name="Heading1" xfId="5"/>
    <cellStyle name="Normal" xfId="0" builtinId="0" customBuiltin="1"/>
    <cellStyle name="Normal 2" xfId="11"/>
    <cellStyle name="Normal 2 2" xfId="12"/>
    <cellStyle name="Pass" xfId="6"/>
    <cellStyle name="Percent" xfId="9" builtinId="5"/>
    <cellStyle name="Result" xfId="7"/>
    <cellStyle name="Result2" xfId="8"/>
  </cellStyles>
  <dxfs count="64">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Sheet1!$C$296</c:f>
              <c:strCache>
                <c:ptCount val="1"/>
                <c:pt idx="0">
                  <c:v>Mo/Mo</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Sheet1!$D$296:$D$301</c:f>
              <c:numCache>
                <c:formatCode>General</c:formatCode>
                <c:ptCount val="6"/>
                <c:pt idx="0">
                  <c:v>24</c:v>
                </c:pt>
                <c:pt idx="1">
                  <c:v>26</c:v>
                </c:pt>
                <c:pt idx="2">
                  <c:v>28</c:v>
                </c:pt>
                <c:pt idx="3">
                  <c:v>30</c:v>
                </c:pt>
                <c:pt idx="4">
                  <c:v>32</c:v>
                </c:pt>
                <c:pt idx="5">
                  <c:v>34</c:v>
                </c:pt>
              </c:numCache>
            </c:numRef>
          </c:xVal>
          <c:yVal>
            <c:numRef>
              <c:f>Sheet1!$I$296:$I$301</c:f>
              <c:numCache>
                <c:formatCode>0.000</c:formatCode>
                <c:ptCount val="6"/>
                <c:pt idx="0">
                  <c:v>0</c:v>
                </c:pt>
                <c:pt idx="1">
                  <c:v>0</c:v>
                </c:pt>
                <c:pt idx="2">
                  <c:v>0</c:v>
                </c:pt>
                <c:pt idx="3">
                  <c:v>0</c:v>
                </c:pt>
                <c:pt idx="4">
                  <c:v>0</c:v>
                </c:pt>
                <c:pt idx="5">
                  <c:v>0</c:v>
                </c:pt>
              </c:numCache>
            </c:numRef>
          </c:yVal>
          <c:smooth val="1"/>
        </c:ser>
        <c:ser>
          <c:idx val="1"/>
          <c:order val="1"/>
          <c:tx>
            <c:strRef>
              <c:f>Sheet1!$C$302</c:f>
              <c:strCache>
                <c:ptCount val="1"/>
                <c:pt idx="0">
                  <c:v>Mo/Rh</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Sheet1!$D$302:$D$306</c:f>
              <c:numCache>
                <c:formatCode>General</c:formatCode>
                <c:ptCount val="5"/>
                <c:pt idx="0">
                  <c:v>26</c:v>
                </c:pt>
                <c:pt idx="1">
                  <c:v>28</c:v>
                </c:pt>
                <c:pt idx="2">
                  <c:v>30</c:v>
                </c:pt>
                <c:pt idx="3">
                  <c:v>32</c:v>
                </c:pt>
                <c:pt idx="4">
                  <c:v>34</c:v>
                </c:pt>
              </c:numCache>
            </c:numRef>
          </c:xVal>
          <c:yVal>
            <c:numRef>
              <c:f>Sheet1!$I$302:$I$306</c:f>
              <c:numCache>
                <c:formatCode>0.000</c:formatCode>
                <c:ptCount val="5"/>
                <c:pt idx="0">
                  <c:v>0</c:v>
                </c:pt>
                <c:pt idx="1">
                  <c:v>0</c:v>
                </c:pt>
                <c:pt idx="2">
                  <c:v>0</c:v>
                </c:pt>
                <c:pt idx="3">
                  <c:v>0</c:v>
                </c:pt>
                <c:pt idx="4">
                  <c:v>0</c:v>
                </c:pt>
              </c:numCache>
            </c:numRef>
          </c:yVal>
          <c:smooth val="1"/>
        </c:ser>
        <c:ser>
          <c:idx val="2"/>
          <c:order val="2"/>
          <c:tx>
            <c:strRef>
              <c:f>Sheet1!$C$307</c:f>
              <c:strCache>
                <c:ptCount val="1"/>
                <c:pt idx="0">
                  <c:v>W/Rh</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Sheet1!$D$307:$D$311</c:f>
              <c:numCache>
                <c:formatCode>General</c:formatCode>
                <c:ptCount val="5"/>
                <c:pt idx="0">
                  <c:v>26</c:v>
                </c:pt>
                <c:pt idx="1">
                  <c:v>28</c:v>
                </c:pt>
                <c:pt idx="2">
                  <c:v>30</c:v>
                </c:pt>
                <c:pt idx="3">
                  <c:v>32</c:v>
                </c:pt>
                <c:pt idx="4">
                  <c:v>34</c:v>
                </c:pt>
              </c:numCache>
            </c:numRef>
          </c:xVal>
          <c:yVal>
            <c:numRef>
              <c:f>Sheet1!$I$307:$I$311</c:f>
              <c:numCache>
                <c:formatCode>0.000</c:formatCode>
                <c:ptCount val="5"/>
                <c:pt idx="0">
                  <c:v>0</c:v>
                </c:pt>
                <c:pt idx="1">
                  <c:v>0</c:v>
                </c:pt>
                <c:pt idx="2">
                  <c:v>0</c:v>
                </c:pt>
                <c:pt idx="3">
                  <c:v>0</c:v>
                </c:pt>
                <c:pt idx="4">
                  <c:v>0</c:v>
                </c:pt>
              </c:numCache>
            </c:numRef>
          </c:yVal>
          <c:smooth val="1"/>
        </c:ser>
        <c:dLbls>
          <c:showLegendKey val="0"/>
          <c:showVal val="0"/>
          <c:showCatName val="0"/>
          <c:showSerName val="0"/>
          <c:showPercent val="0"/>
          <c:showBubbleSize val="0"/>
        </c:dLbls>
        <c:axId val="112871064"/>
        <c:axId val="181566224"/>
      </c:scatterChart>
      <c:valAx>
        <c:axId val="112871064"/>
        <c:scaling>
          <c:orientation val="minMax"/>
          <c:min val="2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kVp</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566224"/>
        <c:crosses val="autoZero"/>
        <c:crossBetween val="midCat"/>
      </c:valAx>
      <c:valAx>
        <c:axId val="181566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Output (mGy/mAs)</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871064"/>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8</xdr:col>
          <xdr:colOff>542925</xdr:colOff>
          <xdr:row>13</xdr:row>
          <xdr:rowOff>9525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12</xdr:row>
          <xdr:rowOff>0</xdr:rowOff>
        </xdr:from>
        <xdr:to>
          <xdr:col>9</xdr:col>
          <xdr:colOff>485775</xdr:colOff>
          <xdr:row>13</xdr:row>
          <xdr:rowOff>9525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8</xdr:col>
          <xdr:colOff>542925</xdr:colOff>
          <xdr:row>14</xdr:row>
          <xdr:rowOff>9525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13</xdr:row>
          <xdr:rowOff>0</xdr:rowOff>
        </xdr:from>
        <xdr:to>
          <xdr:col>9</xdr:col>
          <xdr:colOff>485775</xdr:colOff>
          <xdr:row>14</xdr:row>
          <xdr:rowOff>9525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9525</xdr:rowOff>
        </xdr:from>
        <xdr:to>
          <xdr:col>3</xdr:col>
          <xdr:colOff>104775</xdr:colOff>
          <xdr:row>16</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15</xdr:row>
          <xdr:rowOff>9525</xdr:rowOff>
        </xdr:from>
        <xdr:to>
          <xdr:col>13</xdr:col>
          <xdr:colOff>419100</xdr:colOff>
          <xdr:row>16</xdr:row>
          <xdr:rowOff>9525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114300</xdr:colOff>
      <xdr:row>5</xdr:row>
      <xdr:rowOff>0</xdr:rowOff>
    </xdr:from>
    <xdr:to>
      <xdr:col>13</xdr:col>
      <xdr:colOff>352425</xdr:colOff>
      <xdr:row>6</xdr:row>
      <xdr:rowOff>12097</xdr:rowOff>
    </xdr:to>
    <xdr:pic>
      <xdr:nvPicPr>
        <xdr:cNvPr id="8" name="Picture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05575" y="1295400"/>
          <a:ext cx="742950" cy="221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312</xdr:row>
      <xdr:rowOff>0</xdr:rowOff>
    </xdr:from>
    <xdr:to>
      <xdr:col>12</xdr:col>
      <xdr:colOff>381000</xdr:colOff>
      <xdr:row>340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11</xdr:col>
      <xdr:colOff>372960</xdr:colOff>
      <xdr:row>3</xdr:row>
      <xdr:rowOff>148319</xdr:rowOff>
    </xdr:from>
    <xdr:ext cx="6997680" cy="4284720"/>
    <xdr:pic>
      <xdr:nvPicPr>
        <xdr:cNvPr id="2" name="Picture 2"/>
        <xdr:cNvPicPr>
          <a:picLocks noChangeAspect="1"/>
        </xdr:cNvPicPr>
      </xdr:nvPicPr>
      <xdr:blipFill>
        <a:blip xmlns:r="http://schemas.openxmlformats.org/officeDocument/2006/relationships" r:embed="rId1">
          <a:lum bright="-50000"/>
          <a:alphaModFix/>
        </a:blip>
        <a:srcRect/>
        <a:stretch>
          <a:fillRect/>
        </a:stretch>
      </xdr:blipFill>
      <xdr:spPr>
        <a:xfrm>
          <a:off x="7392885" y="691244"/>
          <a:ext cx="6997680" cy="4284720"/>
        </a:xfrm>
        <a:prstGeom prst="rect">
          <a:avLst/>
        </a:prstGeom>
        <a:noFill/>
        <a:ln>
          <a:noFill/>
        </a:ln>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N55"/>
  <sheetViews>
    <sheetView showGridLines="0" topLeftCell="A19" zoomScaleNormal="100" workbookViewId="0">
      <selection activeCell="P26" sqref="P26"/>
    </sheetView>
  </sheetViews>
  <sheetFormatPr defaultRowHeight="12.75"/>
  <cols>
    <col min="1" max="1" width="5" style="618" customWidth="1"/>
    <col min="2" max="2" width="5.375" style="618" customWidth="1"/>
    <col min="3" max="3" width="5.875" style="618" customWidth="1"/>
    <col min="4" max="4" width="7.375" style="618" customWidth="1"/>
    <col min="5" max="5" width="5.875" style="618" customWidth="1"/>
    <col min="6" max="7" width="7.375" style="618" customWidth="1"/>
    <col min="8" max="10" width="7.625" style="618" customWidth="1"/>
    <col min="11" max="12" width="8.375" style="618" customWidth="1"/>
    <col min="13" max="13" width="6.625" style="618" customWidth="1"/>
    <col min="14" max="14" width="15.125" style="618" customWidth="1"/>
    <col min="15" max="16384" width="9" style="618"/>
  </cols>
  <sheetData>
    <row r="1" spans="1:14" ht="26.25">
      <c r="A1" s="711" t="s">
        <v>380</v>
      </c>
      <c r="B1" s="711"/>
      <c r="C1" s="711"/>
      <c r="D1" s="711"/>
      <c r="E1" s="711"/>
      <c r="F1" s="711"/>
      <c r="G1" s="711"/>
      <c r="H1" s="711"/>
      <c r="I1" s="711"/>
      <c r="J1" s="711"/>
      <c r="K1" s="711"/>
      <c r="L1" s="711"/>
      <c r="M1" s="711"/>
      <c r="N1" s="711"/>
    </row>
    <row r="2" spans="1:14" ht="26.25">
      <c r="A2" s="711" t="s">
        <v>381</v>
      </c>
      <c r="B2" s="711"/>
      <c r="C2" s="711"/>
      <c r="D2" s="711"/>
      <c r="E2" s="711"/>
      <c r="F2" s="711"/>
      <c r="G2" s="711"/>
      <c r="H2" s="711"/>
      <c r="I2" s="711"/>
      <c r="J2" s="711"/>
      <c r="K2" s="711"/>
      <c r="L2" s="711"/>
      <c r="M2" s="711"/>
      <c r="N2" s="711"/>
    </row>
    <row r="3" spans="1:14" ht="16.5" customHeight="1">
      <c r="A3" s="656"/>
      <c r="B3" s="656"/>
      <c r="C3" s="656"/>
      <c r="D3" s="656"/>
      <c r="E3" s="656"/>
      <c r="F3" s="656"/>
      <c r="G3" s="656"/>
      <c r="H3" s="656"/>
      <c r="I3" s="656"/>
      <c r="J3" s="656"/>
      <c r="K3" s="656"/>
      <c r="L3" s="656"/>
      <c r="M3" s="656"/>
      <c r="N3" s="656"/>
    </row>
    <row r="4" spans="1:14" ht="16.5" customHeight="1">
      <c r="A4" s="635" t="s">
        <v>382</v>
      </c>
      <c r="B4" s="635"/>
      <c r="C4" s="712" t="str">
        <f>Sheet1!R10</f>
        <v/>
      </c>
      <c r="D4" s="713"/>
      <c r="E4" s="713"/>
      <c r="F4" s="713"/>
      <c r="G4" s="713"/>
      <c r="H4" s="714"/>
      <c r="J4" s="654"/>
      <c r="K4" s="653" t="s">
        <v>383</v>
      </c>
      <c r="L4" s="716"/>
      <c r="M4" s="717"/>
      <c r="N4" s="718"/>
    </row>
    <row r="5" spans="1:14" ht="16.5" customHeight="1">
      <c r="A5" s="635" t="s">
        <v>384</v>
      </c>
      <c r="B5" s="635"/>
      <c r="C5" s="712"/>
      <c r="D5" s="713"/>
      <c r="E5" s="713"/>
      <c r="F5" s="713"/>
      <c r="G5" s="713"/>
      <c r="H5" s="714"/>
      <c r="J5" s="654"/>
      <c r="K5" s="653" t="s">
        <v>385</v>
      </c>
      <c r="L5" s="716">
        <f>Sheet1!P7</f>
        <v>0</v>
      </c>
      <c r="M5" s="717"/>
      <c r="N5" s="718"/>
    </row>
    <row r="6" spans="1:14" ht="16.5" customHeight="1">
      <c r="A6" s="635" t="s">
        <v>386</v>
      </c>
      <c r="B6" s="635"/>
      <c r="C6" s="635"/>
      <c r="D6" s="635"/>
      <c r="E6" s="723" t="s">
        <v>13</v>
      </c>
      <c r="F6" s="723"/>
      <c r="G6" s="723"/>
      <c r="H6" s="723"/>
      <c r="J6" s="654"/>
      <c r="K6" s="653" t="s">
        <v>387</v>
      </c>
      <c r="L6" s="712"/>
      <c r="M6" s="713"/>
      <c r="N6" s="714"/>
    </row>
    <row r="7" spans="1:14" ht="16.5" customHeight="1">
      <c r="A7" s="635" t="s">
        <v>388</v>
      </c>
      <c r="B7" s="635"/>
      <c r="C7" s="635"/>
      <c r="D7" s="635"/>
      <c r="E7" s="724" t="s">
        <v>389</v>
      </c>
      <c r="F7" s="725"/>
      <c r="G7" s="725"/>
      <c r="H7" s="726"/>
      <c r="J7" s="654"/>
      <c r="K7" s="653" t="s">
        <v>390</v>
      </c>
      <c r="L7" s="712" t="str">
        <f>Sheet1!R18</f>
        <v/>
      </c>
      <c r="M7" s="713"/>
      <c r="N7" s="714"/>
    </row>
    <row r="8" spans="1:14" ht="16.5" customHeight="1">
      <c r="A8" s="635" t="s">
        <v>391</v>
      </c>
      <c r="B8" s="635"/>
      <c r="C8" s="635"/>
      <c r="D8" s="635"/>
      <c r="E8" s="702" t="str">
        <f>Sheet1!V12</f>
        <v/>
      </c>
      <c r="F8" s="703"/>
      <c r="G8" s="703"/>
      <c r="H8" s="704"/>
      <c r="J8" s="654"/>
      <c r="K8" s="653" t="s">
        <v>392</v>
      </c>
      <c r="L8" s="712" t="str">
        <f>Sheet1!R14</f>
        <v/>
      </c>
      <c r="M8" s="713"/>
      <c r="N8" s="714"/>
    </row>
    <row r="9" spans="1:14" ht="11.25" customHeight="1">
      <c r="A9" s="635"/>
      <c r="B9" s="635"/>
      <c r="C9" s="635"/>
      <c r="D9" s="635"/>
      <c r="E9" s="655"/>
      <c r="F9" s="652"/>
      <c r="G9" s="652"/>
      <c r="H9" s="652"/>
      <c r="J9" s="654"/>
      <c r="K9" s="653"/>
      <c r="L9" s="652"/>
      <c r="M9" s="652"/>
      <c r="N9" s="652"/>
    </row>
    <row r="10" spans="1:14" ht="16.5" customHeight="1">
      <c r="A10" s="647" t="s">
        <v>575</v>
      </c>
      <c r="E10" s="719"/>
      <c r="F10" s="720"/>
      <c r="G10" s="720"/>
      <c r="H10" s="721"/>
      <c r="I10" s="651" t="s">
        <v>574</v>
      </c>
    </row>
    <row r="11" spans="1:14" ht="11.25" customHeight="1">
      <c r="C11" s="635"/>
      <c r="D11" s="635"/>
      <c r="E11" s="635"/>
      <c r="F11" s="635"/>
      <c r="G11" s="635"/>
      <c r="H11" s="650"/>
      <c r="I11" s="650"/>
      <c r="K11" s="649"/>
      <c r="L11" s="649"/>
      <c r="M11" s="649"/>
      <c r="N11" s="649"/>
    </row>
    <row r="12" spans="1:14" ht="16.5" customHeight="1" thickBot="1">
      <c r="A12" s="635" t="s">
        <v>394</v>
      </c>
      <c r="B12" s="635"/>
      <c r="C12" s="635"/>
      <c r="D12" s="635"/>
      <c r="E12" s="707" t="s">
        <v>395</v>
      </c>
      <c r="F12" s="708"/>
      <c r="G12" s="707" t="s">
        <v>390</v>
      </c>
      <c r="H12" s="708"/>
      <c r="I12" s="707" t="s">
        <v>17</v>
      </c>
      <c r="J12" s="708"/>
      <c r="K12" s="707" t="s">
        <v>393</v>
      </c>
      <c r="L12" s="715"/>
      <c r="M12" s="715"/>
      <c r="N12" s="708"/>
    </row>
    <row r="13" spans="1:14" ht="16.5" customHeight="1" thickTop="1">
      <c r="A13" s="635"/>
      <c r="B13" s="635"/>
      <c r="C13" s="635"/>
      <c r="D13" s="641" t="s">
        <v>396</v>
      </c>
      <c r="E13" s="705"/>
      <c r="F13" s="706"/>
      <c r="G13" s="705"/>
      <c r="H13" s="706"/>
      <c r="I13" s="709"/>
      <c r="J13" s="710"/>
      <c r="K13" s="705"/>
      <c r="L13" s="722"/>
      <c r="M13" s="722"/>
      <c r="N13" s="706"/>
    </row>
    <row r="14" spans="1:14" ht="16.5" customHeight="1">
      <c r="D14" s="641" t="s">
        <v>397</v>
      </c>
      <c r="E14" s="731"/>
      <c r="F14" s="733"/>
      <c r="G14" s="731"/>
      <c r="H14" s="733"/>
      <c r="I14" s="729"/>
      <c r="J14" s="730"/>
      <c r="K14" s="731"/>
      <c r="L14" s="732"/>
      <c r="M14" s="732"/>
      <c r="N14" s="733"/>
    </row>
    <row r="15" spans="1:14" s="648" customFormat="1" ht="36" customHeight="1">
      <c r="A15" s="735" t="s">
        <v>398</v>
      </c>
      <c r="B15" s="735"/>
      <c r="C15" s="735"/>
      <c r="D15" s="735"/>
      <c r="E15" s="735"/>
      <c r="F15" s="735"/>
      <c r="G15" s="735"/>
      <c r="H15" s="735"/>
      <c r="I15" s="735"/>
      <c r="J15" s="735"/>
      <c r="K15" s="735"/>
      <c r="L15" s="735"/>
      <c r="M15" s="735"/>
      <c r="N15" s="735"/>
    </row>
    <row r="16" spans="1:14" ht="16.5" customHeight="1">
      <c r="A16" s="647" t="s">
        <v>399</v>
      </c>
      <c r="B16" s="647"/>
      <c r="C16" s="646"/>
      <c r="D16" s="642" t="s">
        <v>400</v>
      </c>
      <c r="E16" s="642"/>
      <c r="F16" s="642"/>
      <c r="G16" s="643"/>
      <c r="H16" s="645"/>
      <c r="I16" s="644"/>
      <c r="J16" s="643"/>
      <c r="K16" s="642"/>
      <c r="L16" s="642"/>
      <c r="N16" s="641" t="s">
        <v>401</v>
      </c>
    </row>
    <row r="17" spans="1:14" ht="13.5" customHeight="1">
      <c r="A17" s="640"/>
      <c r="B17" s="640"/>
      <c r="C17" s="639"/>
      <c r="D17" s="638"/>
      <c r="E17" s="639"/>
      <c r="F17" s="639"/>
      <c r="G17" s="638"/>
      <c r="H17" s="637"/>
      <c r="I17" s="636"/>
      <c r="J17" s="636"/>
      <c r="K17" s="636"/>
      <c r="L17" s="636"/>
      <c r="M17" s="636"/>
    </row>
    <row r="18" spans="1:14" ht="21" customHeight="1">
      <c r="A18" s="734" t="s">
        <v>402</v>
      </c>
      <c r="B18" s="734"/>
      <c r="C18" s="734"/>
      <c r="D18" s="734"/>
      <c r="E18" s="734"/>
      <c r="F18" s="734"/>
      <c r="G18" s="734"/>
      <c r="H18" s="734"/>
      <c r="I18" s="734"/>
      <c r="J18" s="734"/>
      <c r="K18" s="734"/>
      <c r="L18" s="734"/>
      <c r="M18" s="734"/>
      <c r="N18" s="734"/>
    </row>
    <row r="19" spans="1:14" ht="15" customHeight="1">
      <c r="A19" s="728" t="s">
        <v>573</v>
      </c>
      <c r="B19" s="728"/>
      <c r="C19" s="728"/>
      <c r="D19" s="728"/>
      <c r="E19" s="728"/>
      <c r="F19" s="728"/>
      <c r="G19" s="728"/>
      <c r="H19" s="728"/>
      <c r="I19" s="728"/>
      <c r="J19" s="728"/>
      <c r="K19" s="728"/>
      <c r="L19" s="728"/>
      <c r="M19" s="728"/>
      <c r="N19" s="728"/>
    </row>
    <row r="20" spans="1:14" ht="15" customHeight="1">
      <c r="A20" s="635"/>
      <c r="B20" s="635"/>
      <c r="C20" s="635"/>
      <c r="D20" s="635"/>
      <c r="E20" s="635"/>
      <c r="F20" s="635"/>
      <c r="G20" s="635"/>
      <c r="H20" s="635"/>
      <c r="I20" s="635"/>
      <c r="J20" s="635"/>
      <c r="K20" s="635"/>
      <c r="L20" s="635"/>
      <c r="M20" s="635"/>
      <c r="N20" s="634" t="s">
        <v>403</v>
      </c>
    </row>
    <row r="21" spans="1:14" ht="15.75" customHeight="1">
      <c r="A21" s="620" t="s">
        <v>572</v>
      </c>
      <c r="B21" s="620"/>
      <c r="C21" s="620"/>
      <c r="D21" s="620"/>
      <c r="E21" s="620"/>
      <c r="F21" s="620"/>
      <c r="G21" s="620"/>
      <c r="H21" s="620"/>
      <c r="I21" s="620"/>
      <c r="J21" s="620"/>
      <c r="K21" s="620"/>
      <c r="L21" s="620"/>
      <c r="M21" s="620"/>
      <c r="N21" s="621"/>
    </row>
    <row r="22" spans="1:14" ht="15.75" customHeight="1">
      <c r="A22" s="620" t="s">
        <v>404</v>
      </c>
      <c r="B22" s="620"/>
      <c r="C22" s="620"/>
      <c r="D22" s="620"/>
      <c r="E22" s="620"/>
      <c r="F22" s="620"/>
      <c r="G22" s="620"/>
      <c r="H22" s="620"/>
      <c r="I22" s="620"/>
      <c r="J22" s="620"/>
      <c r="K22" s="620"/>
      <c r="L22" s="620"/>
      <c r="M22" s="620"/>
      <c r="N22" s="621"/>
    </row>
    <row r="23" spans="1:14" ht="15.75" customHeight="1">
      <c r="A23" s="620" t="s">
        <v>405</v>
      </c>
      <c r="B23" s="620"/>
      <c r="C23" s="620"/>
      <c r="D23" s="620"/>
      <c r="E23" s="620"/>
      <c r="F23" s="620"/>
      <c r="G23" s="620"/>
      <c r="H23" s="620"/>
      <c r="I23" s="620"/>
      <c r="J23" s="620"/>
      <c r="K23" s="620"/>
      <c r="L23" s="620"/>
      <c r="M23" s="620"/>
      <c r="N23" s="621"/>
    </row>
    <row r="24" spans="1:14" ht="15.75" customHeight="1">
      <c r="A24" s="620" t="s">
        <v>406</v>
      </c>
      <c r="B24" s="620"/>
      <c r="C24" s="620"/>
      <c r="D24" s="620"/>
      <c r="E24" s="620"/>
      <c r="F24" s="620"/>
      <c r="G24" s="620"/>
      <c r="H24" s="620"/>
      <c r="I24" s="620"/>
      <c r="J24" s="620"/>
      <c r="K24" s="620"/>
      <c r="L24" s="620"/>
      <c r="M24" s="620"/>
      <c r="N24" s="621"/>
    </row>
    <row r="25" spans="1:14" ht="15.75" customHeight="1">
      <c r="A25" s="620" t="s">
        <v>407</v>
      </c>
      <c r="B25" s="620"/>
      <c r="C25" s="620"/>
      <c r="D25" s="620"/>
      <c r="E25" s="620"/>
      <c r="F25" s="620"/>
      <c r="G25" s="620"/>
      <c r="H25" s="620"/>
      <c r="I25" s="620"/>
      <c r="J25" s="620"/>
      <c r="K25" s="620"/>
      <c r="L25" s="620"/>
      <c r="M25" s="620"/>
      <c r="N25" s="621"/>
    </row>
    <row r="26" spans="1:14" ht="15.75" customHeight="1">
      <c r="A26" s="620" t="s">
        <v>408</v>
      </c>
      <c r="B26" s="620"/>
      <c r="C26" s="620"/>
      <c r="D26" s="620"/>
      <c r="E26" s="620"/>
      <c r="F26" s="620"/>
      <c r="G26" s="620"/>
      <c r="H26" s="620"/>
      <c r="I26" s="620"/>
      <c r="J26" s="620"/>
      <c r="K26" s="620"/>
      <c r="L26" s="620"/>
      <c r="M26" s="620"/>
      <c r="N26" s="621"/>
    </row>
    <row r="27" spans="1:14" ht="15.75" customHeight="1">
      <c r="A27" s="620" t="s">
        <v>409</v>
      </c>
      <c r="B27" s="620"/>
      <c r="C27" s="620"/>
      <c r="D27" s="620"/>
      <c r="E27" s="620"/>
      <c r="F27" s="620"/>
      <c r="G27" s="620"/>
      <c r="H27" s="620"/>
      <c r="I27" s="620"/>
      <c r="J27" s="620"/>
      <c r="K27" s="620"/>
      <c r="L27" s="620"/>
      <c r="M27" s="620"/>
      <c r="N27" s="621"/>
    </row>
    <row r="28" spans="1:14" ht="15.75" customHeight="1">
      <c r="A28" s="620" t="s">
        <v>571</v>
      </c>
      <c r="B28" s="620"/>
      <c r="C28" s="620"/>
      <c r="D28" s="620"/>
      <c r="E28" s="620"/>
      <c r="F28" s="620"/>
      <c r="G28" s="620"/>
      <c r="H28" s="620"/>
      <c r="I28" s="620"/>
      <c r="J28" s="620"/>
      <c r="K28" s="620"/>
      <c r="L28" s="620"/>
      <c r="M28" s="620"/>
      <c r="N28" s="621"/>
    </row>
    <row r="29" spans="1:14" ht="15.75" customHeight="1">
      <c r="A29" s="620" t="s">
        <v>410</v>
      </c>
      <c r="B29" s="620"/>
      <c r="C29" s="620"/>
      <c r="D29" s="620"/>
      <c r="E29" s="620"/>
      <c r="F29" s="626"/>
      <c r="G29" s="632"/>
      <c r="H29" s="633"/>
      <c r="I29" s="632"/>
      <c r="J29" s="620"/>
      <c r="K29" s="620"/>
      <c r="L29" s="620"/>
      <c r="M29" s="620"/>
      <c r="N29" s="621"/>
    </row>
    <row r="30" spans="1:14" ht="15.75" customHeight="1">
      <c r="A30" s="620"/>
      <c r="B30" s="620"/>
      <c r="C30" s="623" t="s">
        <v>411</v>
      </c>
      <c r="D30" s="620"/>
      <c r="E30" s="620"/>
      <c r="F30" s="626" t="s">
        <v>286</v>
      </c>
      <c r="G30" s="688" t="str">
        <f>Sheet1!T380</f>
        <v/>
      </c>
      <c r="H30" s="626" t="s">
        <v>287</v>
      </c>
      <c r="I30" s="688" t="str">
        <f>Sheet1!T381</f>
        <v/>
      </c>
      <c r="J30" s="631"/>
      <c r="K30" s="620"/>
      <c r="L30" s="620"/>
      <c r="M30" s="620"/>
      <c r="N30" s="630"/>
    </row>
    <row r="31" spans="1:14" ht="15.75" customHeight="1">
      <c r="A31" s="620"/>
      <c r="B31" s="620"/>
      <c r="C31" s="623" t="s">
        <v>570</v>
      </c>
      <c r="D31" s="620"/>
      <c r="E31" s="620"/>
      <c r="F31" s="620"/>
      <c r="G31" s="620"/>
      <c r="H31" s="620"/>
      <c r="I31" s="620"/>
      <c r="J31" s="620"/>
      <c r="K31" s="620"/>
      <c r="L31" s="620"/>
      <c r="M31" s="620"/>
      <c r="N31" s="621"/>
    </row>
    <row r="32" spans="1:14" ht="15.75" customHeight="1">
      <c r="A32" s="620"/>
      <c r="B32" s="620"/>
      <c r="C32" s="623" t="s">
        <v>412</v>
      </c>
      <c r="D32" s="620"/>
      <c r="E32" s="620"/>
      <c r="F32" s="620"/>
      <c r="G32" s="620"/>
      <c r="H32" s="620"/>
      <c r="I32" s="620"/>
      <c r="J32" s="620"/>
      <c r="K32" s="620"/>
      <c r="L32" s="620"/>
      <c r="M32" s="620"/>
      <c r="N32" s="621"/>
    </row>
    <row r="33" spans="1:14" ht="15.75" customHeight="1">
      <c r="A33" s="620" t="s">
        <v>413</v>
      </c>
      <c r="B33" s="620"/>
      <c r="C33" s="620"/>
      <c r="D33" s="620"/>
      <c r="E33" s="620"/>
      <c r="F33" s="620"/>
      <c r="G33" s="620"/>
      <c r="H33" s="620"/>
      <c r="I33" s="620"/>
      <c r="J33" s="620"/>
      <c r="K33" s="620"/>
      <c r="L33" s="620"/>
      <c r="M33" s="620"/>
      <c r="N33" s="629"/>
    </row>
    <row r="34" spans="1:14" ht="15.75" customHeight="1">
      <c r="A34" s="620"/>
      <c r="B34" s="620"/>
      <c r="C34" s="623" t="s">
        <v>569</v>
      </c>
      <c r="D34" s="620"/>
      <c r="E34" s="620"/>
      <c r="F34" s="620"/>
      <c r="G34" s="620"/>
      <c r="H34" s="620"/>
      <c r="I34" s="620"/>
      <c r="J34" s="620"/>
      <c r="K34" s="620"/>
      <c r="L34" s="620"/>
      <c r="M34" s="620"/>
      <c r="N34" s="621"/>
    </row>
    <row r="35" spans="1:14" ht="15.75" customHeight="1">
      <c r="A35" s="620"/>
      <c r="B35" s="620"/>
      <c r="C35" s="628" t="s">
        <v>568</v>
      </c>
      <c r="D35" s="620"/>
      <c r="E35" s="620"/>
      <c r="F35" s="620"/>
      <c r="G35" s="620"/>
      <c r="H35" s="620"/>
      <c r="I35" s="620"/>
      <c r="J35" s="620"/>
      <c r="K35" s="620"/>
      <c r="L35" s="620"/>
      <c r="M35" s="620"/>
      <c r="N35" s="619"/>
    </row>
    <row r="36" spans="1:14" ht="15.75" customHeight="1">
      <c r="A36" s="622"/>
      <c r="B36" s="622"/>
      <c r="C36" s="627" t="s">
        <v>414</v>
      </c>
      <c r="D36" s="623"/>
      <c r="E36" s="623"/>
      <c r="F36" s="626"/>
      <c r="G36" s="626" t="s">
        <v>368</v>
      </c>
      <c r="H36" s="625"/>
      <c r="I36" s="626" t="s">
        <v>369</v>
      </c>
      <c r="J36" s="625"/>
      <c r="K36" s="626" t="s">
        <v>370</v>
      </c>
      <c r="L36" s="625"/>
      <c r="M36" s="624"/>
      <c r="N36" s="622"/>
    </row>
    <row r="37" spans="1:14" ht="15.75" customHeight="1">
      <c r="A37" s="620" t="s">
        <v>415</v>
      </c>
      <c r="B37" s="620"/>
      <c r="C37" s="620"/>
      <c r="D37" s="620"/>
      <c r="E37" s="620"/>
      <c r="F37" s="620"/>
      <c r="G37" s="620"/>
      <c r="H37" s="620"/>
      <c r="I37" s="620"/>
      <c r="J37" s="620"/>
      <c r="K37" s="620"/>
      <c r="L37" s="620"/>
      <c r="M37" s="620"/>
      <c r="N37" s="621"/>
    </row>
    <row r="38" spans="1:14" ht="15.75" customHeight="1">
      <c r="A38" s="620"/>
      <c r="B38" s="620"/>
      <c r="C38" s="623" t="s">
        <v>567</v>
      </c>
      <c r="D38" s="623"/>
      <c r="E38" s="623"/>
      <c r="F38" s="620"/>
      <c r="G38" s="620"/>
      <c r="H38" s="620"/>
      <c r="I38" s="620"/>
      <c r="J38" s="620"/>
      <c r="K38" s="620"/>
      <c r="L38" s="688" t="str">
        <f>MGD</f>
        <v/>
      </c>
      <c r="M38" s="623" t="s">
        <v>345</v>
      </c>
      <c r="N38" s="622"/>
    </row>
    <row r="39" spans="1:14" ht="15.75" customHeight="1">
      <c r="A39" s="620" t="s">
        <v>566</v>
      </c>
      <c r="B39" s="620"/>
      <c r="C39" s="620"/>
      <c r="D39" s="620"/>
      <c r="E39" s="620"/>
      <c r="F39" s="620"/>
      <c r="G39" s="620"/>
      <c r="H39" s="620"/>
      <c r="I39" s="620"/>
      <c r="J39" s="620"/>
      <c r="K39" s="620"/>
      <c r="L39" s="620"/>
      <c r="M39" s="620"/>
      <c r="N39" s="621"/>
    </row>
    <row r="40" spans="1:14" ht="15.75" customHeight="1">
      <c r="A40" s="620" t="s">
        <v>416</v>
      </c>
      <c r="B40" s="620"/>
      <c r="C40" s="620"/>
      <c r="D40" s="620"/>
      <c r="E40" s="620"/>
      <c r="F40" s="620"/>
      <c r="G40" s="620"/>
      <c r="H40" s="620"/>
      <c r="I40" s="620"/>
      <c r="J40" s="620"/>
      <c r="K40" s="620"/>
      <c r="L40" s="620"/>
      <c r="M40" s="620"/>
      <c r="N40" s="621"/>
    </row>
    <row r="41" spans="1:14" ht="15.75" customHeight="1">
      <c r="A41" s="620" t="s">
        <v>417</v>
      </c>
      <c r="B41" s="620"/>
      <c r="C41" s="620"/>
      <c r="D41" s="620"/>
      <c r="E41" s="620"/>
      <c r="F41" s="620"/>
      <c r="G41" s="620"/>
      <c r="H41" s="620"/>
      <c r="I41" s="620"/>
      <c r="J41" s="620"/>
      <c r="K41" s="620"/>
      <c r="L41" s="620"/>
      <c r="M41" s="620"/>
      <c r="N41" s="621"/>
    </row>
    <row r="42" spans="1:14" ht="15.75" customHeight="1">
      <c r="A42" s="620" t="s">
        <v>565</v>
      </c>
      <c r="B42" s="620"/>
      <c r="C42" s="620"/>
      <c r="D42" s="620"/>
      <c r="E42" s="620"/>
      <c r="F42" s="620"/>
      <c r="G42" s="620"/>
      <c r="H42" s="620"/>
      <c r="I42" s="620"/>
      <c r="J42" s="620"/>
      <c r="K42" s="620"/>
      <c r="L42" s="620"/>
      <c r="M42" s="620"/>
      <c r="N42" s="621"/>
    </row>
    <row r="43" spans="1:14" ht="15.75" customHeight="1">
      <c r="A43" s="620"/>
      <c r="B43" s="620"/>
      <c r="C43" s="620"/>
      <c r="D43" s="620"/>
      <c r="E43" s="620"/>
      <c r="F43" s="620"/>
      <c r="G43" s="620"/>
      <c r="H43" s="620"/>
      <c r="I43" s="620"/>
      <c r="J43" s="620"/>
      <c r="K43" s="620"/>
      <c r="L43" s="620"/>
      <c r="M43" s="620"/>
      <c r="N43" s="619"/>
    </row>
    <row r="44" spans="1:14" ht="15.75" customHeight="1">
      <c r="A44" s="620"/>
      <c r="B44" s="620"/>
      <c r="C44" s="620"/>
      <c r="D44" s="620"/>
      <c r="E44" s="620"/>
      <c r="F44" s="620"/>
      <c r="G44" s="620"/>
      <c r="H44" s="620"/>
      <c r="I44" s="620"/>
      <c r="J44" s="620"/>
      <c r="K44" s="620"/>
      <c r="L44" s="620"/>
      <c r="M44" s="620"/>
      <c r="N44" s="619"/>
    </row>
    <row r="45" spans="1:14" ht="15.75" customHeight="1">
      <c r="A45" s="620"/>
      <c r="B45" s="620"/>
      <c r="C45" s="620"/>
      <c r="D45" s="620"/>
      <c r="E45" s="620"/>
      <c r="F45" s="620"/>
      <c r="G45" s="620"/>
      <c r="H45" s="620"/>
      <c r="I45" s="620"/>
      <c r="J45" s="620"/>
      <c r="K45" s="620"/>
      <c r="L45" s="620"/>
      <c r="M45" s="620"/>
      <c r="N45" s="619"/>
    </row>
    <row r="46" spans="1:14" ht="15.75" customHeight="1">
      <c r="A46" s="620"/>
      <c r="B46" s="620"/>
      <c r="C46" s="620"/>
      <c r="D46" s="620"/>
      <c r="E46" s="620"/>
      <c r="F46" s="620"/>
      <c r="G46" s="620"/>
      <c r="H46" s="620"/>
      <c r="I46" s="620"/>
      <c r="J46" s="620"/>
      <c r="K46" s="620"/>
      <c r="L46" s="620"/>
      <c r="M46" s="620"/>
      <c r="N46" s="619"/>
    </row>
    <row r="47" spans="1:14" ht="15.75" customHeight="1">
      <c r="A47" s="620"/>
      <c r="B47" s="620"/>
      <c r="C47" s="620"/>
      <c r="D47" s="620"/>
      <c r="E47" s="620"/>
      <c r="F47" s="620"/>
      <c r="G47" s="620"/>
      <c r="H47" s="620"/>
      <c r="I47" s="620"/>
      <c r="J47" s="620"/>
      <c r="K47" s="620"/>
      <c r="L47" s="620"/>
      <c r="M47" s="620"/>
      <c r="N47" s="619"/>
    </row>
    <row r="48" spans="1:14" ht="15.75" customHeight="1">
      <c r="A48" s="620"/>
      <c r="B48" s="620"/>
      <c r="C48" s="620"/>
      <c r="D48" s="620"/>
      <c r="E48" s="620"/>
      <c r="F48" s="620"/>
      <c r="G48" s="620"/>
      <c r="H48" s="620"/>
      <c r="I48" s="620"/>
      <c r="J48" s="620"/>
      <c r="K48" s="620"/>
      <c r="L48" s="620"/>
      <c r="M48" s="620"/>
      <c r="N48" s="619"/>
    </row>
    <row r="49" spans="1:14" ht="15.75" customHeight="1">
      <c r="A49" s="620"/>
      <c r="B49" s="620"/>
      <c r="C49" s="620"/>
      <c r="D49" s="620"/>
      <c r="E49" s="620"/>
      <c r="F49" s="620"/>
      <c r="G49" s="620"/>
      <c r="H49" s="620"/>
      <c r="I49" s="620"/>
      <c r="J49" s="620"/>
      <c r="K49" s="620"/>
      <c r="L49" s="620"/>
      <c r="M49" s="620"/>
      <c r="N49" s="619"/>
    </row>
    <row r="50" spans="1:14" ht="15.75" customHeight="1">
      <c r="A50" s="620"/>
      <c r="B50" s="620"/>
      <c r="C50" s="620"/>
      <c r="D50" s="620"/>
      <c r="E50" s="620"/>
      <c r="F50" s="620"/>
      <c r="G50" s="620"/>
      <c r="H50" s="620"/>
      <c r="I50" s="620"/>
      <c r="J50" s="620"/>
      <c r="K50" s="620"/>
      <c r="L50" s="620"/>
      <c r="M50" s="620"/>
      <c r="N50" s="619"/>
    </row>
    <row r="51" spans="1:14" ht="15.75" customHeight="1">
      <c r="A51" s="620"/>
      <c r="B51" s="620"/>
      <c r="C51" s="620"/>
      <c r="D51" s="620"/>
      <c r="E51" s="620"/>
      <c r="F51" s="620"/>
      <c r="G51" s="620"/>
      <c r="H51" s="620"/>
      <c r="I51" s="620"/>
      <c r="J51" s="620"/>
      <c r="K51" s="620"/>
      <c r="L51" s="620"/>
      <c r="M51" s="620"/>
      <c r="N51" s="619"/>
    </row>
    <row r="52" spans="1:14" ht="15.75" customHeight="1">
      <c r="A52" s="620"/>
      <c r="B52" s="620"/>
      <c r="C52" s="620"/>
      <c r="D52" s="620"/>
      <c r="E52" s="620"/>
      <c r="F52" s="620"/>
      <c r="G52" s="620"/>
      <c r="H52" s="620"/>
      <c r="I52" s="620"/>
      <c r="J52" s="620"/>
      <c r="K52" s="620"/>
      <c r="L52" s="620"/>
      <c r="M52" s="620"/>
      <c r="N52" s="619"/>
    </row>
    <row r="53" spans="1:14" ht="15.75" customHeight="1">
      <c r="A53" s="620"/>
      <c r="B53" s="620"/>
      <c r="C53" s="620"/>
      <c r="D53" s="620"/>
      <c r="E53" s="620"/>
      <c r="F53" s="620"/>
      <c r="G53" s="620"/>
      <c r="H53" s="620"/>
      <c r="I53" s="620"/>
      <c r="J53" s="620"/>
      <c r="K53" s="620"/>
      <c r="L53" s="620"/>
      <c r="M53" s="620"/>
      <c r="N53" s="619"/>
    </row>
    <row r="54" spans="1:14" ht="15.75" customHeight="1">
      <c r="A54" s="620"/>
      <c r="B54" s="620"/>
      <c r="C54" s="620"/>
      <c r="D54" s="620"/>
      <c r="E54" s="620"/>
      <c r="F54" s="620"/>
      <c r="G54" s="620"/>
      <c r="H54" s="620"/>
      <c r="I54" s="620"/>
      <c r="J54" s="620"/>
      <c r="K54" s="620"/>
      <c r="L54" s="620"/>
      <c r="M54" s="620"/>
      <c r="N54" s="619"/>
    </row>
    <row r="55" spans="1:14" ht="15.75" customHeight="1">
      <c r="A55" s="727" t="s">
        <v>564</v>
      </c>
      <c r="B55" s="727"/>
      <c r="C55" s="727"/>
      <c r="D55" s="727"/>
      <c r="E55" s="727"/>
      <c r="F55" s="727"/>
      <c r="G55" s="727"/>
      <c r="H55" s="727"/>
      <c r="I55" s="727"/>
      <c r="J55" s="727"/>
      <c r="K55" s="727"/>
      <c r="L55" s="727"/>
      <c r="M55" s="727"/>
      <c r="N55" s="727"/>
    </row>
  </sheetData>
  <mergeCells count="29">
    <mergeCell ref="K13:N13"/>
    <mergeCell ref="E6:H6"/>
    <mergeCell ref="E7:H7"/>
    <mergeCell ref="A55:N55"/>
    <mergeCell ref="G13:H13"/>
    <mergeCell ref="A19:N19"/>
    <mergeCell ref="I14:J14"/>
    <mergeCell ref="K14:N14"/>
    <mergeCell ref="A18:N18"/>
    <mergeCell ref="E14:F14"/>
    <mergeCell ref="G14:H14"/>
    <mergeCell ref="A15:N15"/>
    <mergeCell ref="A1:N1"/>
    <mergeCell ref="A2:N2"/>
    <mergeCell ref="L7:N7"/>
    <mergeCell ref="K12:N12"/>
    <mergeCell ref="L4:N4"/>
    <mergeCell ref="L5:N5"/>
    <mergeCell ref="E10:H10"/>
    <mergeCell ref="C4:H4"/>
    <mergeCell ref="C5:H5"/>
    <mergeCell ref="L6:N6"/>
    <mergeCell ref="L8:N8"/>
    <mergeCell ref="E8:H8"/>
    <mergeCell ref="E13:F13"/>
    <mergeCell ref="E12:F12"/>
    <mergeCell ref="G12:H12"/>
    <mergeCell ref="I12:J12"/>
    <mergeCell ref="I13:J13"/>
  </mergeCells>
  <conditionalFormatting sqref="N21:N24 N28:N30 N32:N54">
    <cfRule type="cellIs" dxfId="63" priority="5" stopIfTrue="1" operator="equal">
      <formula>"Fail"</formula>
    </cfRule>
  </conditionalFormatting>
  <conditionalFormatting sqref="N25">
    <cfRule type="cellIs" dxfId="62" priority="4" stopIfTrue="1" operator="equal">
      <formula>"Fail"</formula>
    </cfRule>
  </conditionalFormatting>
  <conditionalFormatting sqref="N26">
    <cfRule type="cellIs" dxfId="61" priority="3" stopIfTrue="1" operator="equal">
      <formula>"Fail"</formula>
    </cfRule>
  </conditionalFormatting>
  <conditionalFormatting sqref="N27">
    <cfRule type="cellIs" dxfId="60" priority="2" stopIfTrue="1" operator="equal">
      <formula>"Fail"</formula>
    </cfRule>
  </conditionalFormatting>
  <conditionalFormatting sqref="N31">
    <cfRule type="cellIs" dxfId="59" priority="1" stopIfTrue="1" operator="equal">
      <formula>"Fail"</formula>
    </cfRule>
  </conditionalFormatting>
  <dataValidations count="4">
    <dataValidation type="list" allowBlank="1" showInputMessage="1" showErrorMessage="1" sqref="L36 JH36 TD36 ACZ36 AMV36 AWR36 BGN36 BQJ36 CAF36 CKB36 CTX36 DDT36 DNP36 DXL36 EHH36 ERD36 FAZ36 FKV36 FUR36 GEN36 GOJ36 GYF36 HIB36 HRX36 IBT36 ILP36 IVL36 JFH36 JPD36 JYZ36 KIV36 KSR36 LCN36 LMJ36 LWF36 MGB36 MPX36 MZT36 NJP36 NTL36 ODH36 OND36 OWZ36 PGV36 PQR36 QAN36 QKJ36 QUF36 REB36 RNX36 RXT36 SHP36 SRL36 TBH36 TLD36 TUZ36 UEV36 UOR36 UYN36 VIJ36 VSF36 WCB36 WLX36 WVT36 L65572 JH65572 TD65572 ACZ65572 AMV65572 AWR65572 BGN65572 BQJ65572 CAF65572 CKB65572 CTX65572 DDT65572 DNP65572 DXL65572 EHH65572 ERD65572 FAZ65572 FKV65572 FUR65572 GEN65572 GOJ65572 GYF65572 HIB65572 HRX65572 IBT65572 ILP65572 IVL65572 JFH65572 JPD65572 JYZ65572 KIV65572 KSR65572 LCN65572 LMJ65572 LWF65572 MGB65572 MPX65572 MZT65572 NJP65572 NTL65572 ODH65572 OND65572 OWZ65572 PGV65572 PQR65572 QAN65572 QKJ65572 QUF65572 REB65572 RNX65572 RXT65572 SHP65572 SRL65572 TBH65572 TLD65572 TUZ65572 UEV65572 UOR65572 UYN65572 VIJ65572 VSF65572 WCB65572 WLX65572 WVT65572 L131108 JH131108 TD131108 ACZ131108 AMV131108 AWR131108 BGN131108 BQJ131108 CAF131108 CKB131108 CTX131108 DDT131108 DNP131108 DXL131108 EHH131108 ERD131108 FAZ131108 FKV131108 FUR131108 GEN131108 GOJ131108 GYF131108 HIB131108 HRX131108 IBT131108 ILP131108 IVL131108 JFH131108 JPD131108 JYZ131108 KIV131108 KSR131108 LCN131108 LMJ131108 LWF131108 MGB131108 MPX131108 MZT131108 NJP131108 NTL131108 ODH131108 OND131108 OWZ131108 PGV131108 PQR131108 QAN131108 QKJ131108 QUF131108 REB131108 RNX131108 RXT131108 SHP131108 SRL131108 TBH131108 TLD131108 TUZ131108 UEV131108 UOR131108 UYN131108 VIJ131108 VSF131108 WCB131108 WLX131108 WVT131108 L196644 JH196644 TD196644 ACZ196644 AMV196644 AWR196644 BGN196644 BQJ196644 CAF196644 CKB196644 CTX196644 DDT196644 DNP196644 DXL196644 EHH196644 ERD196644 FAZ196644 FKV196644 FUR196644 GEN196644 GOJ196644 GYF196644 HIB196644 HRX196644 IBT196644 ILP196644 IVL196644 JFH196644 JPD196644 JYZ196644 KIV196644 KSR196644 LCN196644 LMJ196644 LWF196644 MGB196644 MPX196644 MZT196644 NJP196644 NTL196644 ODH196644 OND196644 OWZ196644 PGV196644 PQR196644 QAN196644 QKJ196644 QUF196644 REB196644 RNX196644 RXT196644 SHP196644 SRL196644 TBH196644 TLD196644 TUZ196644 UEV196644 UOR196644 UYN196644 VIJ196644 VSF196644 WCB196644 WLX196644 WVT196644 L262180 JH262180 TD262180 ACZ262180 AMV262180 AWR262180 BGN262180 BQJ262180 CAF262180 CKB262180 CTX262180 DDT262180 DNP262180 DXL262180 EHH262180 ERD262180 FAZ262180 FKV262180 FUR262180 GEN262180 GOJ262180 GYF262180 HIB262180 HRX262180 IBT262180 ILP262180 IVL262180 JFH262180 JPD262180 JYZ262180 KIV262180 KSR262180 LCN262180 LMJ262180 LWF262180 MGB262180 MPX262180 MZT262180 NJP262180 NTL262180 ODH262180 OND262180 OWZ262180 PGV262180 PQR262180 QAN262180 QKJ262180 QUF262180 REB262180 RNX262180 RXT262180 SHP262180 SRL262180 TBH262180 TLD262180 TUZ262180 UEV262180 UOR262180 UYN262180 VIJ262180 VSF262180 WCB262180 WLX262180 WVT262180 L327716 JH327716 TD327716 ACZ327716 AMV327716 AWR327716 BGN327716 BQJ327716 CAF327716 CKB327716 CTX327716 DDT327716 DNP327716 DXL327716 EHH327716 ERD327716 FAZ327716 FKV327716 FUR327716 GEN327716 GOJ327716 GYF327716 HIB327716 HRX327716 IBT327716 ILP327716 IVL327716 JFH327716 JPD327716 JYZ327716 KIV327716 KSR327716 LCN327716 LMJ327716 LWF327716 MGB327716 MPX327716 MZT327716 NJP327716 NTL327716 ODH327716 OND327716 OWZ327716 PGV327716 PQR327716 QAN327716 QKJ327716 QUF327716 REB327716 RNX327716 RXT327716 SHP327716 SRL327716 TBH327716 TLD327716 TUZ327716 UEV327716 UOR327716 UYN327716 VIJ327716 VSF327716 WCB327716 WLX327716 WVT327716 L393252 JH393252 TD393252 ACZ393252 AMV393252 AWR393252 BGN393252 BQJ393252 CAF393252 CKB393252 CTX393252 DDT393252 DNP393252 DXL393252 EHH393252 ERD393252 FAZ393252 FKV393252 FUR393252 GEN393252 GOJ393252 GYF393252 HIB393252 HRX393252 IBT393252 ILP393252 IVL393252 JFH393252 JPD393252 JYZ393252 KIV393252 KSR393252 LCN393252 LMJ393252 LWF393252 MGB393252 MPX393252 MZT393252 NJP393252 NTL393252 ODH393252 OND393252 OWZ393252 PGV393252 PQR393252 QAN393252 QKJ393252 QUF393252 REB393252 RNX393252 RXT393252 SHP393252 SRL393252 TBH393252 TLD393252 TUZ393252 UEV393252 UOR393252 UYN393252 VIJ393252 VSF393252 WCB393252 WLX393252 WVT393252 L458788 JH458788 TD458788 ACZ458788 AMV458788 AWR458788 BGN458788 BQJ458788 CAF458788 CKB458788 CTX458788 DDT458788 DNP458788 DXL458788 EHH458788 ERD458788 FAZ458788 FKV458788 FUR458788 GEN458788 GOJ458788 GYF458788 HIB458788 HRX458788 IBT458788 ILP458788 IVL458788 JFH458788 JPD458788 JYZ458788 KIV458788 KSR458788 LCN458788 LMJ458788 LWF458788 MGB458788 MPX458788 MZT458788 NJP458788 NTL458788 ODH458788 OND458788 OWZ458788 PGV458788 PQR458788 QAN458788 QKJ458788 QUF458788 REB458788 RNX458788 RXT458788 SHP458788 SRL458788 TBH458788 TLD458788 TUZ458788 UEV458788 UOR458788 UYN458788 VIJ458788 VSF458788 WCB458788 WLX458788 WVT458788 L524324 JH524324 TD524324 ACZ524324 AMV524324 AWR524324 BGN524324 BQJ524324 CAF524324 CKB524324 CTX524324 DDT524324 DNP524324 DXL524324 EHH524324 ERD524324 FAZ524324 FKV524324 FUR524324 GEN524324 GOJ524324 GYF524324 HIB524324 HRX524324 IBT524324 ILP524324 IVL524324 JFH524324 JPD524324 JYZ524324 KIV524324 KSR524324 LCN524324 LMJ524324 LWF524324 MGB524324 MPX524324 MZT524324 NJP524324 NTL524324 ODH524324 OND524324 OWZ524324 PGV524324 PQR524324 QAN524324 QKJ524324 QUF524324 REB524324 RNX524324 RXT524324 SHP524324 SRL524324 TBH524324 TLD524324 TUZ524324 UEV524324 UOR524324 UYN524324 VIJ524324 VSF524324 WCB524324 WLX524324 WVT524324 L589860 JH589860 TD589860 ACZ589860 AMV589860 AWR589860 BGN589860 BQJ589860 CAF589860 CKB589860 CTX589860 DDT589860 DNP589860 DXL589860 EHH589860 ERD589860 FAZ589860 FKV589860 FUR589860 GEN589860 GOJ589860 GYF589860 HIB589860 HRX589860 IBT589860 ILP589860 IVL589860 JFH589860 JPD589860 JYZ589860 KIV589860 KSR589860 LCN589860 LMJ589860 LWF589860 MGB589860 MPX589860 MZT589860 NJP589860 NTL589860 ODH589860 OND589860 OWZ589860 PGV589860 PQR589860 QAN589860 QKJ589860 QUF589860 REB589860 RNX589860 RXT589860 SHP589860 SRL589860 TBH589860 TLD589860 TUZ589860 UEV589860 UOR589860 UYN589860 VIJ589860 VSF589860 WCB589860 WLX589860 WVT589860 L655396 JH655396 TD655396 ACZ655396 AMV655396 AWR655396 BGN655396 BQJ655396 CAF655396 CKB655396 CTX655396 DDT655396 DNP655396 DXL655396 EHH655396 ERD655396 FAZ655396 FKV655396 FUR655396 GEN655396 GOJ655396 GYF655396 HIB655396 HRX655396 IBT655396 ILP655396 IVL655396 JFH655396 JPD655396 JYZ655396 KIV655396 KSR655396 LCN655396 LMJ655396 LWF655396 MGB655396 MPX655396 MZT655396 NJP655396 NTL655396 ODH655396 OND655396 OWZ655396 PGV655396 PQR655396 QAN655396 QKJ655396 QUF655396 REB655396 RNX655396 RXT655396 SHP655396 SRL655396 TBH655396 TLD655396 TUZ655396 UEV655396 UOR655396 UYN655396 VIJ655396 VSF655396 WCB655396 WLX655396 WVT655396 L720932 JH720932 TD720932 ACZ720932 AMV720932 AWR720932 BGN720932 BQJ720932 CAF720932 CKB720932 CTX720932 DDT720932 DNP720932 DXL720932 EHH720932 ERD720932 FAZ720932 FKV720932 FUR720932 GEN720932 GOJ720932 GYF720932 HIB720932 HRX720932 IBT720932 ILP720932 IVL720932 JFH720932 JPD720932 JYZ720932 KIV720932 KSR720932 LCN720932 LMJ720932 LWF720932 MGB720932 MPX720932 MZT720932 NJP720932 NTL720932 ODH720932 OND720932 OWZ720932 PGV720932 PQR720932 QAN720932 QKJ720932 QUF720932 REB720932 RNX720932 RXT720932 SHP720932 SRL720932 TBH720932 TLD720932 TUZ720932 UEV720932 UOR720932 UYN720932 VIJ720932 VSF720932 WCB720932 WLX720932 WVT720932 L786468 JH786468 TD786468 ACZ786468 AMV786468 AWR786468 BGN786468 BQJ786468 CAF786468 CKB786468 CTX786468 DDT786468 DNP786468 DXL786468 EHH786468 ERD786468 FAZ786468 FKV786468 FUR786468 GEN786468 GOJ786468 GYF786468 HIB786468 HRX786468 IBT786468 ILP786468 IVL786468 JFH786468 JPD786468 JYZ786468 KIV786468 KSR786468 LCN786468 LMJ786468 LWF786468 MGB786468 MPX786468 MZT786468 NJP786468 NTL786468 ODH786468 OND786468 OWZ786468 PGV786468 PQR786468 QAN786468 QKJ786468 QUF786468 REB786468 RNX786468 RXT786468 SHP786468 SRL786468 TBH786468 TLD786468 TUZ786468 UEV786468 UOR786468 UYN786468 VIJ786468 VSF786468 WCB786468 WLX786468 WVT786468 L852004 JH852004 TD852004 ACZ852004 AMV852004 AWR852004 BGN852004 BQJ852004 CAF852004 CKB852004 CTX852004 DDT852004 DNP852004 DXL852004 EHH852004 ERD852004 FAZ852004 FKV852004 FUR852004 GEN852004 GOJ852004 GYF852004 HIB852004 HRX852004 IBT852004 ILP852004 IVL852004 JFH852004 JPD852004 JYZ852004 KIV852004 KSR852004 LCN852004 LMJ852004 LWF852004 MGB852004 MPX852004 MZT852004 NJP852004 NTL852004 ODH852004 OND852004 OWZ852004 PGV852004 PQR852004 QAN852004 QKJ852004 QUF852004 REB852004 RNX852004 RXT852004 SHP852004 SRL852004 TBH852004 TLD852004 TUZ852004 UEV852004 UOR852004 UYN852004 VIJ852004 VSF852004 WCB852004 WLX852004 WVT852004 L917540 JH917540 TD917540 ACZ917540 AMV917540 AWR917540 BGN917540 BQJ917540 CAF917540 CKB917540 CTX917540 DDT917540 DNP917540 DXL917540 EHH917540 ERD917540 FAZ917540 FKV917540 FUR917540 GEN917540 GOJ917540 GYF917540 HIB917540 HRX917540 IBT917540 ILP917540 IVL917540 JFH917540 JPD917540 JYZ917540 KIV917540 KSR917540 LCN917540 LMJ917540 LWF917540 MGB917540 MPX917540 MZT917540 NJP917540 NTL917540 ODH917540 OND917540 OWZ917540 PGV917540 PQR917540 QAN917540 QKJ917540 QUF917540 REB917540 RNX917540 RXT917540 SHP917540 SRL917540 TBH917540 TLD917540 TUZ917540 UEV917540 UOR917540 UYN917540 VIJ917540 VSF917540 WCB917540 WLX917540 WVT917540 L983076 JH983076 TD983076 ACZ983076 AMV983076 AWR983076 BGN983076 BQJ983076 CAF983076 CKB983076 CTX983076 DDT983076 DNP983076 DXL983076 EHH983076 ERD983076 FAZ983076 FKV983076 FUR983076 GEN983076 GOJ983076 GYF983076 HIB983076 HRX983076 IBT983076 ILP983076 IVL983076 JFH983076 JPD983076 JYZ983076 KIV983076 KSR983076 LCN983076 LMJ983076 LWF983076 MGB983076 MPX983076 MZT983076 NJP983076 NTL983076 ODH983076 OND983076 OWZ983076 PGV983076 PQR983076 QAN983076 QKJ983076 QUF983076 REB983076 RNX983076 RXT983076 SHP983076 SRL983076 TBH983076 TLD983076 TUZ983076 UEV983076 UOR983076 UYN983076 VIJ983076 VSF983076 WCB983076 WLX983076 WVT983076 J36 JF36 TB36 ACX36 AMT36 AWP36 BGL36 BQH36 CAD36 CJZ36 CTV36 DDR36 DNN36 DXJ36 EHF36 ERB36 FAX36 FKT36 FUP36 GEL36 GOH36 GYD36 HHZ36 HRV36 IBR36 ILN36 IVJ36 JFF36 JPB36 JYX36 KIT36 KSP36 LCL36 LMH36 LWD36 MFZ36 MPV36 MZR36 NJN36 NTJ36 ODF36 ONB36 OWX36 PGT36 PQP36 QAL36 QKH36 QUD36 RDZ36 RNV36 RXR36 SHN36 SRJ36 TBF36 TLB36 TUX36 UET36 UOP36 UYL36 VIH36 VSD36 WBZ36 WLV36 WVR36 J65572 JF65572 TB65572 ACX65572 AMT65572 AWP65572 BGL65572 BQH65572 CAD65572 CJZ65572 CTV65572 DDR65572 DNN65572 DXJ65572 EHF65572 ERB65572 FAX65572 FKT65572 FUP65572 GEL65572 GOH65572 GYD65572 HHZ65572 HRV65572 IBR65572 ILN65572 IVJ65572 JFF65572 JPB65572 JYX65572 KIT65572 KSP65572 LCL65572 LMH65572 LWD65572 MFZ65572 MPV65572 MZR65572 NJN65572 NTJ65572 ODF65572 ONB65572 OWX65572 PGT65572 PQP65572 QAL65572 QKH65572 QUD65572 RDZ65572 RNV65572 RXR65572 SHN65572 SRJ65572 TBF65572 TLB65572 TUX65572 UET65572 UOP65572 UYL65572 VIH65572 VSD65572 WBZ65572 WLV65572 WVR65572 J131108 JF131108 TB131108 ACX131108 AMT131108 AWP131108 BGL131108 BQH131108 CAD131108 CJZ131108 CTV131108 DDR131108 DNN131108 DXJ131108 EHF131108 ERB131108 FAX131108 FKT131108 FUP131108 GEL131108 GOH131108 GYD131108 HHZ131108 HRV131108 IBR131108 ILN131108 IVJ131108 JFF131108 JPB131108 JYX131108 KIT131108 KSP131108 LCL131108 LMH131108 LWD131108 MFZ131108 MPV131108 MZR131108 NJN131108 NTJ131108 ODF131108 ONB131108 OWX131108 PGT131108 PQP131108 QAL131108 QKH131108 QUD131108 RDZ131108 RNV131108 RXR131108 SHN131108 SRJ131108 TBF131108 TLB131108 TUX131108 UET131108 UOP131108 UYL131108 VIH131108 VSD131108 WBZ131108 WLV131108 WVR131108 J196644 JF196644 TB196644 ACX196644 AMT196644 AWP196644 BGL196644 BQH196644 CAD196644 CJZ196644 CTV196644 DDR196644 DNN196644 DXJ196644 EHF196644 ERB196644 FAX196644 FKT196644 FUP196644 GEL196644 GOH196644 GYD196644 HHZ196644 HRV196644 IBR196644 ILN196644 IVJ196644 JFF196644 JPB196644 JYX196644 KIT196644 KSP196644 LCL196644 LMH196644 LWD196644 MFZ196644 MPV196644 MZR196644 NJN196644 NTJ196644 ODF196644 ONB196644 OWX196644 PGT196644 PQP196644 QAL196644 QKH196644 QUD196644 RDZ196644 RNV196644 RXR196644 SHN196644 SRJ196644 TBF196644 TLB196644 TUX196644 UET196644 UOP196644 UYL196644 VIH196644 VSD196644 WBZ196644 WLV196644 WVR196644 J262180 JF262180 TB262180 ACX262180 AMT262180 AWP262180 BGL262180 BQH262180 CAD262180 CJZ262180 CTV262180 DDR262180 DNN262180 DXJ262180 EHF262180 ERB262180 FAX262180 FKT262180 FUP262180 GEL262180 GOH262180 GYD262180 HHZ262180 HRV262180 IBR262180 ILN262180 IVJ262180 JFF262180 JPB262180 JYX262180 KIT262180 KSP262180 LCL262180 LMH262180 LWD262180 MFZ262180 MPV262180 MZR262180 NJN262180 NTJ262180 ODF262180 ONB262180 OWX262180 PGT262180 PQP262180 QAL262180 QKH262180 QUD262180 RDZ262180 RNV262180 RXR262180 SHN262180 SRJ262180 TBF262180 TLB262180 TUX262180 UET262180 UOP262180 UYL262180 VIH262180 VSD262180 WBZ262180 WLV262180 WVR262180 J327716 JF327716 TB327716 ACX327716 AMT327716 AWP327716 BGL327716 BQH327716 CAD327716 CJZ327716 CTV327716 DDR327716 DNN327716 DXJ327716 EHF327716 ERB327716 FAX327716 FKT327716 FUP327716 GEL327716 GOH327716 GYD327716 HHZ327716 HRV327716 IBR327716 ILN327716 IVJ327716 JFF327716 JPB327716 JYX327716 KIT327716 KSP327716 LCL327716 LMH327716 LWD327716 MFZ327716 MPV327716 MZR327716 NJN327716 NTJ327716 ODF327716 ONB327716 OWX327716 PGT327716 PQP327716 QAL327716 QKH327716 QUD327716 RDZ327716 RNV327716 RXR327716 SHN327716 SRJ327716 TBF327716 TLB327716 TUX327716 UET327716 UOP327716 UYL327716 VIH327716 VSD327716 WBZ327716 WLV327716 WVR327716 J393252 JF393252 TB393252 ACX393252 AMT393252 AWP393252 BGL393252 BQH393252 CAD393252 CJZ393252 CTV393252 DDR393252 DNN393252 DXJ393252 EHF393252 ERB393252 FAX393252 FKT393252 FUP393252 GEL393252 GOH393252 GYD393252 HHZ393252 HRV393252 IBR393252 ILN393252 IVJ393252 JFF393252 JPB393252 JYX393252 KIT393252 KSP393252 LCL393252 LMH393252 LWD393252 MFZ393252 MPV393252 MZR393252 NJN393252 NTJ393252 ODF393252 ONB393252 OWX393252 PGT393252 PQP393252 QAL393252 QKH393252 QUD393252 RDZ393252 RNV393252 RXR393252 SHN393252 SRJ393252 TBF393252 TLB393252 TUX393252 UET393252 UOP393252 UYL393252 VIH393252 VSD393252 WBZ393252 WLV393252 WVR393252 J458788 JF458788 TB458788 ACX458788 AMT458788 AWP458788 BGL458788 BQH458788 CAD458788 CJZ458788 CTV458788 DDR458788 DNN458788 DXJ458788 EHF458788 ERB458788 FAX458788 FKT458788 FUP458788 GEL458788 GOH458788 GYD458788 HHZ458788 HRV458788 IBR458788 ILN458788 IVJ458788 JFF458788 JPB458788 JYX458788 KIT458788 KSP458788 LCL458788 LMH458788 LWD458788 MFZ458788 MPV458788 MZR458788 NJN458788 NTJ458788 ODF458788 ONB458788 OWX458788 PGT458788 PQP458788 QAL458788 QKH458788 QUD458788 RDZ458788 RNV458788 RXR458788 SHN458788 SRJ458788 TBF458788 TLB458788 TUX458788 UET458788 UOP458788 UYL458788 VIH458788 VSD458788 WBZ458788 WLV458788 WVR458788 J524324 JF524324 TB524324 ACX524324 AMT524324 AWP524324 BGL524324 BQH524324 CAD524324 CJZ524324 CTV524324 DDR524324 DNN524324 DXJ524324 EHF524324 ERB524324 FAX524324 FKT524324 FUP524324 GEL524324 GOH524324 GYD524324 HHZ524324 HRV524324 IBR524324 ILN524324 IVJ524324 JFF524324 JPB524324 JYX524324 KIT524324 KSP524324 LCL524324 LMH524324 LWD524324 MFZ524324 MPV524324 MZR524324 NJN524324 NTJ524324 ODF524324 ONB524324 OWX524324 PGT524324 PQP524324 QAL524324 QKH524324 QUD524324 RDZ524324 RNV524324 RXR524324 SHN524324 SRJ524324 TBF524324 TLB524324 TUX524324 UET524324 UOP524324 UYL524324 VIH524324 VSD524324 WBZ524324 WLV524324 WVR524324 J589860 JF589860 TB589860 ACX589860 AMT589860 AWP589860 BGL589860 BQH589860 CAD589860 CJZ589860 CTV589860 DDR589860 DNN589860 DXJ589860 EHF589860 ERB589860 FAX589860 FKT589860 FUP589860 GEL589860 GOH589860 GYD589860 HHZ589860 HRV589860 IBR589860 ILN589860 IVJ589860 JFF589860 JPB589860 JYX589860 KIT589860 KSP589860 LCL589860 LMH589860 LWD589860 MFZ589860 MPV589860 MZR589860 NJN589860 NTJ589860 ODF589860 ONB589860 OWX589860 PGT589860 PQP589860 QAL589860 QKH589860 QUD589860 RDZ589860 RNV589860 RXR589860 SHN589860 SRJ589860 TBF589860 TLB589860 TUX589860 UET589860 UOP589860 UYL589860 VIH589860 VSD589860 WBZ589860 WLV589860 WVR589860 J655396 JF655396 TB655396 ACX655396 AMT655396 AWP655396 BGL655396 BQH655396 CAD655396 CJZ655396 CTV655396 DDR655396 DNN655396 DXJ655396 EHF655396 ERB655396 FAX655396 FKT655396 FUP655396 GEL655396 GOH655396 GYD655396 HHZ655396 HRV655396 IBR655396 ILN655396 IVJ655396 JFF655396 JPB655396 JYX655396 KIT655396 KSP655396 LCL655396 LMH655396 LWD655396 MFZ655396 MPV655396 MZR655396 NJN655396 NTJ655396 ODF655396 ONB655396 OWX655396 PGT655396 PQP655396 QAL655396 QKH655396 QUD655396 RDZ655396 RNV655396 RXR655396 SHN655396 SRJ655396 TBF655396 TLB655396 TUX655396 UET655396 UOP655396 UYL655396 VIH655396 VSD655396 WBZ655396 WLV655396 WVR655396 J720932 JF720932 TB720932 ACX720932 AMT720932 AWP720932 BGL720932 BQH720932 CAD720932 CJZ720932 CTV720932 DDR720932 DNN720932 DXJ720932 EHF720932 ERB720932 FAX720932 FKT720932 FUP720932 GEL720932 GOH720932 GYD720932 HHZ720932 HRV720932 IBR720932 ILN720932 IVJ720932 JFF720932 JPB720932 JYX720932 KIT720932 KSP720932 LCL720932 LMH720932 LWD720932 MFZ720932 MPV720932 MZR720932 NJN720932 NTJ720932 ODF720932 ONB720932 OWX720932 PGT720932 PQP720932 QAL720932 QKH720932 QUD720932 RDZ720932 RNV720932 RXR720932 SHN720932 SRJ720932 TBF720932 TLB720932 TUX720932 UET720932 UOP720932 UYL720932 VIH720932 VSD720932 WBZ720932 WLV720932 WVR720932 J786468 JF786468 TB786468 ACX786468 AMT786468 AWP786468 BGL786468 BQH786468 CAD786468 CJZ786468 CTV786468 DDR786468 DNN786468 DXJ786468 EHF786468 ERB786468 FAX786468 FKT786468 FUP786468 GEL786468 GOH786468 GYD786468 HHZ786468 HRV786468 IBR786468 ILN786468 IVJ786468 JFF786468 JPB786468 JYX786468 KIT786468 KSP786468 LCL786468 LMH786468 LWD786468 MFZ786468 MPV786468 MZR786468 NJN786468 NTJ786468 ODF786468 ONB786468 OWX786468 PGT786468 PQP786468 QAL786468 QKH786468 QUD786468 RDZ786468 RNV786468 RXR786468 SHN786468 SRJ786468 TBF786468 TLB786468 TUX786468 UET786468 UOP786468 UYL786468 VIH786468 VSD786468 WBZ786468 WLV786468 WVR786468 J852004 JF852004 TB852004 ACX852004 AMT852004 AWP852004 BGL852004 BQH852004 CAD852004 CJZ852004 CTV852004 DDR852004 DNN852004 DXJ852004 EHF852004 ERB852004 FAX852004 FKT852004 FUP852004 GEL852004 GOH852004 GYD852004 HHZ852004 HRV852004 IBR852004 ILN852004 IVJ852004 JFF852004 JPB852004 JYX852004 KIT852004 KSP852004 LCL852004 LMH852004 LWD852004 MFZ852004 MPV852004 MZR852004 NJN852004 NTJ852004 ODF852004 ONB852004 OWX852004 PGT852004 PQP852004 QAL852004 QKH852004 QUD852004 RDZ852004 RNV852004 RXR852004 SHN852004 SRJ852004 TBF852004 TLB852004 TUX852004 UET852004 UOP852004 UYL852004 VIH852004 VSD852004 WBZ852004 WLV852004 WVR852004 J917540 JF917540 TB917540 ACX917540 AMT917540 AWP917540 BGL917540 BQH917540 CAD917540 CJZ917540 CTV917540 DDR917540 DNN917540 DXJ917540 EHF917540 ERB917540 FAX917540 FKT917540 FUP917540 GEL917540 GOH917540 GYD917540 HHZ917540 HRV917540 IBR917540 ILN917540 IVJ917540 JFF917540 JPB917540 JYX917540 KIT917540 KSP917540 LCL917540 LMH917540 LWD917540 MFZ917540 MPV917540 MZR917540 NJN917540 NTJ917540 ODF917540 ONB917540 OWX917540 PGT917540 PQP917540 QAL917540 QKH917540 QUD917540 RDZ917540 RNV917540 RXR917540 SHN917540 SRJ917540 TBF917540 TLB917540 TUX917540 UET917540 UOP917540 UYL917540 VIH917540 VSD917540 WBZ917540 WLV917540 WVR917540 J983076 JF983076 TB983076 ACX983076 AMT983076 AWP983076 BGL983076 BQH983076 CAD983076 CJZ983076 CTV983076 DDR983076 DNN983076 DXJ983076 EHF983076 ERB983076 FAX983076 FKT983076 FUP983076 GEL983076 GOH983076 GYD983076 HHZ983076 HRV983076 IBR983076 ILN983076 IVJ983076 JFF983076 JPB983076 JYX983076 KIT983076 KSP983076 LCL983076 LMH983076 LWD983076 MFZ983076 MPV983076 MZR983076 NJN983076 NTJ983076 ODF983076 ONB983076 OWX983076 PGT983076 PQP983076 QAL983076 QKH983076 QUD983076 RDZ983076 RNV983076 RXR983076 SHN983076 SRJ983076 TBF983076 TLB983076 TUX983076 UET983076 UOP983076 UYL983076 VIH983076 VSD983076 WBZ983076 WLV983076 WVR983076">
      <formula1>SpeckMassLst</formula1>
    </dataValidation>
    <dataValidation type="list" allowBlank="1" showInputMessage="1" showErrorMessage="1" sqref="H36 JD36 SZ36 ACV36 AMR36 AWN36 BGJ36 BQF36 CAB36 CJX36 CTT36 DDP36 DNL36 DXH36 EHD36 EQZ36 FAV36 FKR36 FUN36 GEJ36 GOF36 GYB36 HHX36 HRT36 IBP36 ILL36 IVH36 JFD36 JOZ36 JYV36 KIR36 KSN36 LCJ36 LMF36 LWB36 MFX36 MPT36 MZP36 NJL36 NTH36 ODD36 OMZ36 OWV36 PGR36 PQN36 QAJ36 QKF36 QUB36 RDX36 RNT36 RXP36 SHL36 SRH36 TBD36 TKZ36 TUV36 UER36 UON36 UYJ36 VIF36 VSB36 WBX36 WLT36 WVP36 H65572 JD65572 SZ65572 ACV65572 AMR65572 AWN65572 BGJ65572 BQF65572 CAB65572 CJX65572 CTT65572 DDP65572 DNL65572 DXH65572 EHD65572 EQZ65572 FAV65572 FKR65572 FUN65572 GEJ65572 GOF65572 GYB65572 HHX65572 HRT65572 IBP65572 ILL65572 IVH65572 JFD65572 JOZ65572 JYV65572 KIR65572 KSN65572 LCJ65572 LMF65572 LWB65572 MFX65572 MPT65572 MZP65572 NJL65572 NTH65572 ODD65572 OMZ65572 OWV65572 PGR65572 PQN65572 QAJ65572 QKF65572 QUB65572 RDX65572 RNT65572 RXP65572 SHL65572 SRH65572 TBD65572 TKZ65572 TUV65572 UER65572 UON65572 UYJ65572 VIF65572 VSB65572 WBX65572 WLT65572 WVP65572 H131108 JD131108 SZ131108 ACV131108 AMR131108 AWN131108 BGJ131108 BQF131108 CAB131108 CJX131108 CTT131108 DDP131108 DNL131108 DXH131108 EHD131108 EQZ131108 FAV131108 FKR131108 FUN131108 GEJ131108 GOF131108 GYB131108 HHX131108 HRT131108 IBP131108 ILL131108 IVH131108 JFD131108 JOZ131108 JYV131108 KIR131108 KSN131108 LCJ131108 LMF131108 LWB131108 MFX131108 MPT131108 MZP131108 NJL131108 NTH131108 ODD131108 OMZ131108 OWV131108 PGR131108 PQN131108 QAJ131108 QKF131108 QUB131108 RDX131108 RNT131108 RXP131108 SHL131108 SRH131108 TBD131108 TKZ131108 TUV131108 UER131108 UON131108 UYJ131108 VIF131108 VSB131108 WBX131108 WLT131108 WVP131108 H196644 JD196644 SZ196644 ACV196644 AMR196644 AWN196644 BGJ196644 BQF196644 CAB196644 CJX196644 CTT196644 DDP196644 DNL196644 DXH196644 EHD196644 EQZ196644 FAV196644 FKR196644 FUN196644 GEJ196644 GOF196644 GYB196644 HHX196644 HRT196644 IBP196644 ILL196644 IVH196644 JFD196644 JOZ196644 JYV196644 KIR196644 KSN196644 LCJ196644 LMF196644 LWB196644 MFX196644 MPT196644 MZP196644 NJL196644 NTH196644 ODD196644 OMZ196644 OWV196644 PGR196644 PQN196644 QAJ196644 QKF196644 QUB196644 RDX196644 RNT196644 RXP196644 SHL196644 SRH196644 TBD196644 TKZ196644 TUV196644 UER196644 UON196644 UYJ196644 VIF196644 VSB196644 WBX196644 WLT196644 WVP196644 H262180 JD262180 SZ262180 ACV262180 AMR262180 AWN262180 BGJ262180 BQF262180 CAB262180 CJX262180 CTT262180 DDP262180 DNL262180 DXH262180 EHD262180 EQZ262180 FAV262180 FKR262180 FUN262180 GEJ262180 GOF262180 GYB262180 HHX262180 HRT262180 IBP262180 ILL262180 IVH262180 JFD262180 JOZ262180 JYV262180 KIR262180 KSN262180 LCJ262180 LMF262180 LWB262180 MFX262180 MPT262180 MZP262180 NJL262180 NTH262180 ODD262180 OMZ262180 OWV262180 PGR262180 PQN262180 QAJ262180 QKF262180 QUB262180 RDX262180 RNT262180 RXP262180 SHL262180 SRH262180 TBD262180 TKZ262180 TUV262180 UER262180 UON262180 UYJ262180 VIF262180 VSB262180 WBX262180 WLT262180 WVP262180 H327716 JD327716 SZ327716 ACV327716 AMR327716 AWN327716 BGJ327716 BQF327716 CAB327716 CJX327716 CTT327716 DDP327716 DNL327716 DXH327716 EHD327716 EQZ327716 FAV327716 FKR327716 FUN327716 GEJ327716 GOF327716 GYB327716 HHX327716 HRT327716 IBP327716 ILL327716 IVH327716 JFD327716 JOZ327716 JYV327716 KIR327716 KSN327716 LCJ327716 LMF327716 LWB327716 MFX327716 MPT327716 MZP327716 NJL327716 NTH327716 ODD327716 OMZ327716 OWV327716 PGR327716 PQN327716 QAJ327716 QKF327716 QUB327716 RDX327716 RNT327716 RXP327716 SHL327716 SRH327716 TBD327716 TKZ327716 TUV327716 UER327716 UON327716 UYJ327716 VIF327716 VSB327716 WBX327716 WLT327716 WVP327716 H393252 JD393252 SZ393252 ACV393252 AMR393252 AWN393252 BGJ393252 BQF393252 CAB393252 CJX393252 CTT393252 DDP393252 DNL393252 DXH393252 EHD393252 EQZ393252 FAV393252 FKR393252 FUN393252 GEJ393252 GOF393252 GYB393252 HHX393252 HRT393252 IBP393252 ILL393252 IVH393252 JFD393252 JOZ393252 JYV393252 KIR393252 KSN393252 LCJ393252 LMF393252 LWB393252 MFX393252 MPT393252 MZP393252 NJL393252 NTH393252 ODD393252 OMZ393252 OWV393252 PGR393252 PQN393252 QAJ393252 QKF393252 QUB393252 RDX393252 RNT393252 RXP393252 SHL393252 SRH393252 TBD393252 TKZ393252 TUV393252 UER393252 UON393252 UYJ393252 VIF393252 VSB393252 WBX393252 WLT393252 WVP393252 H458788 JD458788 SZ458788 ACV458788 AMR458788 AWN458788 BGJ458788 BQF458788 CAB458788 CJX458788 CTT458788 DDP458788 DNL458788 DXH458788 EHD458788 EQZ458788 FAV458788 FKR458788 FUN458788 GEJ458788 GOF458788 GYB458788 HHX458788 HRT458788 IBP458788 ILL458788 IVH458788 JFD458788 JOZ458788 JYV458788 KIR458788 KSN458788 LCJ458788 LMF458788 LWB458788 MFX458788 MPT458788 MZP458788 NJL458788 NTH458788 ODD458788 OMZ458788 OWV458788 PGR458788 PQN458788 QAJ458788 QKF458788 QUB458788 RDX458788 RNT458788 RXP458788 SHL458788 SRH458788 TBD458788 TKZ458788 TUV458788 UER458788 UON458788 UYJ458788 VIF458788 VSB458788 WBX458788 WLT458788 WVP458788 H524324 JD524324 SZ524324 ACV524324 AMR524324 AWN524324 BGJ524324 BQF524324 CAB524324 CJX524324 CTT524324 DDP524324 DNL524324 DXH524324 EHD524324 EQZ524324 FAV524324 FKR524324 FUN524324 GEJ524324 GOF524324 GYB524324 HHX524324 HRT524324 IBP524324 ILL524324 IVH524324 JFD524324 JOZ524324 JYV524324 KIR524324 KSN524324 LCJ524324 LMF524324 LWB524324 MFX524324 MPT524324 MZP524324 NJL524324 NTH524324 ODD524324 OMZ524324 OWV524324 PGR524324 PQN524324 QAJ524324 QKF524324 QUB524324 RDX524324 RNT524324 RXP524324 SHL524324 SRH524324 TBD524324 TKZ524324 TUV524324 UER524324 UON524324 UYJ524324 VIF524324 VSB524324 WBX524324 WLT524324 WVP524324 H589860 JD589860 SZ589860 ACV589860 AMR589860 AWN589860 BGJ589860 BQF589860 CAB589860 CJX589860 CTT589860 DDP589860 DNL589860 DXH589860 EHD589860 EQZ589860 FAV589860 FKR589860 FUN589860 GEJ589860 GOF589860 GYB589860 HHX589860 HRT589860 IBP589860 ILL589860 IVH589860 JFD589860 JOZ589860 JYV589860 KIR589860 KSN589860 LCJ589860 LMF589860 LWB589860 MFX589860 MPT589860 MZP589860 NJL589860 NTH589860 ODD589860 OMZ589860 OWV589860 PGR589860 PQN589860 QAJ589860 QKF589860 QUB589860 RDX589860 RNT589860 RXP589860 SHL589860 SRH589860 TBD589860 TKZ589860 TUV589860 UER589860 UON589860 UYJ589860 VIF589860 VSB589860 WBX589860 WLT589860 WVP589860 H655396 JD655396 SZ655396 ACV655396 AMR655396 AWN655396 BGJ655396 BQF655396 CAB655396 CJX655396 CTT655396 DDP655396 DNL655396 DXH655396 EHD655396 EQZ655396 FAV655396 FKR655396 FUN655396 GEJ655396 GOF655396 GYB655396 HHX655396 HRT655396 IBP655396 ILL655396 IVH655396 JFD655396 JOZ655396 JYV655396 KIR655396 KSN655396 LCJ655396 LMF655396 LWB655396 MFX655396 MPT655396 MZP655396 NJL655396 NTH655396 ODD655396 OMZ655396 OWV655396 PGR655396 PQN655396 QAJ655396 QKF655396 QUB655396 RDX655396 RNT655396 RXP655396 SHL655396 SRH655396 TBD655396 TKZ655396 TUV655396 UER655396 UON655396 UYJ655396 VIF655396 VSB655396 WBX655396 WLT655396 WVP655396 H720932 JD720932 SZ720932 ACV720932 AMR720932 AWN720932 BGJ720932 BQF720932 CAB720932 CJX720932 CTT720932 DDP720932 DNL720932 DXH720932 EHD720932 EQZ720932 FAV720932 FKR720932 FUN720932 GEJ720932 GOF720932 GYB720932 HHX720932 HRT720932 IBP720932 ILL720932 IVH720932 JFD720932 JOZ720932 JYV720932 KIR720932 KSN720932 LCJ720932 LMF720932 LWB720932 MFX720932 MPT720932 MZP720932 NJL720932 NTH720932 ODD720932 OMZ720932 OWV720932 PGR720932 PQN720932 QAJ720932 QKF720932 QUB720932 RDX720932 RNT720932 RXP720932 SHL720932 SRH720932 TBD720932 TKZ720932 TUV720932 UER720932 UON720932 UYJ720932 VIF720932 VSB720932 WBX720932 WLT720932 WVP720932 H786468 JD786468 SZ786468 ACV786468 AMR786468 AWN786468 BGJ786468 BQF786468 CAB786468 CJX786468 CTT786468 DDP786468 DNL786468 DXH786468 EHD786468 EQZ786468 FAV786468 FKR786468 FUN786468 GEJ786468 GOF786468 GYB786468 HHX786468 HRT786468 IBP786468 ILL786468 IVH786468 JFD786468 JOZ786468 JYV786468 KIR786468 KSN786468 LCJ786468 LMF786468 LWB786468 MFX786468 MPT786468 MZP786468 NJL786468 NTH786468 ODD786468 OMZ786468 OWV786468 PGR786468 PQN786468 QAJ786468 QKF786468 QUB786468 RDX786468 RNT786468 RXP786468 SHL786468 SRH786468 TBD786468 TKZ786468 TUV786468 UER786468 UON786468 UYJ786468 VIF786468 VSB786468 WBX786468 WLT786468 WVP786468 H852004 JD852004 SZ852004 ACV852004 AMR852004 AWN852004 BGJ852004 BQF852004 CAB852004 CJX852004 CTT852004 DDP852004 DNL852004 DXH852004 EHD852004 EQZ852004 FAV852004 FKR852004 FUN852004 GEJ852004 GOF852004 GYB852004 HHX852004 HRT852004 IBP852004 ILL852004 IVH852004 JFD852004 JOZ852004 JYV852004 KIR852004 KSN852004 LCJ852004 LMF852004 LWB852004 MFX852004 MPT852004 MZP852004 NJL852004 NTH852004 ODD852004 OMZ852004 OWV852004 PGR852004 PQN852004 QAJ852004 QKF852004 QUB852004 RDX852004 RNT852004 RXP852004 SHL852004 SRH852004 TBD852004 TKZ852004 TUV852004 UER852004 UON852004 UYJ852004 VIF852004 VSB852004 WBX852004 WLT852004 WVP852004 H917540 JD917540 SZ917540 ACV917540 AMR917540 AWN917540 BGJ917540 BQF917540 CAB917540 CJX917540 CTT917540 DDP917540 DNL917540 DXH917540 EHD917540 EQZ917540 FAV917540 FKR917540 FUN917540 GEJ917540 GOF917540 GYB917540 HHX917540 HRT917540 IBP917540 ILL917540 IVH917540 JFD917540 JOZ917540 JYV917540 KIR917540 KSN917540 LCJ917540 LMF917540 LWB917540 MFX917540 MPT917540 MZP917540 NJL917540 NTH917540 ODD917540 OMZ917540 OWV917540 PGR917540 PQN917540 QAJ917540 QKF917540 QUB917540 RDX917540 RNT917540 RXP917540 SHL917540 SRH917540 TBD917540 TKZ917540 TUV917540 UER917540 UON917540 UYJ917540 VIF917540 VSB917540 WBX917540 WLT917540 WVP917540 H983076 JD983076 SZ983076 ACV983076 AMR983076 AWN983076 BGJ983076 BQF983076 CAB983076 CJX983076 CTT983076 DDP983076 DNL983076 DXH983076 EHD983076 EQZ983076 FAV983076 FKR983076 FUN983076 GEJ983076 GOF983076 GYB983076 HHX983076 HRT983076 IBP983076 ILL983076 IVH983076 JFD983076 JOZ983076 JYV983076 KIR983076 KSN983076 LCJ983076 LMF983076 LWB983076 MFX983076 MPT983076 MZP983076 NJL983076 NTH983076 ODD983076 OMZ983076 OWV983076 PGR983076 PQN983076 QAJ983076 QKF983076 QUB983076 RDX983076 RNT983076 RXP983076 SHL983076 SRH983076 TBD983076 TKZ983076 TUV983076 UER983076 UON983076 UYJ983076 VIF983076 VSB983076 WBX983076 WLT983076 WVP983076">
      <formula1>FiberLst</formula1>
    </dataValidation>
    <dataValidation type="list" allowBlank="1" showInputMessage="1" showErrorMessage="1" sqref="N39:N41 JJ39:JJ41 TF39:TF41 ADB39:ADB41 AMX39:AMX41 AWT39:AWT41 BGP39:BGP41 BQL39:BQL41 CAH39:CAH41 CKD39:CKD41 CTZ39:CTZ41 DDV39:DDV41 DNR39:DNR41 DXN39:DXN41 EHJ39:EHJ41 ERF39:ERF41 FBB39:FBB41 FKX39:FKX41 FUT39:FUT41 GEP39:GEP41 GOL39:GOL41 GYH39:GYH41 HID39:HID41 HRZ39:HRZ41 IBV39:IBV41 ILR39:ILR41 IVN39:IVN41 JFJ39:JFJ41 JPF39:JPF41 JZB39:JZB41 KIX39:KIX41 KST39:KST41 LCP39:LCP41 LML39:LML41 LWH39:LWH41 MGD39:MGD41 MPZ39:MPZ41 MZV39:MZV41 NJR39:NJR41 NTN39:NTN41 ODJ39:ODJ41 ONF39:ONF41 OXB39:OXB41 PGX39:PGX41 PQT39:PQT41 QAP39:QAP41 QKL39:QKL41 QUH39:QUH41 RED39:RED41 RNZ39:RNZ41 RXV39:RXV41 SHR39:SHR41 SRN39:SRN41 TBJ39:TBJ41 TLF39:TLF41 TVB39:TVB41 UEX39:UEX41 UOT39:UOT41 UYP39:UYP41 VIL39:VIL41 VSH39:VSH41 WCD39:WCD41 WLZ39:WLZ41 WVV39:WVV41 N65575:N65577 JJ65575:JJ65577 TF65575:TF65577 ADB65575:ADB65577 AMX65575:AMX65577 AWT65575:AWT65577 BGP65575:BGP65577 BQL65575:BQL65577 CAH65575:CAH65577 CKD65575:CKD65577 CTZ65575:CTZ65577 DDV65575:DDV65577 DNR65575:DNR65577 DXN65575:DXN65577 EHJ65575:EHJ65577 ERF65575:ERF65577 FBB65575:FBB65577 FKX65575:FKX65577 FUT65575:FUT65577 GEP65575:GEP65577 GOL65575:GOL65577 GYH65575:GYH65577 HID65575:HID65577 HRZ65575:HRZ65577 IBV65575:IBV65577 ILR65575:ILR65577 IVN65575:IVN65577 JFJ65575:JFJ65577 JPF65575:JPF65577 JZB65575:JZB65577 KIX65575:KIX65577 KST65575:KST65577 LCP65575:LCP65577 LML65575:LML65577 LWH65575:LWH65577 MGD65575:MGD65577 MPZ65575:MPZ65577 MZV65575:MZV65577 NJR65575:NJR65577 NTN65575:NTN65577 ODJ65575:ODJ65577 ONF65575:ONF65577 OXB65575:OXB65577 PGX65575:PGX65577 PQT65575:PQT65577 QAP65575:QAP65577 QKL65575:QKL65577 QUH65575:QUH65577 RED65575:RED65577 RNZ65575:RNZ65577 RXV65575:RXV65577 SHR65575:SHR65577 SRN65575:SRN65577 TBJ65575:TBJ65577 TLF65575:TLF65577 TVB65575:TVB65577 UEX65575:UEX65577 UOT65575:UOT65577 UYP65575:UYP65577 VIL65575:VIL65577 VSH65575:VSH65577 WCD65575:WCD65577 WLZ65575:WLZ65577 WVV65575:WVV65577 N131111:N131113 JJ131111:JJ131113 TF131111:TF131113 ADB131111:ADB131113 AMX131111:AMX131113 AWT131111:AWT131113 BGP131111:BGP131113 BQL131111:BQL131113 CAH131111:CAH131113 CKD131111:CKD131113 CTZ131111:CTZ131113 DDV131111:DDV131113 DNR131111:DNR131113 DXN131111:DXN131113 EHJ131111:EHJ131113 ERF131111:ERF131113 FBB131111:FBB131113 FKX131111:FKX131113 FUT131111:FUT131113 GEP131111:GEP131113 GOL131111:GOL131113 GYH131111:GYH131113 HID131111:HID131113 HRZ131111:HRZ131113 IBV131111:IBV131113 ILR131111:ILR131113 IVN131111:IVN131113 JFJ131111:JFJ131113 JPF131111:JPF131113 JZB131111:JZB131113 KIX131111:KIX131113 KST131111:KST131113 LCP131111:LCP131113 LML131111:LML131113 LWH131111:LWH131113 MGD131111:MGD131113 MPZ131111:MPZ131113 MZV131111:MZV131113 NJR131111:NJR131113 NTN131111:NTN131113 ODJ131111:ODJ131113 ONF131111:ONF131113 OXB131111:OXB131113 PGX131111:PGX131113 PQT131111:PQT131113 QAP131111:QAP131113 QKL131111:QKL131113 QUH131111:QUH131113 RED131111:RED131113 RNZ131111:RNZ131113 RXV131111:RXV131113 SHR131111:SHR131113 SRN131111:SRN131113 TBJ131111:TBJ131113 TLF131111:TLF131113 TVB131111:TVB131113 UEX131111:UEX131113 UOT131111:UOT131113 UYP131111:UYP131113 VIL131111:VIL131113 VSH131111:VSH131113 WCD131111:WCD131113 WLZ131111:WLZ131113 WVV131111:WVV131113 N196647:N196649 JJ196647:JJ196649 TF196647:TF196649 ADB196647:ADB196649 AMX196647:AMX196649 AWT196647:AWT196649 BGP196647:BGP196649 BQL196647:BQL196649 CAH196647:CAH196649 CKD196647:CKD196649 CTZ196647:CTZ196649 DDV196647:DDV196649 DNR196647:DNR196649 DXN196647:DXN196649 EHJ196647:EHJ196649 ERF196647:ERF196649 FBB196647:FBB196649 FKX196647:FKX196649 FUT196647:FUT196649 GEP196647:GEP196649 GOL196647:GOL196649 GYH196647:GYH196649 HID196647:HID196649 HRZ196647:HRZ196649 IBV196647:IBV196649 ILR196647:ILR196649 IVN196647:IVN196649 JFJ196647:JFJ196649 JPF196647:JPF196649 JZB196647:JZB196649 KIX196647:KIX196649 KST196647:KST196649 LCP196647:LCP196649 LML196647:LML196649 LWH196647:LWH196649 MGD196647:MGD196649 MPZ196647:MPZ196649 MZV196647:MZV196649 NJR196647:NJR196649 NTN196647:NTN196649 ODJ196647:ODJ196649 ONF196647:ONF196649 OXB196647:OXB196649 PGX196647:PGX196649 PQT196647:PQT196649 QAP196647:QAP196649 QKL196647:QKL196649 QUH196647:QUH196649 RED196647:RED196649 RNZ196647:RNZ196649 RXV196647:RXV196649 SHR196647:SHR196649 SRN196647:SRN196649 TBJ196647:TBJ196649 TLF196647:TLF196649 TVB196647:TVB196649 UEX196647:UEX196649 UOT196647:UOT196649 UYP196647:UYP196649 VIL196647:VIL196649 VSH196647:VSH196649 WCD196647:WCD196649 WLZ196647:WLZ196649 WVV196647:WVV196649 N262183:N262185 JJ262183:JJ262185 TF262183:TF262185 ADB262183:ADB262185 AMX262183:AMX262185 AWT262183:AWT262185 BGP262183:BGP262185 BQL262183:BQL262185 CAH262183:CAH262185 CKD262183:CKD262185 CTZ262183:CTZ262185 DDV262183:DDV262185 DNR262183:DNR262185 DXN262183:DXN262185 EHJ262183:EHJ262185 ERF262183:ERF262185 FBB262183:FBB262185 FKX262183:FKX262185 FUT262183:FUT262185 GEP262183:GEP262185 GOL262183:GOL262185 GYH262183:GYH262185 HID262183:HID262185 HRZ262183:HRZ262185 IBV262183:IBV262185 ILR262183:ILR262185 IVN262183:IVN262185 JFJ262183:JFJ262185 JPF262183:JPF262185 JZB262183:JZB262185 KIX262183:KIX262185 KST262183:KST262185 LCP262183:LCP262185 LML262183:LML262185 LWH262183:LWH262185 MGD262183:MGD262185 MPZ262183:MPZ262185 MZV262183:MZV262185 NJR262183:NJR262185 NTN262183:NTN262185 ODJ262183:ODJ262185 ONF262183:ONF262185 OXB262183:OXB262185 PGX262183:PGX262185 PQT262183:PQT262185 QAP262183:QAP262185 QKL262183:QKL262185 QUH262183:QUH262185 RED262183:RED262185 RNZ262183:RNZ262185 RXV262183:RXV262185 SHR262183:SHR262185 SRN262183:SRN262185 TBJ262183:TBJ262185 TLF262183:TLF262185 TVB262183:TVB262185 UEX262183:UEX262185 UOT262183:UOT262185 UYP262183:UYP262185 VIL262183:VIL262185 VSH262183:VSH262185 WCD262183:WCD262185 WLZ262183:WLZ262185 WVV262183:WVV262185 N327719:N327721 JJ327719:JJ327721 TF327719:TF327721 ADB327719:ADB327721 AMX327719:AMX327721 AWT327719:AWT327721 BGP327719:BGP327721 BQL327719:BQL327721 CAH327719:CAH327721 CKD327719:CKD327721 CTZ327719:CTZ327721 DDV327719:DDV327721 DNR327719:DNR327721 DXN327719:DXN327721 EHJ327719:EHJ327721 ERF327719:ERF327721 FBB327719:FBB327721 FKX327719:FKX327721 FUT327719:FUT327721 GEP327719:GEP327721 GOL327719:GOL327721 GYH327719:GYH327721 HID327719:HID327721 HRZ327719:HRZ327721 IBV327719:IBV327721 ILR327719:ILR327721 IVN327719:IVN327721 JFJ327719:JFJ327721 JPF327719:JPF327721 JZB327719:JZB327721 KIX327719:KIX327721 KST327719:KST327721 LCP327719:LCP327721 LML327719:LML327721 LWH327719:LWH327721 MGD327719:MGD327721 MPZ327719:MPZ327721 MZV327719:MZV327721 NJR327719:NJR327721 NTN327719:NTN327721 ODJ327719:ODJ327721 ONF327719:ONF327721 OXB327719:OXB327721 PGX327719:PGX327721 PQT327719:PQT327721 QAP327719:QAP327721 QKL327719:QKL327721 QUH327719:QUH327721 RED327719:RED327721 RNZ327719:RNZ327721 RXV327719:RXV327721 SHR327719:SHR327721 SRN327719:SRN327721 TBJ327719:TBJ327721 TLF327719:TLF327721 TVB327719:TVB327721 UEX327719:UEX327721 UOT327719:UOT327721 UYP327719:UYP327721 VIL327719:VIL327721 VSH327719:VSH327721 WCD327719:WCD327721 WLZ327719:WLZ327721 WVV327719:WVV327721 N393255:N393257 JJ393255:JJ393257 TF393255:TF393257 ADB393255:ADB393257 AMX393255:AMX393257 AWT393255:AWT393257 BGP393255:BGP393257 BQL393255:BQL393257 CAH393255:CAH393257 CKD393255:CKD393257 CTZ393255:CTZ393257 DDV393255:DDV393257 DNR393255:DNR393257 DXN393255:DXN393257 EHJ393255:EHJ393257 ERF393255:ERF393257 FBB393255:FBB393257 FKX393255:FKX393257 FUT393255:FUT393257 GEP393255:GEP393257 GOL393255:GOL393257 GYH393255:GYH393257 HID393255:HID393257 HRZ393255:HRZ393257 IBV393255:IBV393257 ILR393255:ILR393257 IVN393255:IVN393257 JFJ393255:JFJ393257 JPF393255:JPF393257 JZB393255:JZB393257 KIX393255:KIX393257 KST393255:KST393257 LCP393255:LCP393257 LML393255:LML393257 LWH393255:LWH393257 MGD393255:MGD393257 MPZ393255:MPZ393257 MZV393255:MZV393257 NJR393255:NJR393257 NTN393255:NTN393257 ODJ393255:ODJ393257 ONF393255:ONF393257 OXB393255:OXB393257 PGX393255:PGX393257 PQT393255:PQT393257 QAP393255:QAP393257 QKL393255:QKL393257 QUH393255:QUH393257 RED393255:RED393257 RNZ393255:RNZ393257 RXV393255:RXV393257 SHR393255:SHR393257 SRN393255:SRN393257 TBJ393255:TBJ393257 TLF393255:TLF393257 TVB393255:TVB393257 UEX393255:UEX393257 UOT393255:UOT393257 UYP393255:UYP393257 VIL393255:VIL393257 VSH393255:VSH393257 WCD393255:WCD393257 WLZ393255:WLZ393257 WVV393255:WVV393257 N458791:N458793 JJ458791:JJ458793 TF458791:TF458793 ADB458791:ADB458793 AMX458791:AMX458793 AWT458791:AWT458793 BGP458791:BGP458793 BQL458791:BQL458793 CAH458791:CAH458793 CKD458791:CKD458793 CTZ458791:CTZ458793 DDV458791:DDV458793 DNR458791:DNR458793 DXN458791:DXN458793 EHJ458791:EHJ458793 ERF458791:ERF458793 FBB458791:FBB458793 FKX458791:FKX458793 FUT458791:FUT458793 GEP458791:GEP458793 GOL458791:GOL458793 GYH458791:GYH458793 HID458791:HID458793 HRZ458791:HRZ458793 IBV458791:IBV458793 ILR458791:ILR458793 IVN458791:IVN458793 JFJ458791:JFJ458793 JPF458791:JPF458793 JZB458791:JZB458793 KIX458791:KIX458793 KST458791:KST458793 LCP458791:LCP458793 LML458791:LML458793 LWH458791:LWH458793 MGD458791:MGD458793 MPZ458791:MPZ458793 MZV458791:MZV458793 NJR458791:NJR458793 NTN458791:NTN458793 ODJ458791:ODJ458793 ONF458791:ONF458793 OXB458791:OXB458793 PGX458791:PGX458793 PQT458791:PQT458793 QAP458791:QAP458793 QKL458791:QKL458793 QUH458791:QUH458793 RED458791:RED458793 RNZ458791:RNZ458793 RXV458791:RXV458793 SHR458791:SHR458793 SRN458791:SRN458793 TBJ458791:TBJ458793 TLF458791:TLF458793 TVB458791:TVB458793 UEX458791:UEX458793 UOT458791:UOT458793 UYP458791:UYP458793 VIL458791:VIL458793 VSH458791:VSH458793 WCD458791:WCD458793 WLZ458791:WLZ458793 WVV458791:WVV458793 N524327:N524329 JJ524327:JJ524329 TF524327:TF524329 ADB524327:ADB524329 AMX524327:AMX524329 AWT524327:AWT524329 BGP524327:BGP524329 BQL524327:BQL524329 CAH524327:CAH524329 CKD524327:CKD524329 CTZ524327:CTZ524329 DDV524327:DDV524329 DNR524327:DNR524329 DXN524327:DXN524329 EHJ524327:EHJ524329 ERF524327:ERF524329 FBB524327:FBB524329 FKX524327:FKX524329 FUT524327:FUT524329 GEP524327:GEP524329 GOL524327:GOL524329 GYH524327:GYH524329 HID524327:HID524329 HRZ524327:HRZ524329 IBV524327:IBV524329 ILR524327:ILR524329 IVN524327:IVN524329 JFJ524327:JFJ524329 JPF524327:JPF524329 JZB524327:JZB524329 KIX524327:KIX524329 KST524327:KST524329 LCP524327:LCP524329 LML524327:LML524329 LWH524327:LWH524329 MGD524327:MGD524329 MPZ524327:MPZ524329 MZV524327:MZV524329 NJR524327:NJR524329 NTN524327:NTN524329 ODJ524327:ODJ524329 ONF524327:ONF524329 OXB524327:OXB524329 PGX524327:PGX524329 PQT524327:PQT524329 QAP524327:QAP524329 QKL524327:QKL524329 QUH524327:QUH524329 RED524327:RED524329 RNZ524327:RNZ524329 RXV524327:RXV524329 SHR524327:SHR524329 SRN524327:SRN524329 TBJ524327:TBJ524329 TLF524327:TLF524329 TVB524327:TVB524329 UEX524327:UEX524329 UOT524327:UOT524329 UYP524327:UYP524329 VIL524327:VIL524329 VSH524327:VSH524329 WCD524327:WCD524329 WLZ524327:WLZ524329 WVV524327:WVV524329 N589863:N589865 JJ589863:JJ589865 TF589863:TF589865 ADB589863:ADB589865 AMX589863:AMX589865 AWT589863:AWT589865 BGP589863:BGP589865 BQL589863:BQL589865 CAH589863:CAH589865 CKD589863:CKD589865 CTZ589863:CTZ589865 DDV589863:DDV589865 DNR589863:DNR589865 DXN589863:DXN589865 EHJ589863:EHJ589865 ERF589863:ERF589865 FBB589863:FBB589865 FKX589863:FKX589865 FUT589863:FUT589865 GEP589863:GEP589865 GOL589863:GOL589865 GYH589863:GYH589865 HID589863:HID589865 HRZ589863:HRZ589865 IBV589863:IBV589865 ILR589863:ILR589865 IVN589863:IVN589865 JFJ589863:JFJ589865 JPF589863:JPF589865 JZB589863:JZB589865 KIX589863:KIX589865 KST589863:KST589865 LCP589863:LCP589865 LML589863:LML589865 LWH589863:LWH589865 MGD589863:MGD589865 MPZ589863:MPZ589865 MZV589863:MZV589865 NJR589863:NJR589865 NTN589863:NTN589865 ODJ589863:ODJ589865 ONF589863:ONF589865 OXB589863:OXB589865 PGX589863:PGX589865 PQT589863:PQT589865 QAP589863:QAP589865 QKL589863:QKL589865 QUH589863:QUH589865 RED589863:RED589865 RNZ589863:RNZ589865 RXV589863:RXV589865 SHR589863:SHR589865 SRN589863:SRN589865 TBJ589863:TBJ589865 TLF589863:TLF589865 TVB589863:TVB589865 UEX589863:UEX589865 UOT589863:UOT589865 UYP589863:UYP589865 VIL589863:VIL589865 VSH589863:VSH589865 WCD589863:WCD589865 WLZ589863:WLZ589865 WVV589863:WVV589865 N655399:N655401 JJ655399:JJ655401 TF655399:TF655401 ADB655399:ADB655401 AMX655399:AMX655401 AWT655399:AWT655401 BGP655399:BGP655401 BQL655399:BQL655401 CAH655399:CAH655401 CKD655399:CKD655401 CTZ655399:CTZ655401 DDV655399:DDV655401 DNR655399:DNR655401 DXN655399:DXN655401 EHJ655399:EHJ655401 ERF655399:ERF655401 FBB655399:FBB655401 FKX655399:FKX655401 FUT655399:FUT655401 GEP655399:GEP655401 GOL655399:GOL655401 GYH655399:GYH655401 HID655399:HID655401 HRZ655399:HRZ655401 IBV655399:IBV655401 ILR655399:ILR655401 IVN655399:IVN655401 JFJ655399:JFJ655401 JPF655399:JPF655401 JZB655399:JZB655401 KIX655399:KIX655401 KST655399:KST655401 LCP655399:LCP655401 LML655399:LML655401 LWH655399:LWH655401 MGD655399:MGD655401 MPZ655399:MPZ655401 MZV655399:MZV655401 NJR655399:NJR655401 NTN655399:NTN655401 ODJ655399:ODJ655401 ONF655399:ONF655401 OXB655399:OXB655401 PGX655399:PGX655401 PQT655399:PQT655401 QAP655399:QAP655401 QKL655399:QKL655401 QUH655399:QUH655401 RED655399:RED655401 RNZ655399:RNZ655401 RXV655399:RXV655401 SHR655399:SHR655401 SRN655399:SRN655401 TBJ655399:TBJ655401 TLF655399:TLF655401 TVB655399:TVB655401 UEX655399:UEX655401 UOT655399:UOT655401 UYP655399:UYP655401 VIL655399:VIL655401 VSH655399:VSH655401 WCD655399:WCD655401 WLZ655399:WLZ655401 WVV655399:WVV655401 N720935:N720937 JJ720935:JJ720937 TF720935:TF720937 ADB720935:ADB720937 AMX720935:AMX720937 AWT720935:AWT720937 BGP720935:BGP720937 BQL720935:BQL720937 CAH720935:CAH720937 CKD720935:CKD720937 CTZ720935:CTZ720937 DDV720935:DDV720937 DNR720935:DNR720937 DXN720935:DXN720937 EHJ720935:EHJ720937 ERF720935:ERF720937 FBB720935:FBB720937 FKX720935:FKX720937 FUT720935:FUT720937 GEP720935:GEP720937 GOL720935:GOL720937 GYH720935:GYH720937 HID720935:HID720937 HRZ720935:HRZ720937 IBV720935:IBV720937 ILR720935:ILR720937 IVN720935:IVN720937 JFJ720935:JFJ720937 JPF720935:JPF720937 JZB720935:JZB720937 KIX720935:KIX720937 KST720935:KST720937 LCP720935:LCP720937 LML720935:LML720937 LWH720935:LWH720937 MGD720935:MGD720937 MPZ720935:MPZ720937 MZV720935:MZV720937 NJR720935:NJR720937 NTN720935:NTN720937 ODJ720935:ODJ720937 ONF720935:ONF720937 OXB720935:OXB720937 PGX720935:PGX720937 PQT720935:PQT720937 QAP720935:QAP720937 QKL720935:QKL720937 QUH720935:QUH720937 RED720935:RED720937 RNZ720935:RNZ720937 RXV720935:RXV720937 SHR720935:SHR720937 SRN720935:SRN720937 TBJ720935:TBJ720937 TLF720935:TLF720937 TVB720935:TVB720937 UEX720935:UEX720937 UOT720935:UOT720937 UYP720935:UYP720937 VIL720935:VIL720937 VSH720935:VSH720937 WCD720935:WCD720937 WLZ720935:WLZ720937 WVV720935:WVV720937 N786471:N786473 JJ786471:JJ786473 TF786471:TF786473 ADB786471:ADB786473 AMX786471:AMX786473 AWT786471:AWT786473 BGP786471:BGP786473 BQL786471:BQL786473 CAH786471:CAH786473 CKD786471:CKD786473 CTZ786471:CTZ786473 DDV786471:DDV786473 DNR786471:DNR786473 DXN786471:DXN786473 EHJ786471:EHJ786473 ERF786471:ERF786473 FBB786471:FBB786473 FKX786471:FKX786473 FUT786471:FUT786473 GEP786471:GEP786473 GOL786471:GOL786473 GYH786471:GYH786473 HID786471:HID786473 HRZ786471:HRZ786473 IBV786471:IBV786473 ILR786471:ILR786473 IVN786471:IVN786473 JFJ786471:JFJ786473 JPF786471:JPF786473 JZB786471:JZB786473 KIX786471:KIX786473 KST786471:KST786473 LCP786471:LCP786473 LML786471:LML786473 LWH786471:LWH786473 MGD786471:MGD786473 MPZ786471:MPZ786473 MZV786471:MZV786473 NJR786471:NJR786473 NTN786471:NTN786473 ODJ786471:ODJ786473 ONF786471:ONF786473 OXB786471:OXB786473 PGX786471:PGX786473 PQT786471:PQT786473 QAP786471:QAP786473 QKL786471:QKL786473 QUH786471:QUH786473 RED786471:RED786473 RNZ786471:RNZ786473 RXV786471:RXV786473 SHR786471:SHR786473 SRN786471:SRN786473 TBJ786471:TBJ786473 TLF786471:TLF786473 TVB786471:TVB786473 UEX786471:UEX786473 UOT786471:UOT786473 UYP786471:UYP786473 VIL786471:VIL786473 VSH786471:VSH786473 WCD786471:WCD786473 WLZ786471:WLZ786473 WVV786471:WVV786473 N852007:N852009 JJ852007:JJ852009 TF852007:TF852009 ADB852007:ADB852009 AMX852007:AMX852009 AWT852007:AWT852009 BGP852007:BGP852009 BQL852007:BQL852009 CAH852007:CAH852009 CKD852007:CKD852009 CTZ852007:CTZ852009 DDV852007:DDV852009 DNR852007:DNR852009 DXN852007:DXN852009 EHJ852007:EHJ852009 ERF852007:ERF852009 FBB852007:FBB852009 FKX852007:FKX852009 FUT852007:FUT852009 GEP852007:GEP852009 GOL852007:GOL852009 GYH852007:GYH852009 HID852007:HID852009 HRZ852007:HRZ852009 IBV852007:IBV852009 ILR852007:ILR852009 IVN852007:IVN852009 JFJ852007:JFJ852009 JPF852007:JPF852009 JZB852007:JZB852009 KIX852007:KIX852009 KST852007:KST852009 LCP852007:LCP852009 LML852007:LML852009 LWH852007:LWH852009 MGD852007:MGD852009 MPZ852007:MPZ852009 MZV852007:MZV852009 NJR852007:NJR852009 NTN852007:NTN852009 ODJ852007:ODJ852009 ONF852007:ONF852009 OXB852007:OXB852009 PGX852007:PGX852009 PQT852007:PQT852009 QAP852007:QAP852009 QKL852007:QKL852009 QUH852007:QUH852009 RED852007:RED852009 RNZ852007:RNZ852009 RXV852007:RXV852009 SHR852007:SHR852009 SRN852007:SRN852009 TBJ852007:TBJ852009 TLF852007:TLF852009 TVB852007:TVB852009 UEX852007:UEX852009 UOT852007:UOT852009 UYP852007:UYP852009 VIL852007:VIL852009 VSH852007:VSH852009 WCD852007:WCD852009 WLZ852007:WLZ852009 WVV852007:WVV852009 N917543:N917545 JJ917543:JJ917545 TF917543:TF917545 ADB917543:ADB917545 AMX917543:AMX917545 AWT917543:AWT917545 BGP917543:BGP917545 BQL917543:BQL917545 CAH917543:CAH917545 CKD917543:CKD917545 CTZ917543:CTZ917545 DDV917543:DDV917545 DNR917543:DNR917545 DXN917543:DXN917545 EHJ917543:EHJ917545 ERF917543:ERF917545 FBB917543:FBB917545 FKX917543:FKX917545 FUT917543:FUT917545 GEP917543:GEP917545 GOL917543:GOL917545 GYH917543:GYH917545 HID917543:HID917545 HRZ917543:HRZ917545 IBV917543:IBV917545 ILR917543:ILR917545 IVN917543:IVN917545 JFJ917543:JFJ917545 JPF917543:JPF917545 JZB917543:JZB917545 KIX917543:KIX917545 KST917543:KST917545 LCP917543:LCP917545 LML917543:LML917545 LWH917543:LWH917545 MGD917543:MGD917545 MPZ917543:MPZ917545 MZV917543:MZV917545 NJR917543:NJR917545 NTN917543:NTN917545 ODJ917543:ODJ917545 ONF917543:ONF917545 OXB917543:OXB917545 PGX917543:PGX917545 PQT917543:PQT917545 QAP917543:QAP917545 QKL917543:QKL917545 QUH917543:QUH917545 RED917543:RED917545 RNZ917543:RNZ917545 RXV917543:RXV917545 SHR917543:SHR917545 SRN917543:SRN917545 TBJ917543:TBJ917545 TLF917543:TLF917545 TVB917543:TVB917545 UEX917543:UEX917545 UOT917543:UOT917545 UYP917543:UYP917545 VIL917543:VIL917545 VSH917543:VSH917545 WCD917543:WCD917545 WLZ917543:WLZ917545 WVV917543:WVV917545 N983079:N983081 JJ983079:JJ983081 TF983079:TF983081 ADB983079:ADB983081 AMX983079:AMX983081 AWT983079:AWT983081 BGP983079:BGP983081 BQL983079:BQL983081 CAH983079:CAH983081 CKD983079:CKD983081 CTZ983079:CTZ983081 DDV983079:DDV983081 DNR983079:DNR983081 DXN983079:DXN983081 EHJ983079:EHJ983081 ERF983079:ERF983081 FBB983079:FBB983081 FKX983079:FKX983081 FUT983079:FUT983081 GEP983079:GEP983081 GOL983079:GOL983081 GYH983079:GYH983081 HID983079:HID983081 HRZ983079:HRZ983081 IBV983079:IBV983081 ILR983079:ILR983081 IVN983079:IVN983081 JFJ983079:JFJ983081 JPF983079:JPF983081 JZB983079:JZB983081 KIX983079:KIX983081 KST983079:KST983081 LCP983079:LCP983081 LML983079:LML983081 LWH983079:LWH983081 MGD983079:MGD983081 MPZ983079:MPZ983081 MZV983079:MZV983081 NJR983079:NJR983081 NTN983079:NTN983081 ODJ983079:ODJ983081 ONF983079:ONF983081 OXB983079:OXB983081 PGX983079:PGX983081 PQT983079:PQT983081 QAP983079:QAP983081 QKL983079:QKL983081 QUH983079:QUH983081 RED983079:RED983081 RNZ983079:RNZ983081 RXV983079:RXV983081 SHR983079:SHR983081 SRN983079:SRN983081 TBJ983079:TBJ983081 TLF983079:TLF983081 TVB983079:TVB983081 UEX983079:UEX983081 UOT983079:UOT983081 UYP983079:UYP983081 VIL983079:VIL983081 VSH983079:VSH983081 WCD983079:WCD983081 WLZ983079:WLZ983081 WVV983079:WVV983081 N37 JJ37 TF37 ADB37 AMX37 AWT37 BGP37 BQL37 CAH37 CKD37 CTZ37 DDV37 DNR37 DXN37 EHJ37 ERF37 FBB37 FKX37 FUT37 GEP37 GOL37 GYH37 HID37 HRZ37 IBV37 ILR37 IVN37 JFJ37 JPF37 JZB37 KIX37 KST37 LCP37 LML37 LWH37 MGD37 MPZ37 MZV37 NJR37 NTN37 ODJ37 ONF37 OXB37 PGX37 PQT37 QAP37 QKL37 QUH37 RED37 RNZ37 RXV37 SHR37 SRN37 TBJ37 TLF37 TVB37 UEX37 UOT37 UYP37 VIL37 VSH37 WCD37 WLZ37 WVV37 N65573 JJ65573 TF65573 ADB65573 AMX65573 AWT65573 BGP65573 BQL65573 CAH65573 CKD65573 CTZ65573 DDV65573 DNR65573 DXN65573 EHJ65573 ERF65573 FBB65573 FKX65573 FUT65573 GEP65573 GOL65573 GYH65573 HID65573 HRZ65573 IBV65573 ILR65573 IVN65573 JFJ65573 JPF65573 JZB65573 KIX65573 KST65573 LCP65573 LML65573 LWH65573 MGD65573 MPZ65573 MZV65573 NJR65573 NTN65573 ODJ65573 ONF65573 OXB65573 PGX65573 PQT65573 QAP65573 QKL65573 QUH65573 RED65573 RNZ65573 RXV65573 SHR65573 SRN65573 TBJ65573 TLF65573 TVB65573 UEX65573 UOT65573 UYP65573 VIL65573 VSH65573 WCD65573 WLZ65573 WVV65573 N131109 JJ131109 TF131109 ADB131109 AMX131109 AWT131109 BGP131109 BQL131109 CAH131109 CKD131109 CTZ131109 DDV131109 DNR131109 DXN131109 EHJ131109 ERF131109 FBB131109 FKX131109 FUT131109 GEP131109 GOL131109 GYH131109 HID131109 HRZ131109 IBV131109 ILR131109 IVN131109 JFJ131109 JPF131109 JZB131109 KIX131109 KST131109 LCP131109 LML131109 LWH131109 MGD131109 MPZ131109 MZV131109 NJR131109 NTN131109 ODJ131109 ONF131109 OXB131109 PGX131109 PQT131109 QAP131109 QKL131109 QUH131109 RED131109 RNZ131109 RXV131109 SHR131109 SRN131109 TBJ131109 TLF131109 TVB131109 UEX131109 UOT131109 UYP131109 VIL131109 VSH131109 WCD131109 WLZ131109 WVV131109 N196645 JJ196645 TF196645 ADB196645 AMX196645 AWT196645 BGP196645 BQL196645 CAH196645 CKD196645 CTZ196645 DDV196645 DNR196645 DXN196645 EHJ196645 ERF196645 FBB196645 FKX196645 FUT196645 GEP196645 GOL196645 GYH196645 HID196645 HRZ196645 IBV196645 ILR196645 IVN196645 JFJ196645 JPF196645 JZB196645 KIX196645 KST196645 LCP196645 LML196645 LWH196645 MGD196645 MPZ196645 MZV196645 NJR196645 NTN196645 ODJ196645 ONF196645 OXB196645 PGX196645 PQT196645 QAP196645 QKL196645 QUH196645 RED196645 RNZ196645 RXV196645 SHR196645 SRN196645 TBJ196645 TLF196645 TVB196645 UEX196645 UOT196645 UYP196645 VIL196645 VSH196645 WCD196645 WLZ196645 WVV196645 N262181 JJ262181 TF262181 ADB262181 AMX262181 AWT262181 BGP262181 BQL262181 CAH262181 CKD262181 CTZ262181 DDV262181 DNR262181 DXN262181 EHJ262181 ERF262181 FBB262181 FKX262181 FUT262181 GEP262181 GOL262181 GYH262181 HID262181 HRZ262181 IBV262181 ILR262181 IVN262181 JFJ262181 JPF262181 JZB262181 KIX262181 KST262181 LCP262181 LML262181 LWH262181 MGD262181 MPZ262181 MZV262181 NJR262181 NTN262181 ODJ262181 ONF262181 OXB262181 PGX262181 PQT262181 QAP262181 QKL262181 QUH262181 RED262181 RNZ262181 RXV262181 SHR262181 SRN262181 TBJ262181 TLF262181 TVB262181 UEX262181 UOT262181 UYP262181 VIL262181 VSH262181 WCD262181 WLZ262181 WVV262181 N327717 JJ327717 TF327717 ADB327717 AMX327717 AWT327717 BGP327717 BQL327717 CAH327717 CKD327717 CTZ327717 DDV327717 DNR327717 DXN327717 EHJ327717 ERF327717 FBB327717 FKX327717 FUT327717 GEP327717 GOL327717 GYH327717 HID327717 HRZ327717 IBV327717 ILR327717 IVN327717 JFJ327717 JPF327717 JZB327717 KIX327717 KST327717 LCP327717 LML327717 LWH327717 MGD327717 MPZ327717 MZV327717 NJR327717 NTN327717 ODJ327717 ONF327717 OXB327717 PGX327717 PQT327717 QAP327717 QKL327717 QUH327717 RED327717 RNZ327717 RXV327717 SHR327717 SRN327717 TBJ327717 TLF327717 TVB327717 UEX327717 UOT327717 UYP327717 VIL327717 VSH327717 WCD327717 WLZ327717 WVV327717 N393253 JJ393253 TF393253 ADB393253 AMX393253 AWT393253 BGP393253 BQL393253 CAH393253 CKD393253 CTZ393253 DDV393253 DNR393253 DXN393253 EHJ393253 ERF393253 FBB393253 FKX393253 FUT393253 GEP393253 GOL393253 GYH393253 HID393253 HRZ393253 IBV393253 ILR393253 IVN393253 JFJ393253 JPF393253 JZB393253 KIX393253 KST393253 LCP393253 LML393253 LWH393253 MGD393253 MPZ393253 MZV393253 NJR393253 NTN393253 ODJ393253 ONF393253 OXB393253 PGX393253 PQT393253 QAP393253 QKL393253 QUH393253 RED393253 RNZ393253 RXV393253 SHR393253 SRN393253 TBJ393253 TLF393253 TVB393253 UEX393253 UOT393253 UYP393253 VIL393253 VSH393253 WCD393253 WLZ393253 WVV393253 N458789 JJ458789 TF458789 ADB458789 AMX458789 AWT458789 BGP458789 BQL458789 CAH458789 CKD458789 CTZ458789 DDV458789 DNR458789 DXN458789 EHJ458789 ERF458789 FBB458789 FKX458789 FUT458789 GEP458789 GOL458789 GYH458789 HID458789 HRZ458789 IBV458789 ILR458789 IVN458789 JFJ458789 JPF458789 JZB458789 KIX458789 KST458789 LCP458789 LML458789 LWH458789 MGD458789 MPZ458789 MZV458789 NJR458789 NTN458789 ODJ458789 ONF458789 OXB458789 PGX458789 PQT458789 QAP458789 QKL458789 QUH458789 RED458789 RNZ458789 RXV458789 SHR458789 SRN458789 TBJ458789 TLF458789 TVB458789 UEX458789 UOT458789 UYP458789 VIL458789 VSH458789 WCD458789 WLZ458789 WVV458789 N524325 JJ524325 TF524325 ADB524325 AMX524325 AWT524325 BGP524325 BQL524325 CAH524325 CKD524325 CTZ524325 DDV524325 DNR524325 DXN524325 EHJ524325 ERF524325 FBB524325 FKX524325 FUT524325 GEP524325 GOL524325 GYH524325 HID524325 HRZ524325 IBV524325 ILR524325 IVN524325 JFJ524325 JPF524325 JZB524325 KIX524325 KST524325 LCP524325 LML524325 LWH524325 MGD524325 MPZ524325 MZV524325 NJR524325 NTN524325 ODJ524325 ONF524325 OXB524325 PGX524325 PQT524325 QAP524325 QKL524325 QUH524325 RED524325 RNZ524325 RXV524325 SHR524325 SRN524325 TBJ524325 TLF524325 TVB524325 UEX524325 UOT524325 UYP524325 VIL524325 VSH524325 WCD524325 WLZ524325 WVV524325 N589861 JJ589861 TF589861 ADB589861 AMX589861 AWT589861 BGP589861 BQL589861 CAH589861 CKD589861 CTZ589861 DDV589861 DNR589861 DXN589861 EHJ589861 ERF589861 FBB589861 FKX589861 FUT589861 GEP589861 GOL589861 GYH589861 HID589861 HRZ589861 IBV589861 ILR589861 IVN589861 JFJ589861 JPF589861 JZB589861 KIX589861 KST589861 LCP589861 LML589861 LWH589861 MGD589861 MPZ589861 MZV589861 NJR589861 NTN589861 ODJ589861 ONF589861 OXB589861 PGX589861 PQT589861 QAP589861 QKL589861 QUH589861 RED589861 RNZ589861 RXV589861 SHR589861 SRN589861 TBJ589861 TLF589861 TVB589861 UEX589861 UOT589861 UYP589861 VIL589861 VSH589861 WCD589861 WLZ589861 WVV589861 N655397 JJ655397 TF655397 ADB655397 AMX655397 AWT655397 BGP655397 BQL655397 CAH655397 CKD655397 CTZ655397 DDV655397 DNR655397 DXN655397 EHJ655397 ERF655397 FBB655397 FKX655397 FUT655397 GEP655397 GOL655397 GYH655397 HID655397 HRZ655397 IBV655397 ILR655397 IVN655397 JFJ655397 JPF655397 JZB655397 KIX655397 KST655397 LCP655397 LML655397 LWH655397 MGD655397 MPZ655397 MZV655397 NJR655397 NTN655397 ODJ655397 ONF655397 OXB655397 PGX655397 PQT655397 QAP655397 QKL655397 QUH655397 RED655397 RNZ655397 RXV655397 SHR655397 SRN655397 TBJ655397 TLF655397 TVB655397 UEX655397 UOT655397 UYP655397 VIL655397 VSH655397 WCD655397 WLZ655397 WVV655397 N720933 JJ720933 TF720933 ADB720933 AMX720933 AWT720933 BGP720933 BQL720933 CAH720933 CKD720933 CTZ720933 DDV720933 DNR720933 DXN720933 EHJ720933 ERF720933 FBB720933 FKX720933 FUT720933 GEP720933 GOL720933 GYH720933 HID720933 HRZ720933 IBV720933 ILR720933 IVN720933 JFJ720933 JPF720933 JZB720933 KIX720933 KST720933 LCP720933 LML720933 LWH720933 MGD720933 MPZ720933 MZV720933 NJR720933 NTN720933 ODJ720933 ONF720933 OXB720933 PGX720933 PQT720933 QAP720933 QKL720933 QUH720933 RED720933 RNZ720933 RXV720933 SHR720933 SRN720933 TBJ720933 TLF720933 TVB720933 UEX720933 UOT720933 UYP720933 VIL720933 VSH720933 WCD720933 WLZ720933 WVV720933 N786469 JJ786469 TF786469 ADB786469 AMX786469 AWT786469 BGP786469 BQL786469 CAH786469 CKD786469 CTZ786469 DDV786469 DNR786469 DXN786469 EHJ786469 ERF786469 FBB786469 FKX786469 FUT786469 GEP786469 GOL786469 GYH786469 HID786469 HRZ786469 IBV786469 ILR786469 IVN786469 JFJ786469 JPF786469 JZB786469 KIX786469 KST786469 LCP786469 LML786469 LWH786469 MGD786469 MPZ786469 MZV786469 NJR786469 NTN786469 ODJ786469 ONF786469 OXB786469 PGX786469 PQT786469 QAP786469 QKL786469 QUH786469 RED786469 RNZ786469 RXV786469 SHR786469 SRN786469 TBJ786469 TLF786469 TVB786469 UEX786469 UOT786469 UYP786469 VIL786469 VSH786469 WCD786469 WLZ786469 WVV786469 N852005 JJ852005 TF852005 ADB852005 AMX852005 AWT852005 BGP852005 BQL852005 CAH852005 CKD852005 CTZ852005 DDV852005 DNR852005 DXN852005 EHJ852005 ERF852005 FBB852005 FKX852005 FUT852005 GEP852005 GOL852005 GYH852005 HID852005 HRZ852005 IBV852005 ILR852005 IVN852005 JFJ852005 JPF852005 JZB852005 KIX852005 KST852005 LCP852005 LML852005 LWH852005 MGD852005 MPZ852005 MZV852005 NJR852005 NTN852005 ODJ852005 ONF852005 OXB852005 PGX852005 PQT852005 QAP852005 QKL852005 QUH852005 RED852005 RNZ852005 RXV852005 SHR852005 SRN852005 TBJ852005 TLF852005 TVB852005 UEX852005 UOT852005 UYP852005 VIL852005 VSH852005 WCD852005 WLZ852005 WVV852005 N917541 JJ917541 TF917541 ADB917541 AMX917541 AWT917541 BGP917541 BQL917541 CAH917541 CKD917541 CTZ917541 DDV917541 DNR917541 DXN917541 EHJ917541 ERF917541 FBB917541 FKX917541 FUT917541 GEP917541 GOL917541 GYH917541 HID917541 HRZ917541 IBV917541 ILR917541 IVN917541 JFJ917541 JPF917541 JZB917541 KIX917541 KST917541 LCP917541 LML917541 LWH917541 MGD917541 MPZ917541 MZV917541 NJR917541 NTN917541 ODJ917541 ONF917541 OXB917541 PGX917541 PQT917541 QAP917541 QKL917541 QUH917541 RED917541 RNZ917541 RXV917541 SHR917541 SRN917541 TBJ917541 TLF917541 TVB917541 UEX917541 UOT917541 UYP917541 VIL917541 VSH917541 WCD917541 WLZ917541 WVV917541 N983077 JJ983077 TF983077 ADB983077 AMX983077 AWT983077 BGP983077 BQL983077 CAH983077 CKD983077 CTZ983077 DDV983077 DNR983077 DXN983077 EHJ983077 ERF983077 FBB983077 FKX983077 FUT983077 GEP983077 GOL983077 GYH983077 HID983077 HRZ983077 IBV983077 ILR983077 IVN983077 JFJ983077 JPF983077 JZB983077 KIX983077 KST983077 LCP983077 LML983077 LWH983077 MGD983077 MPZ983077 MZV983077 NJR983077 NTN983077 ODJ983077 ONF983077 OXB983077 PGX983077 PQT983077 QAP983077 QKL983077 QUH983077 RED983077 RNZ983077 RXV983077 SHR983077 SRN983077 TBJ983077 TLF983077 TVB983077 UEX983077 UOT983077 UYP983077 VIL983077 VSH983077 WCD983077 WLZ983077 WVV983077 N21:N29 JJ21:JJ29 TF21:TF29 ADB21:ADB29 AMX21:AMX29 AWT21:AWT29 BGP21:BGP29 BQL21:BQL29 CAH21:CAH29 CKD21:CKD29 CTZ21:CTZ29 DDV21:DDV29 DNR21:DNR29 DXN21:DXN29 EHJ21:EHJ29 ERF21:ERF29 FBB21:FBB29 FKX21:FKX29 FUT21:FUT29 GEP21:GEP29 GOL21:GOL29 GYH21:GYH29 HID21:HID29 HRZ21:HRZ29 IBV21:IBV29 ILR21:ILR29 IVN21:IVN29 JFJ21:JFJ29 JPF21:JPF29 JZB21:JZB29 KIX21:KIX29 KST21:KST29 LCP21:LCP29 LML21:LML29 LWH21:LWH29 MGD21:MGD29 MPZ21:MPZ29 MZV21:MZV29 NJR21:NJR29 NTN21:NTN29 ODJ21:ODJ29 ONF21:ONF29 OXB21:OXB29 PGX21:PGX29 PQT21:PQT29 QAP21:QAP29 QKL21:QKL29 QUH21:QUH29 RED21:RED29 RNZ21:RNZ29 RXV21:RXV29 SHR21:SHR29 SRN21:SRN29 TBJ21:TBJ29 TLF21:TLF29 TVB21:TVB29 UEX21:UEX29 UOT21:UOT29 UYP21:UYP29 VIL21:VIL29 VSH21:VSH29 WCD21:WCD29 WLZ21:WLZ29 WVV21:WVV29 N65557:N65565 JJ65557:JJ65565 TF65557:TF65565 ADB65557:ADB65565 AMX65557:AMX65565 AWT65557:AWT65565 BGP65557:BGP65565 BQL65557:BQL65565 CAH65557:CAH65565 CKD65557:CKD65565 CTZ65557:CTZ65565 DDV65557:DDV65565 DNR65557:DNR65565 DXN65557:DXN65565 EHJ65557:EHJ65565 ERF65557:ERF65565 FBB65557:FBB65565 FKX65557:FKX65565 FUT65557:FUT65565 GEP65557:GEP65565 GOL65557:GOL65565 GYH65557:GYH65565 HID65557:HID65565 HRZ65557:HRZ65565 IBV65557:IBV65565 ILR65557:ILR65565 IVN65557:IVN65565 JFJ65557:JFJ65565 JPF65557:JPF65565 JZB65557:JZB65565 KIX65557:KIX65565 KST65557:KST65565 LCP65557:LCP65565 LML65557:LML65565 LWH65557:LWH65565 MGD65557:MGD65565 MPZ65557:MPZ65565 MZV65557:MZV65565 NJR65557:NJR65565 NTN65557:NTN65565 ODJ65557:ODJ65565 ONF65557:ONF65565 OXB65557:OXB65565 PGX65557:PGX65565 PQT65557:PQT65565 QAP65557:QAP65565 QKL65557:QKL65565 QUH65557:QUH65565 RED65557:RED65565 RNZ65557:RNZ65565 RXV65557:RXV65565 SHR65557:SHR65565 SRN65557:SRN65565 TBJ65557:TBJ65565 TLF65557:TLF65565 TVB65557:TVB65565 UEX65557:UEX65565 UOT65557:UOT65565 UYP65557:UYP65565 VIL65557:VIL65565 VSH65557:VSH65565 WCD65557:WCD65565 WLZ65557:WLZ65565 WVV65557:WVV65565 N131093:N131101 JJ131093:JJ131101 TF131093:TF131101 ADB131093:ADB131101 AMX131093:AMX131101 AWT131093:AWT131101 BGP131093:BGP131101 BQL131093:BQL131101 CAH131093:CAH131101 CKD131093:CKD131101 CTZ131093:CTZ131101 DDV131093:DDV131101 DNR131093:DNR131101 DXN131093:DXN131101 EHJ131093:EHJ131101 ERF131093:ERF131101 FBB131093:FBB131101 FKX131093:FKX131101 FUT131093:FUT131101 GEP131093:GEP131101 GOL131093:GOL131101 GYH131093:GYH131101 HID131093:HID131101 HRZ131093:HRZ131101 IBV131093:IBV131101 ILR131093:ILR131101 IVN131093:IVN131101 JFJ131093:JFJ131101 JPF131093:JPF131101 JZB131093:JZB131101 KIX131093:KIX131101 KST131093:KST131101 LCP131093:LCP131101 LML131093:LML131101 LWH131093:LWH131101 MGD131093:MGD131101 MPZ131093:MPZ131101 MZV131093:MZV131101 NJR131093:NJR131101 NTN131093:NTN131101 ODJ131093:ODJ131101 ONF131093:ONF131101 OXB131093:OXB131101 PGX131093:PGX131101 PQT131093:PQT131101 QAP131093:QAP131101 QKL131093:QKL131101 QUH131093:QUH131101 RED131093:RED131101 RNZ131093:RNZ131101 RXV131093:RXV131101 SHR131093:SHR131101 SRN131093:SRN131101 TBJ131093:TBJ131101 TLF131093:TLF131101 TVB131093:TVB131101 UEX131093:UEX131101 UOT131093:UOT131101 UYP131093:UYP131101 VIL131093:VIL131101 VSH131093:VSH131101 WCD131093:WCD131101 WLZ131093:WLZ131101 WVV131093:WVV131101 N196629:N196637 JJ196629:JJ196637 TF196629:TF196637 ADB196629:ADB196637 AMX196629:AMX196637 AWT196629:AWT196637 BGP196629:BGP196637 BQL196629:BQL196637 CAH196629:CAH196637 CKD196629:CKD196637 CTZ196629:CTZ196637 DDV196629:DDV196637 DNR196629:DNR196637 DXN196629:DXN196637 EHJ196629:EHJ196637 ERF196629:ERF196637 FBB196629:FBB196637 FKX196629:FKX196637 FUT196629:FUT196637 GEP196629:GEP196637 GOL196629:GOL196637 GYH196629:GYH196637 HID196629:HID196637 HRZ196629:HRZ196637 IBV196629:IBV196637 ILR196629:ILR196637 IVN196629:IVN196637 JFJ196629:JFJ196637 JPF196629:JPF196637 JZB196629:JZB196637 KIX196629:KIX196637 KST196629:KST196637 LCP196629:LCP196637 LML196629:LML196637 LWH196629:LWH196637 MGD196629:MGD196637 MPZ196629:MPZ196637 MZV196629:MZV196637 NJR196629:NJR196637 NTN196629:NTN196637 ODJ196629:ODJ196637 ONF196629:ONF196637 OXB196629:OXB196637 PGX196629:PGX196637 PQT196629:PQT196637 QAP196629:QAP196637 QKL196629:QKL196637 QUH196629:QUH196637 RED196629:RED196637 RNZ196629:RNZ196637 RXV196629:RXV196637 SHR196629:SHR196637 SRN196629:SRN196637 TBJ196629:TBJ196637 TLF196629:TLF196637 TVB196629:TVB196637 UEX196629:UEX196637 UOT196629:UOT196637 UYP196629:UYP196637 VIL196629:VIL196637 VSH196629:VSH196637 WCD196629:WCD196637 WLZ196629:WLZ196637 WVV196629:WVV196637 N262165:N262173 JJ262165:JJ262173 TF262165:TF262173 ADB262165:ADB262173 AMX262165:AMX262173 AWT262165:AWT262173 BGP262165:BGP262173 BQL262165:BQL262173 CAH262165:CAH262173 CKD262165:CKD262173 CTZ262165:CTZ262173 DDV262165:DDV262173 DNR262165:DNR262173 DXN262165:DXN262173 EHJ262165:EHJ262173 ERF262165:ERF262173 FBB262165:FBB262173 FKX262165:FKX262173 FUT262165:FUT262173 GEP262165:GEP262173 GOL262165:GOL262173 GYH262165:GYH262173 HID262165:HID262173 HRZ262165:HRZ262173 IBV262165:IBV262173 ILR262165:ILR262173 IVN262165:IVN262173 JFJ262165:JFJ262173 JPF262165:JPF262173 JZB262165:JZB262173 KIX262165:KIX262173 KST262165:KST262173 LCP262165:LCP262173 LML262165:LML262173 LWH262165:LWH262173 MGD262165:MGD262173 MPZ262165:MPZ262173 MZV262165:MZV262173 NJR262165:NJR262173 NTN262165:NTN262173 ODJ262165:ODJ262173 ONF262165:ONF262173 OXB262165:OXB262173 PGX262165:PGX262173 PQT262165:PQT262173 QAP262165:QAP262173 QKL262165:QKL262173 QUH262165:QUH262173 RED262165:RED262173 RNZ262165:RNZ262173 RXV262165:RXV262173 SHR262165:SHR262173 SRN262165:SRN262173 TBJ262165:TBJ262173 TLF262165:TLF262173 TVB262165:TVB262173 UEX262165:UEX262173 UOT262165:UOT262173 UYP262165:UYP262173 VIL262165:VIL262173 VSH262165:VSH262173 WCD262165:WCD262173 WLZ262165:WLZ262173 WVV262165:WVV262173 N327701:N327709 JJ327701:JJ327709 TF327701:TF327709 ADB327701:ADB327709 AMX327701:AMX327709 AWT327701:AWT327709 BGP327701:BGP327709 BQL327701:BQL327709 CAH327701:CAH327709 CKD327701:CKD327709 CTZ327701:CTZ327709 DDV327701:DDV327709 DNR327701:DNR327709 DXN327701:DXN327709 EHJ327701:EHJ327709 ERF327701:ERF327709 FBB327701:FBB327709 FKX327701:FKX327709 FUT327701:FUT327709 GEP327701:GEP327709 GOL327701:GOL327709 GYH327701:GYH327709 HID327701:HID327709 HRZ327701:HRZ327709 IBV327701:IBV327709 ILR327701:ILR327709 IVN327701:IVN327709 JFJ327701:JFJ327709 JPF327701:JPF327709 JZB327701:JZB327709 KIX327701:KIX327709 KST327701:KST327709 LCP327701:LCP327709 LML327701:LML327709 LWH327701:LWH327709 MGD327701:MGD327709 MPZ327701:MPZ327709 MZV327701:MZV327709 NJR327701:NJR327709 NTN327701:NTN327709 ODJ327701:ODJ327709 ONF327701:ONF327709 OXB327701:OXB327709 PGX327701:PGX327709 PQT327701:PQT327709 QAP327701:QAP327709 QKL327701:QKL327709 QUH327701:QUH327709 RED327701:RED327709 RNZ327701:RNZ327709 RXV327701:RXV327709 SHR327701:SHR327709 SRN327701:SRN327709 TBJ327701:TBJ327709 TLF327701:TLF327709 TVB327701:TVB327709 UEX327701:UEX327709 UOT327701:UOT327709 UYP327701:UYP327709 VIL327701:VIL327709 VSH327701:VSH327709 WCD327701:WCD327709 WLZ327701:WLZ327709 WVV327701:WVV327709 N393237:N393245 JJ393237:JJ393245 TF393237:TF393245 ADB393237:ADB393245 AMX393237:AMX393245 AWT393237:AWT393245 BGP393237:BGP393245 BQL393237:BQL393245 CAH393237:CAH393245 CKD393237:CKD393245 CTZ393237:CTZ393245 DDV393237:DDV393245 DNR393237:DNR393245 DXN393237:DXN393245 EHJ393237:EHJ393245 ERF393237:ERF393245 FBB393237:FBB393245 FKX393237:FKX393245 FUT393237:FUT393245 GEP393237:GEP393245 GOL393237:GOL393245 GYH393237:GYH393245 HID393237:HID393245 HRZ393237:HRZ393245 IBV393237:IBV393245 ILR393237:ILR393245 IVN393237:IVN393245 JFJ393237:JFJ393245 JPF393237:JPF393245 JZB393237:JZB393245 KIX393237:KIX393245 KST393237:KST393245 LCP393237:LCP393245 LML393237:LML393245 LWH393237:LWH393245 MGD393237:MGD393245 MPZ393237:MPZ393245 MZV393237:MZV393245 NJR393237:NJR393245 NTN393237:NTN393245 ODJ393237:ODJ393245 ONF393237:ONF393245 OXB393237:OXB393245 PGX393237:PGX393245 PQT393237:PQT393245 QAP393237:QAP393245 QKL393237:QKL393245 QUH393237:QUH393245 RED393237:RED393245 RNZ393237:RNZ393245 RXV393237:RXV393245 SHR393237:SHR393245 SRN393237:SRN393245 TBJ393237:TBJ393245 TLF393237:TLF393245 TVB393237:TVB393245 UEX393237:UEX393245 UOT393237:UOT393245 UYP393237:UYP393245 VIL393237:VIL393245 VSH393237:VSH393245 WCD393237:WCD393245 WLZ393237:WLZ393245 WVV393237:WVV393245 N458773:N458781 JJ458773:JJ458781 TF458773:TF458781 ADB458773:ADB458781 AMX458773:AMX458781 AWT458773:AWT458781 BGP458773:BGP458781 BQL458773:BQL458781 CAH458773:CAH458781 CKD458773:CKD458781 CTZ458773:CTZ458781 DDV458773:DDV458781 DNR458773:DNR458781 DXN458773:DXN458781 EHJ458773:EHJ458781 ERF458773:ERF458781 FBB458773:FBB458781 FKX458773:FKX458781 FUT458773:FUT458781 GEP458773:GEP458781 GOL458773:GOL458781 GYH458773:GYH458781 HID458773:HID458781 HRZ458773:HRZ458781 IBV458773:IBV458781 ILR458773:ILR458781 IVN458773:IVN458781 JFJ458773:JFJ458781 JPF458773:JPF458781 JZB458773:JZB458781 KIX458773:KIX458781 KST458773:KST458781 LCP458773:LCP458781 LML458773:LML458781 LWH458773:LWH458781 MGD458773:MGD458781 MPZ458773:MPZ458781 MZV458773:MZV458781 NJR458773:NJR458781 NTN458773:NTN458781 ODJ458773:ODJ458781 ONF458773:ONF458781 OXB458773:OXB458781 PGX458773:PGX458781 PQT458773:PQT458781 QAP458773:QAP458781 QKL458773:QKL458781 QUH458773:QUH458781 RED458773:RED458781 RNZ458773:RNZ458781 RXV458773:RXV458781 SHR458773:SHR458781 SRN458773:SRN458781 TBJ458773:TBJ458781 TLF458773:TLF458781 TVB458773:TVB458781 UEX458773:UEX458781 UOT458773:UOT458781 UYP458773:UYP458781 VIL458773:VIL458781 VSH458773:VSH458781 WCD458773:WCD458781 WLZ458773:WLZ458781 WVV458773:WVV458781 N524309:N524317 JJ524309:JJ524317 TF524309:TF524317 ADB524309:ADB524317 AMX524309:AMX524317 AWT524309:AWT524317 BGP524309:BGP524317 BQL524309:BQL524317 CAH524309:CAH524317 CKD524309:CKD524317 CTZ524309:CTZ524317 DDV524309:DDV524317 DNR524309:DNR524317 DXN524309:DXN524317 EHJ524309:EHJ524317 ERF524309:ERF524317 FBB524309:FBB524317 FKX524309:FKX524317 FUT524309:FUT524317 GEP524309:GEP524317 GOL524309:GOL524317 GYH524309:GYH524317 HID524309:HID524317 HRZ524309:HRZ524317 IBV524309:IBV524317 ILR524309:ILR524317 IVN524309:IVN524317 JFJ524309:JFJ524317 JPF524309:JPF524317 JZB524309:JZB524317 KIX524309:KIX524317 KST524309:KST524317 LCP524309:LCP524317 LML524309:LML524317 LWH524309:LWH524317 MGD524309:MGD524317 MPZ524309:MPZ524317 MZV524309:MZV524317 NJR524309:NJR524317 NTN524309:NTN524317 ODJ524309:ODJ524317 ONF524309:ONF524317 OXB524309:OXB524317 PGX524309:PGX524317 PQT524309:PQT524317 QAP524309:QAP524317 QKL524309:QKL524317 QUH524309:QUH524317 RED524309:RED524317 RNZ524309:RNZ524317 RXV524309:RXV524317 SHR524309:SHR524317 SRN524309:SRN524317 TBJ524309:TBJ524317 TLF524309:TLF524317 TVB524309:TVB524317 UEX524309:UEX524317 UOT524309:UOT524317 UYP524309:UYP524317 VIL524309:VIL524317 VSH524309:VSH524317 WCD524309:WCD524317 WLZ524309:WLZ524317 WVV524309:WVV524317 N589845:N589853 JJ589845:JJ589853 TF589845:TF589853 ADB589845:ADB589853 AMX589845:AMX589853 AWT589845:AWT589853 BGP589845:BGP589853 BQL589845:BQL589853 CAH589845:CAH589853 CKD589845:CKD589853 CTZ589845:CTZ589853 DDV589845:DDV589853 DNR589845:DNR589853 DXN589845:DXN589853 EHJ589845:EHJ589853 ERF589845:ERF589853 FBB589845:FBB589853 FKX589845:FKX589853 FUT589845:FUT589853 GEP589845:GEP589853 GOL589845:GOL589853 GYH589845:GYH589853 HID589845:HID589853 HRZ589845:HRZ589853 IBV589845:IBV589853 ILR589845:ILR589853 IVN589845:IVN589853 JFJ589845:JFJ589853 JPF589845:JPF589853 JZB589845:JZB589853 KIX589845:KIX589853 KST589845:KST589853 LCP589845:LCP589853 LML589845:LML589853 LWH589845:LWH589853 MGD589845:MGD589853 MPZ589845:MPZ589853 MZV589845:MZV589853 NJR589845:NJR589853 NTN589845:NTN589853 ODJ589845:ODJ589853 ONF589845:ONF589853 OXB589845:OXB589853 PGX589845:PGX589853 PQT589845:PQT589853 QAP589845:QAP589853 QKL589845:QKL589853 QUH589845:QUH589853 RED589845:RED589853 RNZ589845:RNZ589853 RXV589845:RXV589853 SHR589845:SHR589853 SRN589845:SRN589853 TBJ589845:TBJ589853 TLF589845:TLF589853 TVB589845:TVB589853 UEX589845:UEX589853 UOT589845:UOT589853 UYP589845:UYP589853 VIL589845:VIL589853 VSH589845:VSH589853 WCD589845:WCD589853 WLZ589845:WLZ589853 WVV589845:WVV589853 N655381:N655389 JJ655381:JJ655389 TF655381:TF655389 ADB655381:ADB655389 AMX655381:AMX655389 AWT655381:AWT655389 BGP655381:BGP655389 BQL655381:BQL655389 CAH655381:CAH655389 CKD655381:CKD655389 CTZ655381:CTZ655389 DDV655381:DDV655389 DNR655381:DNR655389 DXN655381:DXN655389 EHJ655381:EHJ655389 ERF655381:ERF655389 FBB655381:FBB655389 FKX655381:FKX655389 FUT655381:FUT655389 GEP655381:GEP655389 GOL655381:GOL655389 GYH655381:GYH655389 HID655381:HID655389 HRZ655381:HRZ655389 IBV655381:IBV655389 ILR655381:ILR655389 IVN655381:IVN655389 JFJ655381:JFJ655389 JPF655381:JPF655389 JZB655381:JZB655389 KIX655381:KIX655389 KST655381:KST655389 LCP655381:LCP655389 LML655381:LML655389 LWH655381:LWH655389 MGD655381:MGD655389 MPZ655381:MPZ655389 MZV655381:MZV655389 NJR655381:NJR655389 NTN655381:NTN655389 ODJ655381:ODJ655389 ONF655381:ONF655389 OXB655381:OXB655389 PGX655381:PGX655389 PQT655381:PQT655389 QAP655381:QAP655389 QKL655381:QKL655389 QUH655381:QUH655389 RED655381:RED655389 RNZ655381:RNZ655389 RXV655381:RXV655389 SHR655381:SHR655389 SRN655381:SRN655389 TBJ655381:TBJ655389 TLF655381:TLF655389 TVB655381:TVB655389 UEX655381:UEX655389 UOT655381:UOT655389 UYP655381:UYP655389 VIL655381:VIL655389 VSH655381:VSH655389 WCD655381:WCD655389 WLZ655381:WLZ655389 WVV655381:WVV655389 N720917:N720925 JJ720917:JJ720925 TF720917:TF720925 ADB720917:ADB720925 AMX720917:AMX720925 AWT720917:AWT720925 BGP720917:BGP720925 BQL720917:BQL720925 CAH720917:CAH720925 CKD720917:CKD720925 CTZ720917:CTZ720925 DDV720917:DDV720925 DNR720917:DNR720925 DXN720917:DXN720925 EHJ720917:EHJ720925 ERF720917:ERF720925 FBB720917:FBB720925 FKX720917:FKX720925 FUT720917:FUT720925 GEP720917:GEP720925 GOL720917:GOL720925 GYH720917:GYH720925 HID720917:HID720925 HRZ720917:HRZ720925 IBV720917:IBV720925 ILR720917:ILR720925 IVN720917:IVN720925 JFJ720917:JFJ720925 JPF720917:JPF720925 JZB720917:JZB720925 KIX720917:KIX720925 KST720917:KST720925 LCP720917:LCP720925 LML720917:LML720925 LWH720917:LWH720925 MGD720917:MGD720925 MPZ720917:MPZ720925 MZV720917:MZV720925 NJR720917:NJR720925 NTN720917:NTN720925 ODJ720917:ODJ720925 ONF720917:ONF720925 OXB720917:OXB720925 PGX720917:PGX720925 PQT720917:PQT720925 QAP720917:QAP720925 QKL720917:QKL720925 QUH720917:QUH720925 RED720917:RED720925 RNZ720917:RNZ720925 RXV720917:RXV720925 SHR720917:SHR720925 SRN720917:SRN720925 TBJ720917:TBJ720925 TLF720917:TLF720925 TVB720917:TVB720925 UEX720917:UEX720925 UOT720917:UOT720925 UYP720917:UYP720925 VIL720917:VIL720925 VSH720917:VSH720925 WCD720917:WCD720925 WLZ720917:WLZ720925 WVV720917:WVV720925 N786453:N786461 JJ786453:JJ786461 TF786453:TF786461 ADB786453:ADB786461 AMX786453:AMX786461 AWT786453:AWT786461 BGP786453:BGP786461 BQL786453:BQL786461 CAH786453:CAH786461 CKD786453:CKD786461 CTZ786453:CTZ786461 DDV786453:DDV786461 DNR786453:DNR786461 DXN786453:DXN786461 EHJ786453:EHJ786461 ERF786453:ERF786461 FBB786453:FBB786461 FKX786453:FKX786461 FUT786453:FUT786461 GEP786453:GEP786461 GOL786453:GOL786461 GYH786453:GYH786461 HID786453:HID786461 HRZ786453:HRZ786461 IBV786453:IBV786461 ILR786453:ILR786461 IVN786453:IVN786461 JFJ786453:JFJ786461 JPF786453:JPF786461 JZB786453:JZB786461 KIX786453:KIX786461 KST786453:KST786461 LCP786453:LCP786461 LML786453:LML786461 LWH786453:LWH786461 MGD786453:MGD786461 MPZ786453:MPZ786461 MZV786453:MZV786461 NJR786453:NJR786461 NTN786453:NTN786461 ODJ786453:ODJ786461 ONF786453:ONF786461 OXB786453:OXB786461 PGX786453:PGX786461 PQT786453:PQT786461 QAP786453:QAP786461 QKL786453:QKL786461 QUH786453:QUH786461 RED786453:RED786461 RNZ786453:RNZ786461 RXV786453:RXV786461 SHR786453:SHR786461 SRN786453:SRN786461 TBJ786453:TBJ786461 TLF786453:TLF786461 TVB786453:TVB786461 UEX786453:UEX786461 UOT786453:UOT786461 UYP786453:UYP786461 VIL786453:VIL786461 VSH786453:VSH786461 WCD786453:WCD786461 WLZ786453:WLZ786461 WVV786453:WVV786461 N851989:N851997 JJ851989:JJ851997 TF851989:TF851997 ADB851989:ADB851997 AMX851989:AMX851997 AWT851989:AWT851997 BGP851989:BGP851997 BQL851989:BQL851997 CAH851989:CAH851997 CKD851989:CKD851997 CTZ851989:CTZ851997 DDV851989:DDV851997 DNR851989:DNR851997 DXN851989:DXN851997 EHJ851989:EHJ851997 ERF851989:ERF851997 FBB851989:FBB851997 FKX851989:FKX851997 FUT851989:FUT851997 GEP851989:GEP851997 GOL851989:GOL851997 GYH851989:GYH851997 HID851989:HID851997 HRZ851989:HRZ851997 IBV851989:IBV851997 ILR851989:ILR851997 IVN851989:IVN851997 JFJ851989:JFJ851997 JPF851989:JPF851997 JZB851989:JZB851997 KIX851989:KIX851997 KST851989:KST851997 LCP851989:LCP851997 LML851989:LML851997 LWH851989:LWH851997 MGD851989:MGD851997 MPZ851989:MPZ851997 MZV851989:MZV851997 NJR851989:NJR851997 NTN851989:NTN851997 ODJ851989:ODJ851997 ONF851989:ONF851997 OXB851989:OXB851997 PGX851989:PGX851997 PQT851989:PQT851997 QAP851989:QAP851997 QKL851989:QKL851997 QUH851989:QUH851997 RED851989:RED851997 RNZ851989:RNZ851997 RXV851989:RXV851997 SHR851989:SHR851997 SRN851989:SRN851997 TBJ851989:TBJ851997 TLF851989:TLF851997 TVB851989:TVB851997 UEX851989:UEX851997 UOT851989:UOT851997 UYP851989:UYP851997 VIL851989:VIL851997 VSH851989:VSH851997 WCD851989:WCD851997 WLZ851989:WLZ851997 WVV851989:WVV851997 N917525:N917533 JJ917525:JJ917533 TF917525:TF917533 ADB917525:ADB917533 AMX917525:AMX917533 AWT917525:AWT917533 BGP917525:BGP917533 BQL917525:BQL917533 CAH917525:CAH917533 CKD917525:CKD917533 CTZ917525:CTZ917533 DDV917525:DDV917533 DNR917525:DNR917533 DXN917525:DXN917533 EHJ917525:EHJ917533 ERF917525:ERF917533 FBB917525:FBB917533 FKX917525:FKX917533 FUT917525:FUT917533 GEP917525:GEP917533 GOL917525:GOL917533 GYH917525:GYH917533 HID917525:HID917533 HRZ917525:HRZ917533 IBV917525:IBV917533 ILR917525:ILR917533 IVN917525:IVN917533 JFJ917525:JFJ917533 JPF917525:JPF917533 JZB917525:JZB917533 KIX917525:KIX917533 KST917525:KST917533 LCP917525:LCP917533 LML917525:LML917533 LWH917525:LWH917533 MGD917525:MGD917533 MPZ917525:MPZ917533 MZV917525:MZV917533 NJR917525:NJR917533 NTN917525:NTN917533 ODJ917525:ODJ917533 ONF917525:ONF917533 OXB917525:OXB917533 PGX917525:PGX917533 PQT917525:PQT917533 QAP917525:QAP917533 QKL917525:QKL917533 QUH917525:QUH917533 RED917525:RED917533 RNZ917525:RNZ917533 RXV917525:RXV917533 SHR917525:SHR917533 SRN917525:SRN917533 TBJ917525:TBJ917533 TLF917525:TLF917533 TVB917525:TVB917533 UEX917525:UEX917533 UOT917525:UOT917533 UYP917525:UYP917533 VIL917525:VIL917533 VSH917525:VSH917533 WCD917525:WCD917533 WLZ917525:WLZ917533 WVV917525:WVV917533 N983061:N983069 JJ983061:JJ983069 TF983061:TF983069 ADB983061:ADB983069 AMX983061:AMX983069 AWT983061:AWT983069 BGP983061:BGP983069 BQL983061:BQL983069 CAH983061:CAH983069 CKD983061:CKD983069 CTZ983061:CTZ983069 DDV983061:DDV983069 DNR983061:DNR983069 DXN983061:DXN983069 EHJ983061:EHJ983069 ERF983061:ERF983069 FBB983061:FBB983069 FKX983061:FKX983069 FUT983061:FUT983069 GEP983061:GEP983069 GOL983061:GOL983069 GYH983061:GYH983069 HID983061:HID983069 HRZ983061:HRZ983069 IBV983061:IBV983069 ILR983061:ILR983069 IVN983061:IVN983069 JFJ983061:JFJ983069 JPF983061:JPF983069 JZB983061:JZB983069 KIX983061:KIX983069 KST983061:KST983069 LCP983061:LCP983069 LML983061:LML983069 LWH983061:LWH983069 MGD983061:MGD983069 MPZ983061:MPZ983069 MZV983061:MZV983069 NJR983061:NJR983069 NTN983061:NTN983069 ODJ983061:ODJ983069 ONF983061:ONF983069 OXB983061:OXB983069 PGX983061:PGX983069 PQT983061:PQT983069 QAP983061:QAP983069 QKL983061:QKL983069 QUH983061:QUH983069 RED983061:RED983069 RNZ983061:RNZ983069 RXV983061:RXV983069 SHR983061:SHR983069 SRN983061:SRN983069 TBJ983061:TBJ983069 TLF983061:TLF983069 TVB983061:TVB983069 UEX983061:UEX983069 UOT983061:UOT983069 UYP983061:UYP983069 VIL983061:VIL983069 VSH983061:VSH983069 WCD983061:WCD983069 WLZ983061:WLZ983069 WVV983061:WVV983069 N31:N35 JJ31:JJ35 TF31:TF35 ADB31:ADB35 AMX31:AMX35 AWT31:AWT35 BGP31:BGP35 BQL31:BQL35 CAH31:CAH35 CKD31:CKD35 CTZ31:CTZ35 DDV31:DDV35 DNR31:DNR35 DXN31:DXN35 EHJ31:EHJ35 ERF31:ERF35 FBB31:FBB35 FKX31:FKX35 FUT31:FUT35 GEP31:GEP35 GOL31:GOL35 GYH31:GYH35 HID31:HID35 HRZ31:HRZ35 IBV31:IBV35 ILR31:ILR35 IVN31:IVN35 JFJ31:JFJ35 JPF31:JPF35 JZB31:JZB35 KIX31:KIX35 KST31:KST35 LCP31:LCP35 LML31:LML35 LWH31:LWH35 MGD31:MGD35 MPZ31:MPZ35 MZV31:MZV35 NJR31:NJR35 NTN31:NTN35 ODJ31:ODJ35 ONF31:ONF35 OXB31:OXB35 PGX31:PGX35 PQT31:PQT35 QAP31:QAP35 QKL31:QKL35 QUH31:QUH35 RED31:RED35 RNZ31:RNZ35 RXV31:RXV35 SHR31:SHR35 SRN31:SRN35 TBJ31:TBJ35 TLF31:TLF35 TVB31:TVB35 UEX31:UEX35 UOT31:UOT35 UYP31:UYP35 VIL31:VIL35 VSH31:VSH35 WCD31:WCD35 WLZ31:WLZ35 WVV31:WVV35 N65567:N65571 JJ65567:JJ65571 TF65567:TF65571 ADB65567:ADB65571 AMX65567:AMX65571 AWT65567:AWT65571 BGP65567:BGP65571 BQL65567:BQL65571 CAH65567:CAH65571 CKD65567:CKD65571 CTZ65567:CTZ65571 DDV65567:DDV65571 DNR65567:DNR65571 DXN65567:DXN65571 EHJ65567:EHJ65571 ERF65567:ERF65571 FBB65567:FBB65571 FKX65567:FKX65571 FUT65567:FUT65571 GEP65567:GEP65571 GOL65567:GOL65571 GYH65567:GYH65571 HID65567:HID65571 HRZ65567:HRZ65571 IBV65567:IBV65571 ILR65567:ILR65571 IVN65567:IVN65571 JFJ65567:JFJ65571 JPF65567:JPF65571 JZB65567:JZB65571 KIX65567:KIX65571 KST65567:KST65571 LCP65567:LCP65571 LML65567:LML65571 LWH65567:LWH65571 MGD65567:MGD65571 MPZ65567:MPZ65571 MZV65567:MZV65571 NJR65567:NJR65571 NTN65567:NTN65571 ODJ65567:ODJ65571 ONF65567:ONF65571 OXB65567:OXB65571 PGX65567:PGX65571 PQT65567:PQT65571 QAP65567:QAP65571 QKL65567:QKL65571 QUH65567:QUH65571 RED65567:RED65571 RNZ65567:RNZ65571 RXV65567:RXV65571 SHR65567:SHR65571 SRN65567:SRN65571 TBJ65567:TBJ65571 TLF65567:TLF65571 TVB65567:TVB65571 UEX65567:UEX65571 UOT65567:UOT65571 UYP65567:UYP65571 VIL65567:VIL65571 VSH65567:VSH65571 WCD65567:WCD65571 WLZ65567:WLZ65571 WVV65567:WVV65571 N131103:N131107 JJ131103:JJ131107 TF131103:TF131107 ADB131103:ADB131107 AMX131103:AMX131107 AWT131103:AWT131107 BGP131103:BGP131107 BQL131103:BQL131107 CAH131103:CAH131107 CKD131103:CKD131107 CTZ131103:CTZ131107 DDV131103:DDV131107 DNR131103:DNR131107 DXN131103:DXN131107 EHJ131103:EHJ131107 ERF131103:ERF131107 FBB131103:FBB131107 FKX131103:FKX131107 FUT131103:FUT131107 GEP131103:GEP131107 GOL131103:GOL131107 GYH131103:GYH131107 HID131103:HID131107 HRZ131103:HRZ131107 IBV131103:IBV131107 ILR131103:ILR131107 IVN131103:IVN131107 JFJ131103:JFJ131107 JPF131103:JPF131107 JZB131103:JZB131107 KIX131103:KIX131107 KST131103:KST131107 LCP131103:LCP131107 LML131103:LML131107 LWH131103:LWH131107 MGD131103:MGD131107 MPZ131103:MPZ131107 MZV131103:MZV131107 NJR131103:NJR131107 NTN131103:NTN131107 ODJ131103:ODJ131107 ONF131103:ONF131107 OXB131103:OXB131107 PGX131103:PGX131107 PQT131103:PQT131107 QAP131103:QAP131107 QKL131103:QKL131107 QUH131103:QUH131107 RED131103:RED131107 RNZ131103:RNZ131107 RXV131103:RXV131107 SHR131103:SHR131107 SRN131103:SRN131107 TBJ131103:TBJ131107 TLF131103:TLF131107 TVB131103:TVB131107 UEX131103:UEX131107 UOT131103:UOT131107 UYP131103:UYP131107 VIL131103:VIL131107 VSH131103:VSH131107 WCD131103:WCD131107 WLZ131103:WLZ131107 WVV131103:WVV131107 N196639:N196643 JJ196639:JJ196643 TF196639:TF196643 ADB196639:ADB196643 AMX196639:AMX196643 AWT196639:AWT196643 BGP196639:BGP196643 BQL196639:BQL196643 CAH196639:CAH196643 CKD196639:CKD196643 CTZ196639:CTZ196643 DDV196639:DDV196643 DNR196639:DNR196643 DXN196639:DXN196643 EHJ196639:EHJ196643 ERF196639:ERF196643 FBB196639:FBB196643 FKX196639:FKX196643 FUT196639:FUT196643 GEP196639:GEP196643 GOL196639:GOL196643 GYH196639:GYH196643 HID196639:HID196643 HRZ196639:HRZ196643 IBV196639:IBV196643 ILR196639:ILR196643 IVN196639:IVN196643 JFJ196639:JFJ196643 JPF196639:JPF196643 JZB196639:JZB196643 KIX196639:KIX196643 KST196639:KST196643 LCP196639:LCP196643 LML196639:LML196643 LWH196639:LWH196643 MGD196639:MGD196643 MPZ196639:MPZ196643 MZV196639:MZV196643 NJR196639:NJR196643 NTN196639:NTN196643 ODJ196639:ODJ196643 ONF196639:ONF196643 OXB196639:OXB196643 PGX196639:PGX196643 PQT196639:PQT196643 QAP196639:QAP196643 QKL196639:QKL196643 QUH196639:QUH196643 RED196639:RED196643 RNZ196639:RNZ196643 RXV196639:RXV196643 SHR196639:SHR196643 SRN196639:SRN196643 TBJ196639:TBJ196643 TLF196639:TLF196643 TVB196639:TVB196643 UEX196639:UEX196643 UOT196639:UOT196643 UYP196639:UYP196643 VIL196639:VIL196643 VSH196639:VSH196643 WCD196639:WCD196643 WLZ196639:WLZ196643 WVV196639:WVV196643 N262175:N262179 JJ262175:JJ262179 TF262175:TF262179 ADB262175:ADB262179 AMX262175:AMX262179 AWT262175:AWT262179 BGP262175:BGP262179 BQL262175:BQL262179 CAH262175:CAH262179 CKD262175:CKD262179 CTZ262175:CTZ262179 DDV262175:DDV262179 DNR262175:DNR262179 DXN262175:DXN262179 EHJ262175:EHJ262179 ERF262175:ERF262179 FBB262175:FBB262179 FKX262175:FKX262179 FUT262175:FUT262179 GEP262175:GEP262179 GOL262175:GOL262179 GYH262175:GYH262179 HID262175:HID262179 HRZ262175:HRZ262179 IBV262175:IBV262179 ILR262175:ILR262179 IVN262175:IVN262179 JFJ262175:JFJ262179 JPF262175:JPF262179 JZB262175:JZB262179 KIX262175:KIX262179 KST262175:KST262179 LCP262175:LCP262179 LML262175:LML262179 LWH262175:LWH262179 MGD262175:MGD262179 MPZ262175:MPZ262179 MZV262175:MZV262179 NJR262175:NJR262179 NTN262175:NTN262179 ODJ262175:ODJ262179 ONF262175:ONF262179 OXB262175:OXB262179 PGX262175:PGX262179 PQT262175:PQT262179 QAP262175:QAP262179 QKL262175:QKL262179 QUH262175:QUH262179 RED262175:RED262179 RNZ262175:RNZ262179 RXV262175:RXV262179 SHR262175:SHR262179 SRN262175:SRN262179 TBJ262175:TBJ262179 TLF262175:TLF262179 TVB262175:TVB262179 UEX262175:UEX262179 UOT262175:UOT262179 UYP262175:UYP262179 VIL262175:VIL262179 VSH262175:VSH262179 WCD262175:WCD262179 WLZ262175:WLZ262179 WVV262175:WVV262179 N327711:N327715 JJ327711:JJ327715 TF327711:TF327715 ADB327711:ADB327715 AMX327711:AMX327715 AWT327711:AWT327715 BGP327711:BGP327715 BQL327711:BQL327715 CAH327711:CAH327715 CKD327711:CKD327715 CTZ327711:CTZ327715 DDV327711:DDV327715 DNR327711:DNR327715 DXN327711:DXN327715 EHJ327711:EHJ327715 ERF327711:ERF327715 FBB327711:FBB327715 FKX327711:FKX327715 FUT327711:FUT327715 GEP327711:GEP327715 GOL327711:GOL327715 GYH327711:GYH327715 HID327711:HID327715 HRZ327711:HRZ327715 IBV327711:IBV327715 ILR327711:ILR327715 IVN327711:IVN327715 JFJ327711:JFJ327715 JPF327711:JPF327715 JZB327711:JZB327715 KIX327711:KIX327715 KST327711:KST327715 LCP327711:LCP327715 LML327711:LML327715 LWH327711:LWH327715 MGD327711:MGD327715 MPZ327711:MPZ327715 MZV327711:MZV327715 NJR327711:NJR327715 NTN327711:NTN327715 ODJ327711:ODJ327715 ONF327711:ONF327715 OXB327711:OXB327715 PGX327711:PGX327715 PQT327711:PQT327715 QAP327711:QAP327715 QKL327711:QKL327715 QUH327711:QUH327715 RED327711:RED327715 RNZ327711:RNZ327715 RXV327711:RXV327715 SHR327711:SHR327715 SRN327711:SRN327715 TBJ327711:TBJ327715 TLF327711:TLF327715 TVB327711:TVB327715 UEX327711:UEX327715 UOT327711:UOT327715 UYP327711:UYP327715 VIL327711:VIL327715 VSH327711:VSH327715 WCD327711:WCD327715 WLZ327711:WLZ327715 WVV327711:WVV327715 N393247:N393251 JJ393247:JJ393251 TF393247:TF393251 ADB393247:ADB393251 AMX393247:AMX393251 AWT393247:AWT393251 BGP393247:BGP393251 BQL393247:BQL393251 CAH393247:CAH393251 CKD393247:CKD393251 CTZ393247:CTZ393251 DDV393247:DDV393251 DNR393247:DNR393251 DXN393247:DXN393251 EHJ393247:EHJ393251 ERF393247:ERF393251 FBB393247:FBB393251 FKX393247:FKX393251 FUT393247:FUT393251 GEP393247:GEP393251 GOL393247:GOL393251 GYH393247:GYH393251 HID393247:HID393251 HRZ393247:HRZ393251 IBV393247:IBV393251 ILR393247:ILR393251 IVN393247:IVN393251 JFJ393247:JFJ393251 JPF393247:JPF393251 JZB393247:JZB393251 KIX393247:KIX393251 KST393247:KST393251 LCP393247:LCP393251 LML393247:LML393251 LWH393247:LWH393251 MGD393247:MGD393251 MPZ393247:MPZ393251 MZV393247:MZV393251 NJR393247:NJR393251 NTN393247:NTN393251 ODJ393247:ODJ393251 ONF393247:ONF393251 OXB393247:OXB393251 PGX393247:PGX393251 PQT393247:PQT393251 QAP393247:QAP393251 QKL393247:QKL393251 QUH393247:QUH393251 RED393247:RED393251 RNZ393247:RNZ393251 RXV393247:RXV393251 SHR393247:SHR393251 SRN393247:SRN393251 TBJ393247:TBJ393251 TLF393247:TLF393251 TVB393247:TVB393251 UEX393247:UEX393251 UOT393247:UOT393251 UYP393247:UYP393251 VIL393247:VIL393251 VSH393247:VSH393251 WCD393247:WCD393251 WLZ393247:WLZ393251 WVV393247:WVV393251 N458783:N458787 JJ458783:JJ458787 TF458783:TF458787 ADB458783:ADB458787 AMX458783:AMX458787 AWT458783:AWT458787 BGP458783:BGP458787 BQL458783:BQL458787 CAH458783:CAH458787 CKD458783:CKD458787 CTZ458783:CTZ458787 DDV458783:DDV458787 DNR458783:DNR458787 DXN458783:DXN458787 EHJ458783:EHJ458787 ERF458783:ERF458787 FBB458783:FBB458787 FKX458783:FKX458787 FUT458783:FUT458787 GEP458783:GEP458787 GOL458783:GOL458787 GYH458783:GYH458787 HID458783:HID458787 HRZ458783:HRZ458787 IBV458783:IBV458787 ILR458783:ILR458787 IVN458783:IVN458787 JFJ458783:JFJ458787 JPF458783:JPF458787 JZB458783:JZB458787 KIX458783:KIX458787 KST458783:KST458787 LCP458783:LCP458787 LML458783:LML458787 LWH458783:LWH458787 MGD458783:MGD458787 MPZ458783:MPZ458787 MZV458783:MZV458787 NJR458783:NJR458787 NTN458783:NTN458787 ODJ458783:ODJ458787 ONF458783:ONF458787 OXB458783:OXB458787 PGX458783:PGX458787 PQT458783:PQT458787 QAP458783:QAP458787 QKL458783:QKL458787 QUH458783:QUH458787 RED458783:RED458787 RNZ458783:RNZ458787 RXV458783:RXV458787 SHR458783:SHR458787 SRN458783:SRN458787 TBJ458783:TBJ458787 TLF458783:TLF458787 TVB458783:TVB458787 UEX458783:UEX458787 UOT458783:UOT458787 UYP458783:UYP458787 VIL458783:VIL458787 VSH458783:VSH458787 WCD458783:WCD458787 WLZ458783:WLZ458787 WVV458783:WVV458787 N524319:N524323 JJ524319:JJ524323 TF524319:TF524323 ADB524319:ADB524323 AMX524319:AMX524323 AWT524319:AWT524323 BGP524319:BGP524323 BQL524319:BQL524323 CAH524319:CAH524323 CKD524319:CKD524323 CTZ524319:CTZ524323 DDV524319:DDV524323 DNR524319:DNR524323 DXN524319:DXN524323 EHJ524319:EHJ524323 ERF524319:ERF524323 FBB524319:FBB524323 FKX524319:FKX524323 FUT524319:FUT524323 GEP524319:GEP524323 GOL524319:GOL524323 GYH524319:GYH524323 HID524319:HID524323 HRZ524319:HRZ524323 IBV524319:IBV524323 ILR524319:ILR524323 IVN524319:IVN524323 JFJ524319:JFJ524323 JPF524319:JPF524323 JZB524319:JZB524323 KIX524319:KIX524323 KST524319:KST524323 LCP524319:LCP524323 LML524319:LML524323 LWH524319:LWH524323 MGD524319:MGD524323 MPZ524319:MPZ524323 MZV524319:MZV524323 NJR524319:NJR524323 NTN524319:NTN524323 ODJ524319:ODJ524323 ONF524319:ONF524323 OXB524319:OXB524323 PGX524319:PGX524323 PQT524319:PQT524323 QAP524319:QAP524323 QKL524319:QKL524323 QUH524319:QUH524323 RED524319:RED524323 RNZ524319:RNZ524323 RXV524319:RXV524323 SHR524319:SHR524323 SRN524319:SRN524323 TBJ524319:TBJ524323 TLF524319:TLF524323 TVB524319:TVB524323 UEX524319:UEX524323 UOT524319:UOT524323 UYP524319:UYP524323 VIL524319:VIL524323 VSH524319:VSH524323 WCD524319:WCD524323 WLZ524319:WLZ524323 WVV524319:WVV524323 N589855:N589859 JJ589855:JJ589859 TF589855:TF589859 ADB589855:ADB589859 AMX589855:AMX589859 AWT589855:AWT589859 BGP589855:BGP589859 BQL589855:BQL589859 CAH589855:CAH589859 CKD589855:CKD589859 CTZ589855:CTZ589859 DDV589855:DDV589859 DNR589855:DNR589859 DXN589855:DXN589859 EHJ589855:EHJ589859 ERF589855:ERF589859 FBB589855:FBB589859 FKX589855:FKX589859 FUT589855:FUT589859 GEP589855:GEP589859 GOL589855:GOL589859 GYH589855:GYH589859 HID589855:HID589859 HRZ589855:HRZ589859 IBV589855:IBV589859 ILR589855:ILR589859 IVN589855:IVN589859 JFJ589855:JFJ589859 JPF589855:JPF589859 JZB589855:JZB589859 KIX589855:KIX589859 KST589855:KST589859 LCP589855:LCP589859 LML589855:LML589859 LWH589855:LWH589859 MGD589855:MGD589859 MPZ589855:MPZ589859 MZV589855:MZV589859 NJR589855:NJR589859 NTN589855:NTN589859 ODJ589855:ODJ589859 ONF589855:ONF589859 OXB589855:OXB589859 PGX589855:PGX589859 PQT589855:PQT589859 QAP589855:QAP589859 QKL589855:QKL589859 QUH589855:QUH589859 RED589855:RED589859 RNZ589855:RNZ589859 RXV589855:RXV589859 SHR589855:SHR589859 SRN589855:SRN589859 TBJ589855:TBJ589859 TLF589855:TLF589859 TVB589855:TVB589859 UEX589855:UEX589859 UOT589855:UOT589859 UYP589855:UYP589859 VIL589855:VIL589859 VSH589855:VSH589859 WCD589855:WCD589859 WLZ589855:WLZ589859 WVV589855:WVV589859 N655391:N655395 JJ655391:JJ655395 TF655391:TF655395 ADB655391:ADB655395 AMX655391:AMX655395 AWT655391:AWT655395 BGP655391:BGP655395 BQL655391:BQL655395 CAH655391:CAH655395 CKD655391:CKD655395 CTZ655391:CTZ655395 DDV655391:DDV655395 DNR655391:DNR655395 DXN655391:DXN655395 EHJ655391:EHJ655395 ERF655391:ERF655395 FBB655391:FBB655395 FKX655391:FKX655395 FUT655391:FUT655395 GEP655391:GEP655395 GOL655391:GOL655395 GYH655391:GYH655395 HID655391:HID655395 HRZ655391:HRZ655395 IBV655391:IBV655395 ILR655391:ILR655395 IVN655391:IVN655395 JFJ655391:JFJ655395 JPF655391:JPF655395 JZB655391:JZB655395 KIX655391:KIX655395 KST655391:KST655395 LCP655391:LCP655395 LML655391:LML655395 LWH655391:LWH655395 MGD655391:MGD655395 MPZ655391:MPZ655395 MZV655391:MZV655395 NJR655391:NJR655395 NTN655391:NTN655395 ODJ655391:ODJ655395 ONF655391:ONF655395 OXB655391:OXB655395 PGX655391:PGX655395 PQT655391:PQT655395 QAP655391:QAP655395 QKL655391:QKL655395 QUH655391:QUH655395 RED655391:RED655395 RNZ655391:RNZ655395 RXV655391:RXV655395 SHR655391:SHR655395 SRN655391:SRN655395 TBJ655391:TBJ655395 TLF655391:TLF655395 TVB655391:TVB655395 UEX655391:UEX655395 UOT655391:UOT655395 UYP655391:UYP655395 VIL655391:VIL655395 VSH655391:VSH655395 WCD655391:WCD655395 WLZ655391:WLZ655395 WVV655391:WVV655395 N720927:N720931 JJ720927:JJ720931 TF720927:TF720931 ADB720927:ADB720931 AMX720927:AMX720931 AWT720927:AWT720931 BGP720927:BGP720931 BQL720927:BQL720931 CAH720927:CAH720931 CKD720927:CKD720931 CTZ720927:CTZ720931 DDV720927:DDV720931 DNR720927:DNR720931 DXN720927:DXN720931 EHJ720927:EHJ720931 ERF720927:ERF720931 FBB720927:FBB720931 FKX720927:FKX720931 FUT720927:FUT720931 GEP720927:GEP720931 GOL720927:GOL720931 GYH720927:GYH720931 HID720927:HID720931 HRZ720927:HRZ720931 IBV720927:IBV720931 ILR720927:ILR720931 IVN720927:IVN720931 JFJ720927:JFJ720931 JPF720927:JPF720931 JZB720927:JZB720931 KIX720927:KIX720931 KST720927:KST720931 LCP720927:LCP720931 LML720927:LML720931 LWH720927:LWH720931 MGD720927:MGD720931 MPZ720927:MPZ720931 MZV720927:MZV720931 NJR720927:NJR720931 NTN720927:NTN720931 ODJ720927:ODJ720931 ONF720927:ONF720931 OXB720927:OXB720931 PGX720927:PGX720931 PQT720927:PQT720931 QAP720927:QAP720931 QKL720927:QKL720931 QUH720927:QUH720931 RED720927:RED720931 RNZ720927:RNZ720931 RXV720927:RXV720931 SHR720927:SHR720931 SRN720927:SRN720931 TBJ720927:TBJ720931 TLF720927:TLF720931 TVB720927:TVB720931 UEX720927:UEX720931 UOT720927:UOT720931 UYP720927:UYP720931 VIL720927:VIL720931 VSH720927:VSH720931 WCD720927:WCD720931 WLZ720927:WLZ720931 WVV720927:WVV720931 N786463:N786467 JJ786463:JJ786467 TF786463:TF786467 ADB786463:ADB786467 AMX786463:AMX786467 AWT786463:AWT786467 BGP786463:BGP786467 BQL786463:BQL786467 CAH786463:CAH786467 CKD786463:CKD786467 CTZ786463:CTZ786467 DDV786463:DDV786467 DNR786463:DNR786467 DXN786463:DXN786467 EHJ786463:EHJ786467 ERF786463:ERF786467 FBB786463:FBB786467 FKX786463:FKX786467 FUT786463:FUT786467 GEP786463:GEP786467 GOL786463:GOL786467 GYH786463:GYH786467 HID786463:HID786467 HRZ786463:HRZ786467 IBV786463:IBV786467 ILR786463:ILR786467 IVN786463:IVN786467 JFJ786463:JFJ786467 JPF786463:JPF786467 JZB786463:JZB786467 KIX786463:KIX786467 KST786463:KST786467 LCP786463:LCP786467 LML786463:LML786467 LWH786463:LWH786467 MGD786463:MGD786467 MPZ786463:MPZ786467 MZV786463:MZV786467 NJR786463:NJR786467 NTN786463:NTN786467 ODJ786463:ODJ786467 ONF786463:ONF786467 OXB786463:OXB786467 PGX786463:PGX786467 PQT786463:PQT786467 QAP786463:QAP786467 QKL786463:QKL786467 QUH786463:QUH786467 RED786463:RED786467 RNZ786463:RNZ786467 RXV786463:RXV786467 SHR786463:SHR786467 SRN786463:SRN786467 TBJ786463:TBJ786467 TLF786463:TLF786467 TVB786463:TVB786467 UEX786463:UEX786467 UOT786463:UOT786467 UYP786463:UYP786467 VIL786463:VIL786467 VSH786463:VSH786467 WCD786463:WCD786467 WLZ786463:WLZ786467 WVV786463:WVV786467 N851999:N852003 JJ851999:JJ852003 TF851999:TF852003 ADB851999:ADB852003 AMX851999:AMX852003 AWT851999:AWT852003 BGP851999:BGP852003 BQL851999:BQL852003 CAH851999:CAH852003 CKD851999:CKD852003 CTZ851999:CTZ852003 DDV851999:DDV852003 DNR851999:DNR852003 DXN851999:DXN852003 EHJ851999:EHJ852003 ERF851999:ERF852003 FBB851999:FBB852003 FKX851999:FKX852003 FUT851999:FUT852003 GEP851999:GEP852003 GOL851999:GOL852003 GYH851999:GYH852003 HID851999:HID852003 HRZ851999:HRZ852003 IBV851999:IBV852003 ILR851999:ILR852003 IVN851999:IVN852003 JFJ851999:JFJ852003 JPF851999:JPF852003 JZB851999:JZB852003 KIX851999:KIX852003 KST851999:KST852003 LCP851999:LCP852003 LML851999:LML852003 LWH851999:LWH852003 MGD851999:MGD852003 MPZ851999:MPZ852003 MZV851999:MZV852003 NJR851999:NJR852003 NTN851999:NTN852003 ODJ851999:ODJ852003 ONF851999:ONF852003 OXB851999:OXB852003 PGX851999:PGX852003 PQT851999:PQT852003 QAP851999:QAP852003 QKL851999:QKL852003 QUH851999:QUH852003 RED851999:RED852003 RNZ851999:RNZ852003 RXV851999:RXV852003 SHR851999:SHR852003 SRN851999:SRN852003 TBJ851999:TBJ852003 TLF851999:TLF852003 TVB851999:TVB852003 UEX851999:UEX852003 UOT851999:UOT852003 UYP851999:UYP852003 VIL851999:VIL852003 VSH851999:VSH852003 WCD851999:WCD852003 WLZ851999:WLZ852003 WVV851999:WVV852003 N917535:N917539 JJ917535:JJ917539 TF917535:TF917539 ADB917535:ADB917539 AMX917535:AMX917539 AWT917535:AWT917539 BGP917535:BGP917539 BQL917535:BQL917539 CAH917535:CAH917539 CKD917535:CKD917539 CTZ917535:CTZ917539 DDV917535:DDV917539 DNR917535:DNR917539 DXN917535:DXN917539 EHJ917535:EHJ917539 ERF917535:ERF917539 FBB917535:FBB917539 FKX917535:FKX917539 FUT917535:FUT917539 GEP917535:GEP917539 GOL917535:GOL917539 GYH917535:GYH917539 HID917535:HID917539 HRZ917535:HRZ917539 IBV917535:IBV917539 ILR917535:ILR917539 IVN917535:IVN917539 JFJ917535:JFJ917539 JPF917535:JPF917539 JZB917535:JZB917539 KIX917535:KIX917539 KST917535:KST917539 LCP917535:LCP917539 LML917535:LML917539 LWH917535:LWH917539 MGD917535:MGD917539 MPZ917535:MPZ917539 MZV917535:MZV917539 NJR917535:NJR917539 NTN917535:NTN917539 ODJ917535:ODJ917539 ONF917535:ONF917539 OXB917535:OXB917539 PGX917535:PGX917539 PQT917535:PQT917539 QAP917535:QAP917539 QKL917535:QKL917539 QUH917535:QUH917539 RED917535:RED917539 RNZ917535:RNZ917539 RXV917535:RXV917539 SHR917535:SHR917539 SRN917535:SRN917539 TBJ917535:TBJ917539 TLF917535:TLF917539 TVB917535:TVB917539 UEX917535:UEX917539 UOT917535:UOT917539 UYP917535:UYP917539 VIL917535:VIL917539 VSH917535:VSH917539 WCD917535:WCD917539 WLZ917535:WLZ917539 WVV917535:WVV917539 N983071:N983075 JJ983071:JJ983075 TF983071:TF983075 ADB983071:ADB983075 AMX983071:AMX983075 AWT983071:AWT983075 BGP983071:BGP983075 BQL983071:BQL983075 CAH983071:CAH983075 CKD983071:CKD983075 CTZ983071:CTZ983075 DDV983071:DDV983075 DNR983071:DNR983075 DXN983071:DXN983075 EHJ983071:EHJ983075 ERF983071:ERF983075 FBB983071:FBB983075 FKX983071:FKX983075 FUT983071:FUT983075 GEP983071:GEP983075 GOL983071:GOL983075 GYH983071:GYH983075 HID983071:HID983075 HRZ983071:HRZ983075 IBV983071:IBV983075 ILR983071:ILR983075 IVN983071:IVN983075 JFJ983071:JFJ983075 JPF983071:JPF983075 JZB983071:JZB983075 KIX983071:KIX983075 KST983071:KST983075 LCP983071:LCP983075 LML983071:LML983075 LWH983071:LWH983075 MGD983071:MGD983075 MPZ983071:MPZ983075 MZV983071:MZV983075 NJR983071:NJR983075 NTN983071:NTN983075 ODJ983071:ODJ983075 ONF983071:ONF983075 OXB983071:OXB983075 PGX983071:PGX983075 PQT983071:PQT983075 QAP983071:QAP983075 QKL983071:QKL983075 QUH983071:QUH983075 RED983071:RED983075 RNZ983071:RNZ983075 RXV983071:RXV983075 SHR983071:SHR983075 SRN983071:SRN983075 TBJ983071:TBJ983075 TLF983071:TLF983075 TVB983071:TVB983075 UEX983071:UEX983075 UOT983071:UOT983075 UYP983071:UYP983075 VIL983071:VIL983075 VSH983071:VSH983075 WCD983071:WCD983075 WLZ983071:WLZ983075 WVV983071:WVV983075">
      <formula1>PF</formula1>
    </dataValidation>
    <dataValidation type="list" allowBlank="1" showInputMessage="1" showErrorMessage="1" sqref="N42:N54 JJ42:JJ54 TF42:TF54 ADB42:ADB54 AMX42:AMX54 AWT42:AWT54 BGP42:BGP54 BQL42:BQL54 CAH42:CAH54 CKD42:CKD54 CTZ42:CTZ54 DDV42:DDV54 DNR42:DNR54 DXN42:DXN54 EHJ42:EHJ54 ERF42:ERF54 FBB42:FBB54 FKX42:FKX54 FUT42:FUT54 GEP42:GEP54 GOL42:GOL54 GYH42:GYH54 HID42:HID54 HRZ42:HRZ54 IBV42:IBV54 ILR42:ILR54 IVN42:IVN54 JFJ42:JFJ54 JPF42:JPF54 JZB42:JZB54 KIX42:KIX54 KST42:KST54 LCP42:LCP54 LML42:LML54 LWH42:LWH54 MGD42:MGD54 MPZ42:MPZ54 MZV42:MZV54 NJR42:NJR54 NTN42:NTN54 ODJ42:ODJ54 ONF42:ONF54 OXB42:OXB54 PGX42:PGX54 PQT42:PQT54 QAP42:QAP54 QKL42:QKL54 QUH42:QUH54 RED42:RED54 RNZ42:RNZ54 RXV42:RXV54 SHR42:SHR54 SRN42:SRN54 TBJ42:TBJ54 TLF42:TLF54 TVB42:TVB54 UEX42:UEX54 UOT42:UOT54 UYP42:UYP54 VIL42:VIL54 VSH42:VSH54 WCD42:WCD54 WLZ42:WLZ54 WVV42:WVV54 N65578:N65590 JJ65578:JJ65590 TF65578:TF65590 ADB65578:ADB65590 AMX65578:AMX65590 AWT65578:AWT65590 BGP65578:BGP65590 BQL65578:BQL65590 CAH65578:CAH65590 CKD65578:CKD65590 CTZ65578:CTZ65590 DDV65578:DDV65590 DNR65578:DNR65590 DXN65578:DXN65590 EHJ65578:EHJ65590 ERF65578:ERF65590 FBB65578:FBB65590 FKX65578:FKX65590 FUT65578:FUT65590 GEP65578:GEP65590 GOL65578:GOL65590 GYH65578:GYH65590 HID65578:HID65590 HRZ65578:HRZ65590 IBV65578:IBV65590 ILR65578:ILR65590 IVN65578:IVN65590 JFJ65578:JFJ65590 JPF65578:JPF65590 JZB65578:JZB65590 KIX65578:KIX65590 KST65578:KST65590 LCP65578:LCP65590 LML65578:LML65590 LWH65578:LWH65590 MGD65578:MGD65590 MPZ65578:MPZ65590 MZV65578:MZV65590 NJR65578:NJR65590 NTN65578:NTN65590 ODJ65578:ODJ65590 ONF65578:ONF65590 OXB65578:OXB65590 PGX65578:PGX65590 PQT65578:PQT65590 QAP65578:QAP65590 QKL65578:QKL65590 QUH65578:QUH65590 RED65578:RED65590 RNZ65578:RNZ65590 RXV65578:RXV65590 SHR65578:SHR65590 SRN65578:SRN65590 TBJ65578:TBJ65590 TLF65578:TLF65590 TVB65578:TVB65590 UEX65578:UEX65590 UOT65578:UOT65590 UYP65578:UYP65590 VIL65578:VIL65590 VSH65578:VSH65590 WCD65578:WCD65590 WLZ65578:WLZ65590 WVV65578:WVV65590 N131114:N131126 JJ131114:JJ131126 TF131114:TF131126 ADB131114:ADB131126 AMX131114:AMX131126 AWT131114:AWT131126 BGP131114:BGP131126 BQL131114:BQL131126 CAH131114:CAH131126 CKD131114:CKD131126 CTZ131114:CTZ131126 DDV131114:DDV131126 DNR131114:DNR131126 DXN131114:DXN131126 EHJ131114:EHJ131126 ERF131114:ERF131126 FBB131114:FBB131126 FKX131114:FKX131126 FUT131114:FUT131126 GEP131114:GEP131126 GOL131114:GOL131126 GYH131114:GYH131126 HID131114:HID131126 HRZ131114:HRZ131126 IBV131114:IBV131126 ILR131114:ILR131126 IVN131114:IVN131126 JFJ131114:JFJ131126 JPF131114:JPF131126 JZB131114:JZB131126 KIX131114:KIX131126 KST131114:KST131126 LCP131114:LCP131126 LML131114:LML131126 LWH131114:LWH131126 MGD131114:MGD131126 MPZ131114:MPZ131126 MZV131114:MZV131126 NJR131114:NJR131126 NTN131114:NTN131126 ODJ131114:ODJ131126 ONF131114:ONF131126 OXB131114:OXB131126 PGX131114:PGX131126 PQT131114:PQT131126 QAP131114:QAP131126 QKL131114:QKL131126 QUH131114:QUH131126 RED131114:RED131126 RNZ131114:RNZ131126 RXV131114:RXV131126 SHR131114:SHR131126 SRN131114:SRN131126 TBJ131114:TBJ131126 TLF131114:TLF131126 TVB131114:TVB131126 UEX131114:UEX131126 UOT131114:UOT131126 UYP131114:UYP131126 VIL131114:VIL131126 VSH131114:VSH131126 WCD131114:WCD131126 WLZ131114:WLZ131126 WVV131114:WVV131126 N196650:N196662 JJ196650:JJ196662 TF196650:TF196662 ADB196650:ADB196662 AMX196650:AMX196662 AWT196650:AWT196662 BGP196650:BGP196662 BQL196650:BQL196662 CAH196650:CAH196662 CKD196650:CKD196662 CTZ196650:CTZ196662 DDV196650:DDV196662 DNR196650:DNR196662 DXN196650:DXN196662 EHJ196650:EHJ196662 ERF196650:ERF196662 FBB196650:FBB196662 FKX196650:FKX196662 FUT196650:FUT196662 GEP196650:GEP196662 GOL196650:GOL196662 GYH196650:GYH196662 HID196650:HID196662 HRZ196650:HRZ196662 IBV196650:IBV196662 ILR196650:ILR196662 IVN196650:IVN196662 JFJ196650:JFJ196662 JPF196650:JPF196662 JZB196650:JZB196662 KIX196650:KIX196662 KST196650:KST196662 LCP196650:LCP196662 LML196650:LML196662 LWH196650:LWH196662 MGD196650:MGD196662 MPZ196650:MPZ196662 MZV196650:MZV196662 NJR196650:NJR196662 NTN196650:NTN196662 ODJ196650:ODJ196662 ONF196650:ONF196662 OXB196650:OXB196662 PGX196650:PGX196662 PQT196650:PQT196662 QAP196650:QAP196662 QKL196650:QKL196662 QUH196650:QUH196662 RED196650:RED196662 RNZ196650:RNZ196662 RXV196650:RXV196662 SHR196650:SHR196662 SRN196650:SRN196662 TBJ196650:TBJ196662 TLF196650:TLF196662 TVB196650:TVB196662 UEX196650:UEX196662 UOT196650:UOT196662 UYP196650:UYP196662 VIL196650:VIL196662 VSH196650:VSH196662 WCD196650:WCD196662 WLZ196650:WLZ196662 WVV196650:WVV196662 N262186:N262198 JJ262186:JJ262198 TF262186:TF262198 ADB262186:ADB262198 AMX262186:AMX262198 AWT262186:AWT262198 BGP262186:BGP262198 BQL262186:BQL262198 CAH262186:CAH262198 CKD262186:CKD262198 CTZ262186:CTZ262198 DDV262186:DDV262198 DNR262186:DNR262198 DXN262186:DXN262198 EHJ262186:EHJ262198 ERF262186:ERF262198 FBB262186:FBB262198 FKX262186:FKX262198 FUT262186:FUT262198 GEP262186:GEP262198 GOL262186:GOL262198 GYH262186:GYH262198 HID262186:HID262198 HRZ262186:HRZ262198 IBV262186:IBV262198 ILR262186:ILR262198 IVN262186:IVN262198 JFJ262186:JFJ262198 JPF262186:JPF262198 JZB262186:JZB262198 KIX262186:KIX262198 KST262186:KST262198 LCP262186:LCP262198 LML262186:LML262198 LWH262186:LWH262198 MGD262186:MGD262198 MPZ262186:MPZ262198 MZV262186:MZV262198 NJR262186:NJR262198 NTN262186:NTN262198 ODJ262186:ODJ262198 ONF262186:ONF262198 OXB262186:OXB262198 PGX262186:PGX262198 PQT262186:PQT262198 QAP262186:QAP262198 QKL262186:QKL262198 QUH262186:QUH262198 RED262186:RED262198 RNZ262186:RNZ262198 RXV262186:RXV262198 SHR262186:SHR262198 SRN262186:SRN262198 TBJ262186:TBJ262198 TLF262186:TLF262198 TVB262186:TVB262198 UEX262186:UEX262198 UOT262186:UOT262198 UYP262186:UYP262198 VIL262186:VIL262198 VSH262186:VSH262198 WCD262186:WCD262198 WLZ262186:WLZ262198 WVV262186:WVV262198 N327722:N327734 JJ327722:JJ327734 TF327722:TF327734 ADB327722:ADB327734 AMX327722:AMX327734 AWT327722:AWT327734 BGP327722:BGP327734 BQL327722:BQL327734 CAH327722:CAH327734 CKD327722:CKD327734 CTZ327722:CTZ327734 DDV327722:DDV327734 DNR327722:DNR327734 DXN327722:DXN327734 EHJ327722:EHJ327734 ERF327722:ERF327734 FBB327722:FBB327734 FKX327722:FKX327734 FUT327722:FUT327734 GEP327722:GEP327734 GOL327722:GOL327734 GYH327722:GYH327734 HID327722:HID327734 HRZ327722:HRZ327734 IBV327722:IBV327734 ILR327722:ILR327734 IVN327722:IVN327734 JFJ327722:JFJ327734 JPF327722:JPF327734 JZB327722:JZB327734 KIX327722:KIX327734 KST327722:KST327734 LCP327722:LCP327734 LML327722:LML327734 LWH327722:LWH327734 MGD327722:MGD327734 MPZ327722:MPZ327734 MZV327722:MZV327734 NJR327722:NJR327734 NTN327722:NTN327734 ODJ327722:ODJ327734 ONF327722:ONF327734 OXB327722:OXB327734 PGX327722:PGX327734 PQT327722:PQT327734 QAP327722:QAP327734 QKL327722:QKL327734 QUH327722:QUH327734 RED327722:RED327734 RNZ327722:RNZ327734 RXV327722:RXV327734 SHR327722:SHR327734 SRN327722:SRN327734 TBJ327722:TBJ327734 TLF327722:TLF327734 TVB327722:TVB327734 UEX327722:UEX327734 UOT327722:UOT327734 UYP327722:UYP327734 VIL327722:VIL327734 VSH327722:VSH327734 WCD327722:WCD327734 WLZ327722:WLZ327734 WVV327722:WVV327734 N393258:N393270 JJ393258:JJ393270 TF393258:TF393270 ADB393258:ADB393270 AMX393258:AMX393270 AWT393258:AWT393270 BGP393258:BGP393270 BQL393258:BQL393270 CAH393258:CAH393270 CKD393258:CKD393270 CTZ393258:CTZ393270 DDV393258:DDV393270 DNR393258:DNR393270 DXN393258:DXN393270 EHJ393258:EHJ393270 ERF393258:ERF393270 FBB393258:FBB393270 FKX393258:FKX393270 FUT393258:FUT393270 GEP393258:GEP393270 GOL393258:GOL393270 GYH393258:GYH393270 HID393258:HID393270 HRZ393258:HRZ393270 IBV393258:IBV393270 ILR393258:ILR393270 IVN393258:IVN393270 JFJ393258:JFJ393270 JPF393258:JPF393270 JZB393258:JZB393270 KIX393258:KIX393270 KST393258:KST393270 LCP393258:LCP393270 LML393258:LML393270 LWH393258:LWH393270 MGD393258:MGD393270 MPZ393258:MPZ393270 MZV393258:MZV393270 NJR393258:NJR393270 NTN393258:NTN393270 ODJ393258:ODJ393270 ONF393258:ONF393270 OXB393258:OXB393270 PGX393258:PGX393270 PQT393258:PQT393270 QAP393258:QAP393270 QKL393258:QKL393270 QUH393258:QUH393270 RED393258:RED393270 RNZ393258:RNZ393270 RXV393258:RXV393270 SHR393258:SHR393270 SRN393258:SRN393270 TBJ393258:TBJ393270 TLF393258:TLF393270 TVB393258:TVB393270 UEX393258:UEX393270 UOT393258:UOT393270 UYP393258:UYP393270 VIL393258:VIL393270 VSH393258:VSH393270 WCD393258:WCD393270 WLZ393258:WLZ393270 WVV393258:WVV393270 N458794:N458806 JJ458794:JJ458806 TF458794:TF458806 ADB458794:ADB458806 AMX458794:AMX458806 AWT458794:AWT458806 BGP458794:BGP458806 BQL458794:BQL458806 CAH458794:CAH458806 CKD458794:CKD458806 CTZ458794:CTZ458806 DDV458794:DDV458806 DNR458794:DNR458806 DXN458794:DXN458806 EHJ458794:EHJ458806 ERF458794:ERF458806 FBB458794:FBB458806 FKX458794:FKX458806 FUT458794:FUT458806 GEP458794:GEP458806 GOL458794:GOL458806 GYH458794:GYH458806 HID458794:HID458806 HRZ458794:HRZ458806 IBV458794:IBV458806 ILR458794:ILR458806 IVN458794:IVN458806 JFJ458794:JFJ458806 JPF458794:JPF458806 JZB458794:JZB458806 KIX458794:KIX458806 KST458794:KST458806 LCP458794:LCP458806 LML458794:LML458806 LWH458794:LWH458806 MGD458794:MGD458806 MPZ458794:MPZ458806 MZV458794:MZV458806 NJR458794:NJR458806 NTN458794:NTN458806 ODJ458794:ODJ458806 ONF458794:ONF458806 OXB458794:OXB458806 PGX458794:PGX458806 PQT458794:PQT458806 QAP458794:QAP458806 QKL458794:QKL458806 QUH458794:QUH458806 RED458794:RED458806 RNZ458794:RNZ458806 RXV458794:RXV458806 SHR458794:SHR458806 SRN458794:SRN458806 TBJ458794:TBJ458806 TLF458794:TLF458806 TVB458794:TVB458806 UEX458794:UEX458806 UOT458794:UOT458806 UYP458794:UYP458806 VIL458794:VIL458806 VSH458794:VSH458806 WCD458794:WCD458806 WLZ458794:WLZ458806 WVV458794:WVV458806 N524330:N524342 JJ524330:JJ524342 TF524330:TF524342 ADB524330:ADB524342 AMX524330:AMX524342 AWT524330:AWT524342 BGP524330:BGP524342 BQL524330:BQL524342 CAH524330:CAH524342 CKD524330:CKD524342 CTZ524330:CTZ524342 DDV524330:DDV524342 DNR524330:DNR524342 DXN524330:DXN524342 EHJ524330:EHJ524342 ERF524330:ERF524342 FBB524330:FBB524342 FKX524330:FKX524342 FUT524330:FUT524342 GEP524330:GEP524342 GOL524330:GOL524342 GYH524330:GYH524342 HID524330:HID524342 HRZ524330:HRZ524342 IBV524330:IBV524342 ILR524330:ILR524342 IVN524330:IVN524342 JFJ524330:JFJ524342 JPF524330:JPF524342 JZB524330:JZB524342 KIX524330:KIX524342 KST524330:KST524342 LCP524330:LCP524342 LML524330:LML524342 LWH524330:LWH524342 MGD524330:MGD524342 MPZ524330:MPZ524342 MZV524330:MZV524342 NJR524330:NJR524342 NTN524330:NTN524342 ODJ524330:ODJ524342 ONF524330:ONF524342 OXB524330:OXB524342 PGX524330:PGX524342 PQT524330:PQT524342 QAP524330:QAP524342 QKL524330:QKL524342 QUH524330:QUH524342 RED524330:RED524342 RNZ524330:RNZ524342 RXV524330:RXV524342 SHR524330:SHR524342 SRN524330:SRN524342 TBJ524330:TBJ524342 TLF524330:TLF524342 TVB524330:TVB524342 UEX524330:UEX524342 UOT524330:UOT524342 UYP524330:UYP524342 VIL524330:VIL524342 VSH524330:VSH524342 WCD524330:WCD524342 WLZ524330:WLZ524342 WVV524330:WVV524342 N589866:N589878 JJ589866:JJ589878 TF589866:TF589878 ADB589866:ADB589878 AMX589866:AMX589878 AWT589866:AWT589878 BGP589866:BGP589878 BQL589866:BQL589878 CAH589866:CAH589878 CKD589866:CKD589878 CTZ589866:CTZ589878 DDV589866:DDV589878 DNR589866:DNR589878 DXN589866:DXN589878 EHJ589866:EHJ589878 ERF589866:ERF589878 FBB589866:FBB589878 FKX589866:FKX589878 FUT589866:FUT589878 GEP589866:GEP589878 GOL589866:GOL589878 GYH589866:GYH589878 HID589866:HID589878 HRZ589866:HRZ589878 IBV589866:IBV589878 ILR589866:ILR589878 IVN589866:IVN589878 JFJ589866:JFJ589878 JPF589866:JPF589878 JZB589866:JZB589878 KIX589866:KIX589878 KST589866:KST589878 LCP589866:LCP589878 LML589866:LML589878 LWH589866:LWH589878 MGD589866:MGD589878 MPZ589866:MPZ589878 MZV589866:MZV589878 NJR589866:NJR589878 NTN589866:NTN589878 ODJ589866:ODJ589878 ONF589866:ONF589878 OXB589866:OXB589878 PGX589866:PGX589878 PQT589866:PQT589878 QAP589866:QAP589878 QKL589866:QKL589878 QUH589866:QUH589878 RED589866:RED589878 RNZ589866:RNZ589878 RXV589866:RXV589878 SHR589866:SHR589878 SRN589866:SRN589878 TBJ589866:TBJ589878 TLF589866:TLF589878 TVB589866:TVB589878 UEX589866:UEX589878 UOT589866:UOT589878 UYP589866:UYP589878 VIL589866:VIL589878 VSH589866:VSH589878 WCD589866:WCD589878 WLZ589866:WLZ589878 WVV589866:WVV589878 N655402:N655414 JJ655402:JJ655414 TF655402:TF655414 ADB655402:ADB655414 AMX655402:AMX655414 AWT655402:AWT655414 BGP655402:BGP655414 BQL655402:BQL655414 CAH655402:CAH655414 CKD655402:CKD655414 CTZ655402:CTZ655414 DDV655402:DDV655414 DNR655402:DNR655414 DXN655402:DXN655414 EHJ655402:EHJ655414 ERF655402:ERF655414 FBB655402:FBB655414 FKX655402:FKX655414 FUT655402:FUT655414 GEP655402:GEP655414 GOL655402:GOL655414 GYH655402:GYH655414 HID655402:HID655414 HRZ655402:HRZ655414 IBV655402:IBV655414 ILR655402:ILR655414 IVN655402:IVN655414 JFJ655402:JFJ655414 JPF655402:JPF655414 JZB655402:JZB655414 KIX655402:KIX655414 KST655402:KST655414 LCP655402:LCP655414 LML655402:LML655414 LWH655402:LWH655414 MGD655402:MGD655414 MPZ655402:MPZ655414 MZV655402:MZV655414 NJR655402:NJR655414 NTN655402:NTN655414 ODJ655402:ODJ655414 ONF655402:ONF655414 OXB655402:OXB655414 PGX655402:PGX655414 PQT655402:PQT655414 QAP655402:QAP655414 QKL655402:QKL655414 QUH655402:QUH655414 RED655402:RED655414 RNZ655402:RNZ655414 RXV655402:RXV655414 SHR655402:SHR655414 SRN655402:SRN655414 TBJ655402:TBJ655414 TLF655402:TLF655414 TVB655402:TVB655414 UEX655402:UEX655414 UOT655402:UOT655414 UYP655402:UYP655414 VIL655402:VIL655414 VSH655402:VSH655414 WCD655402:WCD655414 WLZ655402:WLZ655414 WVV655402:WVV655414 N720938:N720950 JJ720938:JJ720950 TF720938:TF720950 ADB720938:ADB720950 AMX720938:AMX720950 AWT720938:AWT720950 BGP720938:BGP720950 BQL720938:BQL720950 CAH720938:CAH720950 CKD720938:CKD720950 CTZ720938:CTZ720950 DDV720938:DDV720950 DNR720938:DNR720950 DXN720938:DXN720950 EHJ720938:EHJ720950 ERF720938:ERF720950 FBB720938:FBB720950 FKX720938:FKX720950 FUT720938:FUT720950 GEP720938:GEP720950 GOL720938:GOL720950 GYH720938:GYH720950 HID720938:HID720950 HRZ720938:HRZ720950 IBV720938:IBV720950 ILR720938:ILR720950 IVN720938:IVN720950 JFJ720938:JFJ720950 JPF720938:JPF720950 JZB720938:JZB720950 KIX720938:KIX720950 KST720938:KST720950 LCP720938:LCP720950 LML720938:LML720950 LWH720938:LWH720950 MGD720938:MGD720950 MPZ720938:MPZ720950 MZV720938:MZV720950 NJR720938:NJR720950 NTN720938:NTN720950 ODJ720938:ODJ720950 ONF720938:ONF720950 OXB720938:OXB720950 PGX720938:PGX720950 PQT720938:PQT720950 QAP720938:QAP720950 QKL720938:QKL720950 QUH720938:QUH720950 RED720938:RED720950 RNZ720938:RNZ720950 RXV720938:RXV720950 SHR720938:SHR720950 SRN720938:SRN720950 TBJ720938:TBJ720950 TLF720938:TLF720950 TVB720938:TVB720950 UEX720938:UEX720950 UOT720938:UOT720950 UYP720938:UYP720950 VIL720938:VIL720950 VSH720938:VSH720950 WCD720938:WCD720950 WLZ720938:WLZ720950 WVV720938:WVV720950 N786474:N786486 JJ786474:JJ786486 TF786474:TF786486 ADB786474:ADB786486 AMX786474:AMX786486 AWT786474:AWT786486 BGP786474:BGP786486 BQL786474:BQL786486 CAH786474:CAH786486 CKD786474:CKD786486 CTZ786474:CTZ786486 DDV786474:DDV786486 DNR786474:DNR786486 DXN786474:DXN786486 EHJ786474:EHJ786486 ERF786474:ERF786486 FBB786474:FBB786486 FKX786474:FKX786486 FUT786474:FUT786486 GEP786474:GEP786486 GOL786474:GOL786486 GYH786474:GYH786486 HID786474:HID786486 HRZ786474:HRZ786486 IBV786474:IBV786486 ILR786474:ILR786486 IVN786474:IVN786486 JFJ786474:JFJ786486 JPF786474:JPF786486 JZB786474:JZB786486 KIX786474:KIX786486 KST786474:KST786486 LCP786474:LCP786486 LML786474:LML786486 LWH786474:LWH786486 MGD786474:MGD786486 MPZ786474:MPZ786486 MZV786474:MZV786486 NJR786474:NJR786486 NTN786474:NTN786486 ODJ786474:ODJ786486 ONF786474:ONF786486 OXB786474:OXB786486 PGX786474:PGX786486 PQT786474:PQT786486 QAP786474:QAP786486 QKL786474:QKL786486 QUH786474:QUH786486 RED786474:RED786486 RNZ786474:RNZ786486 RXV786474:RXV786486 SHR786474:SHR786486 SRN786474:SRN786486 TBJ786474:TBJ786486 TLF786474:TLF786486 TVB786474:TVB786486 UEX786474:UEX786486 UOT786474:UOT786486 UYP786474:UYP786486 VIL786474:VIL786486 VSH786474:VSH786486 WCD786474:WCD786486 WLZ786474:WLZ786486 WVV786474:WVV786486 N852010:N852022 JJ852010:JJ852022 TF852010:TF852022 ADB852010:ADB852022 AMX852010:AMX852022 AWT852010:AWT852022 BGP852010:BGP852022 BQL852010:BQL852022 CAH852010:CAH852022 CKD852010:CKD852022 CTZ852010:CTZ852022 DDV852010:DDV852022 DNR852010:DNR852022 DXN852010:DXN852022 EHJ852010:EHJ852022 ERF852010:ERF852022 FBB852010:FBB852022 FKX852010:FKX852022 FUT852010:FUT852022 GEP852010:GEP852022 GOL852010:GOL852022 GYH852010:GYH852022 HID852010:HID852022 HRZ852010:HRZ852022 IBV852010:IBV852022 ILR852010:ILR852022 IVN852010:IVN852022 JFJ852010:JFJ852022 JPF852010:JPF852022 JZB852010:JZB852022 KIX852010:KIX852022 KST852010:KST852022 LCP852010:LCP852022 LML852010:LML852022 LWH852010:LWH852022 MGD852010:MGD852022 MPZ852010:MPZ852022 MZV852010:MZV852022 NJR852010:NJR852022 NTN852010:NTN852022 ODJ852010:ODJ852022 ONF852010:ONF852022 OXB852010:OXB852022 PGX852010:PGX852022 PQT852010:PQT852022 QAP852010:QAP852022 QKL852010:QKL852022 QUH852010:QUH852022 RED852010:RED852022 RNZ852010:RNZ852022 RXV852010:RXV852022 SHR852010:SHR852022 SRN852010:SRN852022 TBJ852010:TBJ852022 TLF852010:TLF852022 TVB852010:TVB852022 UEX852010:UEX852022 UOT852010:UOT852022 UYP852010:UYP852022 VIL852010:VIL852022 VSH852010:VSH852022 WCD852010:WCD852022 WLZ852010:WLZ852022 WVV852010:WVV852022 N917546:N917558 JJ917546:JJ917558 TF917546:TF917558 ADB917546:ADB917558 AMX917546:AMX917558 AWT917546:AWT917558 BGP917546:BGP917558 BQL917546:BQL917558 CAH917546:CAH917558 CKD917546:CKD917558 CTZ917546:CTZ917558 DDV917546:DDV917558 DNR917546:DNR917558 DXN917546:DXN917558 EHJ917546:EHJ917558 ERF917546:ERF917558 FBB917546:FBB917558 FKX917546:FKX917558 FUT917546:FUT917558 GEP917546:GEP917558 GOL917546:GOL917558 GYH917546:GYH917558 HID917546:HID917558 HRZ917546:HRZ917558 IBV917546:IBV917558 ILR917546:ILR917558 IVN917546:IVN917558 JFJ917546:JFJ917558 JPF917546:JPF917558 JZB917546:JZB917558 KIX917546:KIX917558 KST917546:KST917558 LCP917546:LCP917558 LML917546:LML917558 LWH917546:LWH917558 MGD917546:MGD917558 MPZ917546:MPZ917558 MZV917546:MZV917558 NJR917546:NJR917558 NTN917546:NTN917558 ODJ917546:ODJ917558 ONF917546:ONF917558 OXB917546:OXB917558 PGX917546:PGX917558 PQT917546:PQT917558 QAP917546:QAP917558 QKL917546:QKL917558 QUH917546:QUH917558 RED917546:RED917558 RNZ917546:RNZ917558 RXV917546:RXV917558 SHR917546:SHR917558 SRN917546:SRN917558 TBJ917546:TBJ917558 TLF917546:TLF917558 TVB917546:TVB917558 UEX917546:UEX917558 UOT917546:UOT917558 UYP917546:UYP917558 VIL917546:VIL917558 VSH917546:VSH917558 WCD917546:WCD917558 WLZ917546:WLZ917558 WVV917546:WVV917558 N983082:N983094 JJ983082:JJ983094 TF983082:TF983094 ADB983082:ADB983094 AMX983082:AMX983094 AWT983082:AWT983094 BGP983082:BGP983094 BQL983082:BQL983094 CAH983082:CAH983094 CKD983082:CKD983094 CTZ983082:CTZ983094 DDV983082:DDV983094 DNR983082:DNR983094 DXN983082:DXN983094 EHJ983082:EHJ983094 ERF983082:ERF983094 FBB983082:FBB983094 FKX983082:FKX983094 FUT983082:FUT983094 GEP983082:GEP983094 GOL983082:GOL983094 GYH983082:GYH983094 HID983082:HID983094 HRZ983082:HRZ983094 IBV983082:IBV983094 ILR983082:ILR983094 IVN983082:IVN983094 JFJ983082:JFJ983094 JPF983082:JPF983094 JZB983082:JZB983094 KIX983082:KIX983094 KST983082:KST983094 LCP983082:LCP983094 LML983082:LML983094 LWH983082:LWH983094 MGD983082:MGD983094 MPZ983082:MPZ983094 MZV983082:MZV983094 NJR983082:NJR983094 NTN983082:NTN983094 ODJ983082:ODJ983094 ONF983082:ONF983094 OXB983082:OXB983094 PGX983082:PGX983094 PQT983082:PQT983094 QAP983082:QAP983094 QKL983082:QKL983094 QUH983082:QUH983094 RED983082:RED983094 RNZ983082:RNZ983094 RXV983082:RXV983094 SHR983082:SHR983094 SRN983082:SRN983094 TBJ983082:TBJ983094 TLF983082:TLF983094 TVB983082:TVB983094 UEX983082:UEX983094 UOT983082:UOT983094 UYP983082:UYP983094 VIL983082:VIL983094 VSH983082:VSH983094 WCD983082:WCD983094 WLZ983082:WLZ983094 WVV983082:WVV983094">
      <formula1>NA</formula1>
    </dataValidation>
  </dataValidations>
  <printOptions horizontalCentered="1"/>
  <pageMargins left="0.70866141732283472" right="0.70866141732283472" top="0.74803149606299213" bottom="0.74803149606299213" header="0.31496062992125984" footer="0.31496062992125984"/>
  <pageSetup scale="78" orientation="portrait" r:id="rId1"/>
  <headerFooter alignWithMargins="0">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Check Box 3">
              <controlPr defaultSize="0" autoFill="0" autoLine="0" autoPict="0">
                <anchor moveWithCells="1">
                  <from>
                    <xdr:col>8</xdr:col>
                    <xdr:colOff>0</xdr:colOff>
                    <xdr:row>12</xdr:row>
                    <xdr:rowOff>0</xdr:rowOff>
                  </from>
                  <to>
                    <xdr:col>8</xdr:col>
                    <xdr:colOff>542925</xdr:colOff>
                    <xdr:row>13</xdr:row>
                    <xdr:rowOff>9525</xdr:rowOff>
                  </to>
                </anchor>
              </controlPr>
            </control>
          </mc:Choice>
        </mc:AlternateContent>
        <mc:AlternateContent xmlns:mc="http://schemas.openxmlformats.org/markup-compatibility/2006">
          <mc:Choice Requires="x14">
            <control shapeId="8196" r:id="rId5" name="Check Box 4">
              <controlPr defaultSize="0" autoFill="0" autoLine="0" autoPict="0">
                <anchor moveWithCells="1">
                  <from>
                    <xdr:col>8</xdr:col>
                    <xdr:colOff>523875</xdr:colOff>
                    <xdr:row>12</xdr:row>
                    <xdr:rowOff>0</xdr:rowOff>
                  </from>
                  <to>
                    <xdr:col>9</xdr:col>
                    <xdr:colOff>485775</xdr:colOff>
                    <xdr:row>13</xdr:row>
                    <xdr:rowOff>9525</xdr:rowOff>
                  </to>
                </anchor>
              </controlPr>
            </control>
          </mc:Choice>
        </mc:AlternateContent>
        <mc:AlternateContent xmlns:mc="http://schemas.openxmlformats.org/markup-compatibility/2006">
          <mc:Choice Requires="x14">
            <control shapeId="8197" r:id="rId6" name="Check Box 5">
              <controlPr defaultSize="0" autoFill="0" autoLine="0" autoPict="0">
                <anchor moveWithCells="1">
                  <from>
                    <xdr:col>8</xdr:col>
                    <xdr:colOff>0</xdr:colOff>
                    <xdr:row>13</xdr:row>
                    <xdr:rowOff>0</xdr:rowOff>
                  </from>
                  <to>
                    <xdr:col>8</xdr:col>
                    <xdr:colOff>542925</xdr:colOff>
                    <xdr:row>14</xdr:row>
                    <xdr:rowOff>9525</xdr:rowOff>
                  </to>
                </anchor>
              </controlPr>
            </control>
          </mc:Choice>
        </mc:AlternateContent>
        <mc:AlternateContent xmlns:mc="http://schemas.openxmlformats.org/markup-compatibility/2006">
          <mc:Choice Requires="x14">
            <control shapeId="8198" r:id="rId7" name="Check Box 6">
              <controlPr defaultSize="0" autoFill="0" autoLine="0" autoPict="0">
                <anchor moveWithCells="1">
                  <from>
                    <xdr:col>8</xdr:col>
                    <xdr:colOff>523875</xdr:colOff>
                    <xdr:row>13</xdr:row>
                    <xdr:rowOff>0</xdr:rowOff>
                  </from>
                  <to>
                    <xdr:col>9</xdr:col>
                    <xdr:colOff>485775</xdr:colOff>
                    <xdr:row>14</xdr:row>
                    <xdr:rowOff>9525</xdr:rowOff>
                  </to>
                </anchor>
              </controlPr>
            </control>
          </mc:Choice>
        </mc:AlternateContent>
        <mc:AlternateContent xmlns:mc="http://schemas.openxmlformats.org/markup-compatibility/2006">
          <mc:Choice Requires="x14">
            <control shapeId="8199" r:id="rId8" name="Check Box 7">
              <controlPr defaultSize="0" autoFill="0" autoLine="0" autoPict="0">
                <anchor moveWithCells="1">
                  <from>
                    <xdr:col>2</xdr:col>
                    <xdr:colOff>247650</xdr:colOff>
                    <xdr:row>15</xdr:row>
                    <xdr:rowOff>9525</xdr:rowOff>
                  </from>
                  <to>
                    <xdr:col>3</xdr:col>
                    <xdr:colOff>104775</xdr:colOff>
                    <xdr:row>16</xdr:row>
                    <xdr:rowOff>9525</xdr:rowOff>
                  </to>
                </anchor>
              </controlPr>
            </control>
          </mc:Choice>
        </mc:AlternateContent>
        <mc:AlternateContent xmlns:mc="http://schemas.openxmlformats.org/markup-compatibility/2006">
          <mc:Choice Requires="x14">
            <control shapeId="8200" r:id="rId9" name="Check Box 8">
              <controlPr defaultSize="0" autoFill="0" autoLine="0" autoPict="0">
                <anchor moveWithCells="1">
                  <from>
                    <xdr:col>13</xdr:col>
                    <xdr:colOff>114300</xdr:colOff>
                    <xdr:row>15</xdr:row>
                    <xdr:rowOff>9525</xdr:rowOff>
                  </from>
                  <to>
                    <xdr:col>13</xdr:col>
                    <xdr:colOff>419100</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L29"/>
  <sheetViews>
    <sheetView showGridLines="0" workbookViewId="0">
      <selection activeCell="C4" sqref="C4:H4"/>
    </sheetView>
  </sheetViews>
  <sheetFormatPr defaultRowHeight="12.75"/>
  <cols>
    <col min="1" max="1" width="3.875" style="618" customWidth="1"/>
    <col min="2" max="2" width="19.125" style="618" customWidth="1"/>
    <col min="3" max="4" width="8.625" style="618" customWidth="1"/>
    <col min="5" max="5" width="9" style="618" customWidth="1"/>
    <col min="6" max="6" width="3.25" style="618" customWidth="1"/>
    <col min="7" max="7" width="13.75" style="618" customWidth="1"/>
    <col min="8" max="8" width="8.5" style="618" customWidth="1"/>
    <col min="9" max="9" width="9.5" style="618" customWidth="1"/>
    <col min="10" max="10" width="8.375" style="618" customWidth="1"/>
    <col min="11" max="11" width="8.625" style="618" customWidth="1"/>
    <col min="12" max="16384" width="9" style="618"/>
  </cols>
  <sheetData>
    <row r="1" spans="1:12" ht="27" customHeight="1">
      <c r="A1" s="744" t="s">
        <v>380</v>
      </c>
      <c r="B1" s="744"/>
      <c r="C1" s="744"/>
      <c r="D1" s="744"/>
      <c r="E1" s="744"/>
      <c r="F1" s="744"/>
      <c r="G1" s="744"/>
      <c r="H1" s="744"/>
      <c r="I1" s="744"/>
      <c r="J1" s="744"/>
      <c r="K1" s="744"/>
    </row>
    <row r="2" spans="1:12" ht="18" customHeight="1">
      <c r="A2" s="684" t="s">
        <v>418</v>
      </c>
      <c r="B2" s="683"/>
      <c r="C2" s="683"/>
      <c r="D2" s="683"/>
      <c r="E2" s="683"/>
      <c r="F2" s="683"/>
      <c r="G2" s="683"/>
      <c r="H2" s="683"/>
      <c r="I2" s="683"/>
      <c r="J2" s="683"/>
      <c r="K2" s="683"/>
    </row>
    <row r="3" spans="1:12" ht="15.75" customHeight="1"/>
    <row r="4" spans="1:12" ht="24" customHeight="1">
      <c r="A4" s="682" t="s">
        <v>419</v>
      </c>
      <c r="B4" s="681"/>
      <c r="C4" s="679"/>
      <c r="D4" s="679"/>
      <c r="E4" s="679"/>
      <c r="F4" s="679"/>
      <c r="G4" s="679"/>
      <c r="H4" s="679"/>
      <c r="I4" s="679"/>
      <c r="J4" s="680"/>
      <c r="K4" s="679"/>
    </row>
    <row r="5" spans="1:12" ht="42" customHeight="1">
      <c r="A5" s="747" t="s">
        <v>580</v>
      </c>
      <c r="B5" s="747"/>
      <c r="C5" s="747"/>
      <c r="D5" s="747"/>
      <c r="E5" s="747"/>
      <c r="F5" s="747"/>
      <c r="G5" s="747"/>
      <c r="H5" s="747"/>
      <c r="I5" s="747"/>
      <c r="J5" s="747"/>
      <c r="K5" s="747"/>
    </row>
    <row r="6" spans="1:12" ht="15" customHeight="1">
      <c r="A6" s="678" t="s">
        <v>579</v>
      </c>
      <c r="B6" s="677"/>
      <c r="C6" s="677"/>
      <c r="D6" s="677"/>
      <c r="E6" s="677"/>
      <c r="F6" s="677"/>
      <c r="G6" s="677"/>
      <c r="H6" s="677"/>
      <c r="I6" s="676"/>
      <c r="J6" s="675"/>
      <c r="K6" s="675"/>
    </row>
    <row r="7" spans="1:12" ht="15" customHeight="1">
      <c r="A7" s="674" t="s">
        <v>578</v>
      </c>
      <c r="B7" s="673"/>
      <c r="C7" s="673"/>
      <c r="D7" s="673"/>
      <c r="E7" s="673"/>
      <c r="F7" s="673"/>
      <c r="G7" s="673"/>
      <c r="H7" s="673"/>
      <c r="I7" s="673"/>
      <c r="J7" s="673"/>
      <c r="K7" s="673"/>
    </row>
    <row r="8" spans="1:12" ht="15" customHeight="1">
      <c r="J8" s="746"/>
      <c r="K8" s="746"/>
    </row>
    <row r="9" spans="1:12" ht="15" customHeight="1">
      <c r="A9" s="659"/>
      <c r="E9" s="659"/>
      <c r="H9" s="634" t="s">
        <v>420</v>
      </c>
      <c r="I9" s="672"/>
      <c r="J9" s="745" t="s">
        <v>403</v>
      </c>
      <c r="K9" s="745"/>
    </row>
    <row r="10" spans="1:12" ht="15.75" customHeight="1">
      <c r="A10" s="671" t="s">
        <v>421</v>
      </c>
      <c r="B10" s="623" t="s">
        <v>422</v>
      </c>
      <c r="C10" s="622"/>
      <c r="E10" s="659"/>
      <c r="H10" s="670" t="s">
        <v>423</v>
      </c>
      <c r="J10" s="741"/>
      <c r="K10" s="742"/>
    </row>
    <row r="11" spans="1:12" ht="15.75" customHeight="1">
      <c r="A11" s="666" t="s">
        <v>424</v>
      </c>
      <c r="B11" s="623" t="s">
        <v>425</v>
      </c>
      <c r="C11" s="622"/>
      <c r="E11" s="659"/>
      <c r="H11" s="669" t="s">
        <v>426</v>
      </c>
      <c r="J11" s="741"/>
      <c r="K11" s="742"/>
    </row>
    <row r="12" spans="1:12" ht="15.75" customHeight="1">
      <c r="A12" s="666" t="s">
        <v>427</v>
      </c>
      <c r="B12" s="623" t="s">
        <v>428</v>
      </c>
      <c r="C12" s="622"/>
      <c r="E12" s="659"/>
      <c r="H12" s="667" t="s">
        <v>429</v>
      </c>
      <c r="J12" s="741"/>
      <c r="K12" s="742"/>
    </row>
    <row r="13" spans="1:12" ht="15.75" customHeight="1">
      <c r="A13" s="668" t="s">
        <v>430</v>
      </c>
      <c r="B13" s="623" t="s">
        <v>431</v>
      </c>
      <c r="C13" s="622"/>
      <c r="E13" s="659"/>
      <c r="H13" s="667" t="s">
        <v>429</v>
      </c>
      <c r="J13" s="741"/>
      <c r="K13" s="742"/>
    </row>
    <row r="14" spans="1:12" ht="15.75" customHeight="1">
      <c r="A14" s="668" t="s">
        <v>432</v>
      </c>
      <c r="B14" s="623" t="s">
        <v>433</v>
      </c>
      <c r="C14" s="622"/>
      <c r="E14" s="659"/>
      <c r="H14" s="667" t="s">
        <v>434</v>
      </c>
      <c r="J14" s="741"/>
      <c r="K14" s="742"/>
      <c r="L14" s="659"/>
    </row>
    <row r="15" spans="1:12" ht="15.75" customHeight="1">
      <c r="A15" s="666" t="s">
        <v>435</v>
      </c>
      <c r="B15" s="623" t="s">
        <v>436</v>
      </c>
      <c r="C15" s="622"/>
      <c r="E15" s="659"/>
      <c r="H15" s="667" t="s">
        <v>437</v>
      </c>
      <c r="J15" s="741"/>
      <c r="K15" s="742"/>
      <c r="L15" s="659"/>
    </row>
    <row r="16" spans="1:12" ht="15.75" customHeight="1">
      <c r="A16" s="666" t="s">
        <v>438</v>
      </c>
      <c r="B16" s="623" t="s">
        <v>439</v>
      </c>
      <c r="C16" s="622"/>
      <c r="E16" s="659"/>
      <c r="H16" s="667" t="s">
        <v>440</v>
      </c>
      <c r="J16" s="741"/>
      <c r="K16" s="742"/>
      <c r="L16" s="659"/>
    </row>
    <row r="17" spans="1:12" ht="15.75" customHeight="1">
      <c r="A17" s="666" t="s">
        <v>441</v>
      </c>
      <c r="B17" s="665" t="s">
        <v>577</v>
      </c>
      <c r="C17" s="622"/>
      <c r="H17" s="664" t="s">
        <v>442</v>
      </c>
      <c r="I17" s="619"/>
      <c r="J17" s="741"/>
      <c r="K17" s="742"/>
      <c r="L17" s="663"/>
    </row>
    <row r="18" spans="1:12" ht="15.75" customHeight="1">
      <c r="A18" s="635"/>
      <c r="B18" s="662"/>
      <c r="E18" s="659"/>
      <c r="H18" s="661"/>
      <c r="J18" s="660"/>
      <c r="K18" s="660"/>
      <c r="L18" s="659"/>
    </row>
    <row r="19" spans="1:12" ht="24" customHeight="1">
      <c r="A19" s="743" t="s">
        <v>443</v>
      </c>
      <c r="B19" s="743"/>
      <c r="C19" s="743"/>
      <c r="D19" s="743"/>
      <c r="E19" s="743"/>
      <c r="F19" s="743"/>
      <c r="G19" s="743"/>
      <c r="H19" s="743"/>
      <c r="I19" s="743"/>
      <c r="J19" s="743"/>
      <c r="K19" s="743"/>
    </row>
    <row r="20" spans="1:12" ht="15" customHeight="1">
      <c r="A20" s="658"/>
      <c r="B20" s="657"/>
      <c r="C20" s="657"/>
      <c r="D20" s="657"/>
      <c r="E20" s="657"/>
      <c r="F20" s="657"/>
      <c r="G20" s="657"/>
      <c r="H20" s="657"/>
      <c r="I20" s="657"/>
      <c r="J20" s="657"/>
      <c r="K20" s="657"/>
    </row>
    <row r="21" spans="1:12" ht="290.25" customHeight="1">
      <c r="A21" s="748"/>
      <c r="B21" s="749"/>
      <c r="C21" s="749"/>
      <c r="D21" s="749"/>
      <c r="E21" s="749"/>
      <c r="F21" s="749"/>
      <c r="G21" s="749"/>
      <c r="H21" s="749"/>
      <c r="I21" s="749"/>
      <c r="J21" s="749"/>
      <c r="K21" s="750"/>
    </row>
    <row r="22" spans="1:12" ht="15" customHeight="1" thickBot="1">
      <c r="A22" s="739"/>
      <c r="B22" s="739"/>
      <c r="C22" s="739"/>
      <c r="D22" s="739"/>
      <c r="E22" s="739"/>
      <c r="F22" s="739"/>
      <c r="G22" s="739"/>
      <c r="H22" s="739"/>
      <c r="I22" s="739"/>
      <c r="J22" s="739"/>
      <c r="K22" s="739"/>
    </row>
    <row r="23" spans="1:12" ht="13.5" hidden="1" thickBot="1">
      <c r="A23" s="740"/>
      <c r="B23" s="740"/>
      <c r="C23" s="740"/>
      <c r="D23" s="740"/>
      <c r="E23" s="740"/>
      <c r="F23" s="740"/>
      <c r="G23" s="740"/>
      <c r="H23" s="740"/>
      <c r="I23" s="740"/>
      <c r="J23" s="740"/>
      <c r="K23" s="740"/>
    </row>
    <row r="24" spans="1:12" ht="13.5" hidden="1" thickBot="1">
      <c r="A24" s="740"/>
      <c r="B24" s="740"/>
      <c r="C24" s="740"/>
      <c r="D24" s="740"/>
      <c r="E24" s="740"/>
      <c r="F24" s="740"/>
      <c r="G24" s="740"/>
      <c r="H24" s="740"/>
      <c r="I24" s="740"/>
      <c r="J24" s="740"/>
      <c r="K24" s="740"/>
    </row>
    <row r="25" spans="1:12" ht="13.5" hidden="1" thickBot="1">
      <c r="A25" s="740"/>
      <c r="B25" s="740"/>
      <c r="C25" s="740"/>
      <c r="D25" s="740"/>
      <c r="E25" s="740"/>
      <c r="F25" s="740"/>
      <c r="G25" s="740"/>
      <c r="H25" s="740"/>
      <c r="I25" s="740"/>
      <c r="J25" s="740"/>
      <c r="K25" s="740"/>
    </row>
    <row r="26" spans="1:12" ht="13.5" hidden="1" thickBot="1">
      <c r="A26" s="740"/>
      <c r="B26" s="740"/>
      <c r="C26" s="740"/>
      <c r="D26" s="740"/>
      <c r="E26" s="740"/>
      <c r="F26" s="740"/>
      <c r="G26" s="740"/>
      <c r="H26" s="740"/>
      <c r="I26" s="740"/>
      <c r="J26" s="740"/>
      <c r="K26" s="740"/>
    </row>
    <row r="27" spans="1:12" ht="13.5" hidden="1" thickBot="1">
      <c r="A27" s="740"/>
      <c r="B27" s="740"/>
      <c r="C27" s="740"/>
      <c r="D27" s="740"/>
      <c r="E27" s="740"/>
      <c r="F27" s="740"/>
      <c r="G27" s="740"/>
      <c r="H27" s="740"/>
      <c r="I27" s="740"/>
      <c r="J27" s="740"/>
      <c r="K27" s="740"/>
    </row>
    <row r="28" spans="1:12" ht="13.5" hidden="1" thickBot="1">
      <c r="A28" s="740"/>
      <c r="B28" s="740"/>
      <c r="C28" s="740"/>
      <c r="D28" s="740"/>
      <c r="E28" s="740"/>
      <c r="F28" s="740"/>
      <c r="G28" s="740"/>
      <c r="H28" s="740"/>
      <c r="I28" s="740"/>
      <c r="J28" s="740"/>
      <c r="K28" s="740"/>
    </row>
    <row r="29" spans="1:12" ht="201.75" customHeight="1" thickBot="1">
      <c r="A29" s="736" t="s">
        <v>576</v>
      </c>
      <c r="B29" s="737"/>
      <c r="C29" s="737"/>
      <c r="D29" s="737"/>
      <c r="E29" s="737"/>
      <c r="F29" s="737"/>
      <c r="G29" s="737"/>
      <c r="H29" s="737"/>
      <c r="I29" s="737"/>
      <c r="J29" s="737"/>
      <c r="K29" s="738"/>
    </row>
  </sheetData>
  <mergeCells count="16">
    <mergeCell ref="A1:K1"/>
    <mergeCell ref="J9:K9"/>
    <mergeCell ref="J8:K8"/>
    <mergeCell ref="A5:K5"/>
    <mergeCell ref="A21:K21"/>
    <mergeCell ref="A29:K29"/>
    <mergeCell ref="A22:K28"/>
    <mergeCell ref="J10:K10"/>
    <mergeCell ref="J12:K12"/>
    <mergeCell ref="J11:K11"/>
    <mergeCell ref="J13:K13"/>
    <mergeCell ref="J14:K14"/>
    <mergeCell ref="J15:K15"/>
    <mergeCell ref="J16:K16"/>
    <mergeCell ref="A19:K19"/>
    <mergeCell ref="J17:K17"/>
  </mergeCells>
  <conditionalFormatting sqref="J10:K17">
    <cfRule type="cellIs" dxfId="58" priority="1" stopIfTrue="1" operator="equal">
      <formula>"Fail"</formula>
    </cfRule>
  </conditionalFormatting>
  <dataValidations count="2">
    <dataValidation type="list" allowBlank="1" showInputMessage="1" showErrorMessage="1" sqref="I17:K17 JE17:JG17 TA17:TC17 ACW17:ACY17 AMS17:AMU17 AWO17:AWQ17 BGK17:BGM17 BQG17:BQI17 CAC17:CAE17 CJY17:CKA17 CTU17:CTW17 DDQ17:DDS17 DNM17:DNO17 DXI17:DXK17 EHE17:EHG17 ERA17:ERC17 FAW17:FAY17 FKS17:FKU17 FUO17:FUQ17 GEK17:GEM17 GOG17:GOI17 GYC17:GYE17 HHY17:HIA17 HRU17:HRW17 IBQ17:IBS17 ILM17:ILO17 IVI17:IVK17 JFE17:JFG17 JPA17:JPC17 JYW17:JYY17 KIS17:KIU17 KSO17:KSQ17 LCK17:LCM17 LMG17:LMI17 LWC17:LWE17 MFY17:MGA17 MPU17:MPW17 MZQ17:MZS17 NJM17:NJO17 NTI17:NTK17 ODE17:ODG17 ONA17:ONC17 OWW17:OWY17 PGS17:PGU17 PQO17:PQQ17 QAK17:QAM17 QKG17:QKI17 QUC17:QUE17 RDY17:REA17 RNU17:RNW17 RXQ17:RXS17 SHM17:SHO17 SRI17:SRK17 TBE17:TBG17 TLA17:TLC17 TUW17:TUY17 UES17:UEU17 UOO17:UOQ17 UYK17:UYM17 VIG17:VII17 VSC17:VSE17 WBY17:WCA17 WLU17:WLW17 WVQ17:WVS17 I65553:K65553 JE65553:JG65553 TA65553:TC65553 ACW65553:ACY65553 AMS65553:AMU65553 AWO65553:AWQ65553 BGK65553:BGM65553 BQG65553:BQI65553 CAC65553:CAE65553 CJY65553:CKA65553 CTU65553:CTW65553 DDQ65553:DDS65553 DNM65553:DNO65553 DXI65553:DXK65553 EHE65553:EHG65553 ERA65553:ERC65553 FAW65553:FAY65553 FKS65553:FKU65553 FUO65553:FUQ65553 GEK65553:GEM65553 GOG65553:GOI65553 GYC65553:GYE65553 HHY65553:HIA65553 HRU65553:HRW65553 IBQ65553:IBS65553 ILM65553:ILO65553 IVI65553:IVK65553 JFE65553:JFG65553 JPA65553:JPC65553 JYW65553:JYY65553 KIS65553:KIU65553 KSO65553:KSQ65553 LCK65553:LCM65553 LMG65553:LMI65553 LWC65553:LWE65553 MFY65553:MGA65553 MPU65553:MPW65553 MZQ65553:MZS65553 NJM65553:NJO65553 NTI65553:NTK65553 ODE65553:ODG65553 ONA65553:ONC65553 OWW65553:OWY65553 PGS65553:PGU65553 PQO65553:PQQ65553 QAK65553:QAM65553 QKG65553:QKI65553 QUC65553:QUE65553 RDY65553:REA65553 RNU65553:RNW65553 RXQ65553:RXS65553 SHM65553:SHO65553 SRI65553:SRK65553 TBE65553:TBG65553 TLA65553:TLC65553 TUW65553:TUY65553 UES65553:UEU65553 UOO65553:UOQ65553 UYK65553:UYM65553 VIG65553:VII65553 VSC65553:VSE65553 WBY65553:WCA65553 WLU65553:WLW65553 WVQ65553:WVS65553 I131089:K131089 JE131089:JG131089 TA131089:TC131089 ACW131089:ACY131089 AMS131089:AMU131089 AWO131089:AWQ131089 BGK131089:BGM131089 BQG131089:BQI131089 CAC131089:CAE131089 CJY131089:CKA131089 CTU131089:CTW131089 DDQ131089:DDS131089 DNM131089:DNO131089 DXI131089:DXK131089 EHE131089:EHG131089 ERA131089:ERC131089 FAW131089:FAY131089 FKS131089:FKU131089 FUO131089:FUQ131089 GEK131089:GEM131089 GOG131089:GOI131089 GYC131089:GYE131089 HHY131089:HIA131089 HRU131089:HRW131089 IBQ131089:IBS131089 ILM131089:ILO131089 IVI131089:IVK131089 JFE131089:JFG131089 JPA131089:JPC131089 JYW131089:JYY131089 KIS131089:KIU131089 KSO131089:KSQ131089 LCK131089:LCM131089 LMG131089:LMI131089 LWC131089:LWE131089 MFY131089:MGA131089 MPU131089:MPW131089 MZQ131089:MZS131089 NJM131089:NJO131089 NTI131089:NTK131089 ODE131089:ODG131089 ONA131089:ONC131089 OWW131089:OWY131089 PGS131089:PGU131089 PQO131089:PQQ131089 QAK131089:QAM131089 QKG131089:QKI131089 QUC131089:QUE131089 RDY131089:REA131089 RNU131089:RNW131089 RXQ131089:RXS131089 SHM131089:SHO131089 SRI131089:SRK131089 TBE131089:TBG131089 TLA131089:TLC131089 TUW131089:TUY131089 UES131089:UEU131089 UOO131089:UOQ131089 UYK131089:UYM131089 VIG131089:VII131089 VSC131089:VSE131089 WBY131089:WCA131089 WLU131089:WLW131089 WVQ131089:WVS131089 I196625:K196625 JE196625:JG196625 TA196625:TC196625 ACW196625:ACY196625 AMS196625:AMU196625 AWO196625:AWQ196625 BGK196625:BGM196625 BQG196625:BQI196625 CAC196625:CAE196625 CJY196625:CKA196625 CTU196625:CTW196625 DDQ196625:DDS196625 DNM196625:DNO196625 DXI196625:DXK196625 EHE196625:EHG196625 ERA196625:ERC196625 FAW196625:FAY196625 FKS196625:FKU196625 FUO196625:FUQ196625 GEK196625:GEM196625 GOG196625:GOI196625 GYC196625:GYE196625 HHY196625:HIA196625 HRU196625:HRW196625 IBQ196625:IBS196625 ILM196625:ILO196625 IVI196625:IVK196625 JFE196625:JFG196625 JPA196625:JPC196625 JYW196625:JYY196625 KIS196625:KIU196625 KSO196625:KSQ196625 LCK196625:LCM196625 LMG196625:LMI196625 LWC196625:LWE196625 MFY196625:MGA196625 MPU196625:MPW196625 MZQ196625:MZS196625 NJM196625:NJO196625 NTI196625:NTK196625 ODE196625:ODG196625 ONA196625:ONC196625 OWW196625:OWY196625 PGS196625:PGU196625 PQO196625:PQQ196625 QAK196625:QAM196625 QKG196625:QKI196625 QUC196625:QUE196625 RDY196625:REA196625 RNU196625:RNW196625 RXQ196625:RXS196625 SHM196625:SHO196625 SRI196625:SRK196625 TBE196625:TBG196625 TLA196625:TLC196625 TUW196625:TUY196625 UES196625:UEU196625 UOO196625:UOQ196625 UYK196625:UYM196625 VIG196625:VII196625 VSC196625:VSE196625 WBY196625:WCA196625 WLU196625:WLW196625 WVQ196625:WVS196625 I262161:K262161 JE262161:JG262161 TA262161:TC262161 ACW262161:ACY262161 AMS262161:AMU262161 AWO262161:AWQ262161 BGK262161:BGM262161 BQG262161:BQI262161 CAC262161:CAE262161 CJY262161:CKA262161 CTU262161:CTW262161 DDQ262161:DDS262161 DNM262161:DNO262161 DXI262161:DXK262161 EHE262161:EHG262161 ERA262161:ERC262161 FAW262161:FAY262161 FKS262161:FKU262161 FUO262161:FUQ262161 GEK262161:GEM262161 GOG262161:GOI262161 GYC262161:GYE262161 HHY262161:HIA262161 HRU262161:HRW262161 IBQ262161:IBS262161 ILM262161:ILO262161 IVI262161:IVK262161 JFE262161:JFG262161 JPA262161:JPC262161 JYW262161:JYY262161 KIS262161:KIU262161 KSO262161:KSQ262161 LCK262161:LCM262161 LMG262161:LMI262161 LWC262161:LWE262161 MFY262161:MGA262161 MPU262161:MPW262161 MZQ262161:MZS262161 NJM262161:NJO262161 NTI262161:NTK262161 ODE262161:ODG262161 ONA262161:ONC262161 OWW262161:OWY262161 PGS262161:PGU262161 PQO262161:PQQ262161 QAK262161:QAM262161 QKG262161:QKI262161 QUC262161:QUE262161 RDY262161:REA262161 RNU262161:RNW262161 RXQ262161:RXS262161 SHM262161:SHO262161 SRI262161:SRK262161 TBE262161:TBG262161 TLA262161:TLC262161 TUW262161:TUY262161 UES262161:UEU262161 UOO262161:UOQ262161 UYK262161:UYM262161 VIG262161:VII262161 VSC262161:VSE262161 WBY262161:WCA262161 WLU262161:WLW262161 WVQ262161:WVS262161 I327697:K327697 JE327697:JG327697 TA327697:TC327697 ACW327697:ACY327697 AMS327697:AMU327697 AWO327697:AWQ327697 BGK327697:BGM327697 BQG327697:BQI327697 CAC327697:CAE327697 CJY327697:CKA327697 CTU327697:CTW327697 DDQ327697:DDS327697 DNM327697:DNO327697 DXI327697:DXK327697 EHE327697:EHG327697 ERA327697:ERC327697 FAW327697:FAY327697 FKS327697:FKU327697 FUO327697:FUQ327697 GEK327697:GEM327697 GOG327697:GOI327697 GYC327697:GYE327697 HHY327697:HIA327697 HRU327697:HRW327697 IBQ327697:IBS327697 ILM327697:ILO327697 IVI327697:IVK327697 JFE327697:JFG327697 JPA327697:JPC327697 JYW327697:JYY327697 KIS327697:KIU327697 KSO327697:KSQ327697 LCK327697:LCM327697 LMG327697:LMI327697 LWC327697:LWE327697 MFY327697:MGA327697 MPU327697:MPW327697 MZQ327697:MZS327697 NJM327697:NJO327697 NTI327697:NTK327697 ODE327697:ODG327697 ONA327697:ONC327697 OWW327697:OWY327697 PGS327697:PGU327697 PQO327697:PQQ327697 QAK327697:QAM327697 QKG327697:QKI327697 QUC327697:QUE327697 RDY327697:REA327697 RNU327697:RNW327697 RXQ327697:RXS327697 SHM327697:SHO327697 SRI327697:SRK327697 TBE327697:TBG327697 TLA327697:TLC327697 TUW327697:TUY327697 UES327697:UEU327697 UOO327697:UOQ327697 UYK327697:UYM327697 VIG327697:VII327697 VSC327697:VSE327697 WBY327697:WCA327697 WLU327697:WLW327697 WVQ327697:WVS327697 I393233:K393233 JE393233:JG393233 TA393233:TC393233 ACW393233:ACY393233 AMS393233:AMU393233 AWO393233:AWQ393233 BGK393233:BGM393233 BQG393233:BQI393233 CAC393233:CAE393233 CJY393233:CKA393233 CTU393233:CTW393233 DDQ393233:DDS393233 DNM393233:DNO393233 DXI393233:DXK393233 EHE393233:EHG393233 ERA393233:ERC393233 FAW393233:FAY393233 FKS393233:FKU393233 FUO393233:FUQ393233 GEK393233:GEM393233 GOG393233:GOI393233 GYC393233:GYE393233 HHY393233:HIA393233 HRU393233:HRW393233 IBQ393233:IBS393233 ILM393233:ILO393233 IVI393233:IVK393233 JFE393233:JFG393233 JPA393233:JPC393233 JYW393233:JYY393233 KIS393233:KIU393233 KSO393233:KSQ393233 LCK393233:LCM393233 LMG393233:LMI393233 LWC393233:LWE393233 MFY393233:MGA393233 MPU393233:MPW393233 MZQ393233:MZS393233 NJM393233:NJO393233 NTI393233:NTK393233 ODE393233:ODG393233 ONA393233:ONC393233 OWW393233:OWY393233 PGS393233:PGU393233 PQO393233:PQQ393233 QAK393233:QAM393233 QKG393233:QKI393233 QUC393233:QUE393233 RDY393233:REA393233 RNU393233:RNW393233 RXQ393233:RXS393233 SHM393233:SHO393233 SRI393233:SRK393233 TBE393233:TBG393233 TLA393233:TLC393233 TUW393233:TUY393233 UES393233:UEU393233 UOO393233:UOQ393233 UYK393233:UYM393233 VIG393233:VII393233 VSC393233:VSE393233 WBY393233:WCA393233 WLU393233:WLW393233 WVQ393233:WVS393233 I458769:K458769 JE458769:JG458769 TA458769:TC458769 ACW458769:ACY458769 AMS458769:AMU458769 AWO458769:AWQ458769 BGK458769:BGM458769 BQG458769:BQI458769 CAC458769:CAE458769 CJY458769:CKA458769 CTU458769:CTW458769 DDQ458769:DDS458769 DNM458769:DNO458769 DXI458769:DXK458769 EHE458769:EHG458769 ERA458769:ERC458769 FAW458769:FAY458769 FKS458769:FKU458769 FUO458769:FUQ458769 GEK458769:GEM458769 GOG458769:GOI458769 GYC458769:GYE458769 HHY458769:HIA458769 HRU458769:HRW458769 IBQ458769:IBS458769 ILM458769:ILO458769 IVI458769:IVK458769 JFE458769:JFG458769 JPA458769:JPC458769 JYW458769:JYY458769 KIS458769:KIU458769 KSO458769:KSQ458769 LCK458769:LCM458769 LMG458769:LMI458769 LWC458769:LWE458769 MFY458769:MGA458769 MPU458769:MPW458769 MZQ458769:MZS458769 NJM458769:NJO458769 NTI458769:NTK458769 ODE458769:ODG458769 ONA458769:ONC458769 OWW458769:OWY458769 PGS458769:PGU458769 PQO458769:PQQ458769 QAK458769:QAM458769 QKG458769:QKI458769 QUC458769:QUE458769 RDY458769:REA458769 RNU458769:RNW458769 RXQ458769:RXS458769 SHM458769:SHO458769 SRI458769:SRK458769 TBE458769:TBG458769 TLA458769:TLC458769 TUW458769:TUY458769 UES458769:UEU458769 UOO458769:UOQ458769 UYK458769:UYM458769 VIG458769:VII458769 VSC458769:VSE458769 WBY458769:WCA458769 WLU458769:WLW458769 WVQ458769:WVS458769 I524305:K524305 JE524305:JG524305 TA524305:TC524305 ACW524305:ACY524305 AMS524305:AMU524305 AWO524305:AWQ524305 BGK524305:BGM524305 BQG524305:BQI524305 CAC524305:CAE524305 CJY524305:CKA524305 CTU524305:CTW524305 DDQ524305:DDS524305 DNM524305:DNO524305 DXI524305:DXK524305 EHE524305:EHG524305 ERA524305:ERC524305 FAW524305:FAY524305 FKS524305:FKU524305 FUO524305:FUQ524305 GEK524305:GEM524305 GOG524305:GOI524305 GYC524305:GYE524305 HHY524305:HIA524305 HRU524305:HRW524305 IBQ524305:IBS524305 ILM524305:ILO524305 IVI524305:IVK524305 JFE524305:JFG524305 JPA524305:JPC524305 JYW524305:JYY524305 KIS524305:KIU524305 KSO524305:KSQ524305 LCK524305:LCM524305 LMG524305:LMI524305 LWC524305:LWE524305 MFY524305:MGA524305 MPU524305:MPW524305 MZQ524305:MZS524305 NJM524305:NJO524305 NTI524305:NTK524305 ODE524305:ODG524305 ONA524305:ONC524305 OWW524305:OWY524305 PGS524305:PGU524305 PQO524305:PQQ524305 QAK524305:QAM524305 QKG524305:QKI524305 QUC524305:QUE524305 RDY524305:REA524305 RNU524305:RNW524305 RXQ524305:RXS524305 SHM524305:SHO524305 SRI524305:SRK524305 TBE524305:TBG524305 TLA524305:TLC524305 TUW524305:TUY524305 UES524305:UEU524305 UOO524305:UOQ524305 UYK524305:UYM524305 VIG524305:VII524305 VSC524305:VSE524305 WBY524305:WCA524305 WLU524305:WLW524305 WVQ524305:WVS524305 I589841:K589841 JE589841:JG589841 TA589841:TC589841 ACW589841:ACY589841 AMS589841:AMU589841 AWO589841:AWQ589841 BGK589841:BGM589841 BQG589841:BQI589841 CAC589841:CAE589841 CJY589841:CKA589841 CTU589841:CTW589841 DDQ589841:DDS589841 DNM589841:DNO589841 DXI589841:DXK589841 EHE589841:EHG589841 ERA589841:ERC589841 FAW589841:FAY589841 FKS589841:FKU589841 FUO589841:FUQ589841 GEK589841:GEM589841 GOG589841:GOI589841 GYC589841:GYE589841 HHY589841:HIA589841 HRU589841:HRW589841 IBQ589841:IBS589841 ILM589841:ILO589841 IVI589841:IVK589841 JFE589841:JFG589841 JPA589841:JPC589841 JYW589841:JYY589841 KIS589841:KIU589841 KSO589841:KSQ589841 LCK589841:LCM589841 LMG589841:LMI589841 LWC589841:LWE589841 MFY589841:MGA589841 MPU589841:MPW589841 MZQ589841:MZS589841 NJM589841:NJO589841 NTI589841:NTK589841 ODE589841:ODG589841 ONA589841:ONC589841 OWW589841:OWY589841 PGS589841:PGU589841 PQO589841:PQQ589841 QAK589841:QAM589841 QKG589841:QKI589841 QUC589841:QUE589841 RDY589841:REA589841 RNU589841:RNW589841 RXQ589841:RXS589841 SHM589841:SHO589841 SRI589841:SRK589841 TBE589841:TBG589841 TLA589841:TLC589841 TUW589841:TUY589841 UES589841:UEU589841 UOO589841:UOQ589841 UYK589841:UYM589841 VIG589841:VII589841 VSC589841:VSE589841 WBY589841:WCA589841 WLU589841:WLW589841 WVQ589841:WVS589841 I655377:K655377 JE655377:JG655377 TA655377:TC655377 ACW655377:ACY655377 AMS655377:AMU655377 AWO655377:AWQ655377 BGK655377:BGM655377 BQG655377:BQI655377 CAC655377:CAE655377 CJY655377:CKA655377 CTU655377:CTW655377 DDQ655377:DDS655377 DNM655377:DNO655377 DXI655377:DXK655377 EHE655377:EHG655377 ERA655377:ERC655377 FAW655377:FAY655377 FKS655377:FKU655377 FUO655377:FUQ655377 GEK655377:GEM655377 GOG655377:GOI655377 GYC655377:GYE655377 HHY655377:HIA655377 HRU655377:HRW655377 IBQ655377:IBS655377 ILM655377:ILO655377 IVI655377:IVK655377 JFE655377:JFG655377 JPA655377:JPC655377 JYW655377:JYY655377 KIS655377:KIU655377 KSO655377:KSQ655377 LCK655377:LCM655377 LMG655377:LMI655377 LWC655377:LWE655377 MFY655377:MGA655377 MPU655377:MPW655377 MZQ655377:MZS655377 NJM655377:NJO655377 NTI655377:NTK655377 ODE655377:ODG655377 ONA655377:ONC655377 OWW655377:OWY655377 PGS655377:PGU655377 PQO655377:PQQ655377 QAK655377:QAM655377 QKG655377:QKI655377 QUC655377:QUE655377 RDY655377:REA655377 RNU655377:RNW655377 RXQ655377:RXS655377 SHM655377:SHO655377 SRI655377:SRK655377 TBE655377:TBG655377 TLA655377:TLC655377 TUW655377:TUY655377 UES655377:UEU655377 UOO655377:UOQ655377 UYK655377:UYM655377 VIG655377:VII655377 VSC655377:VSE655377 WBY655377:WCA655377 WLU655377:WLW655377 WVQ655377:WVS655377 I720913:K720913 JE720913:JG720913 TA720913:TC720913 ACW720913:ACY720913 AMS720913:AMU720913 AWO720913:AWQ720913 BGK720913:BGM720913 BQG720913:BQI720913 CAC720913:CAE720913 CJY720913:CKA720913 CTU720913:CTW720913 DDQ720913:DDS720913 DNM720913:DNO720913 DXI720913:DXK720913 EHE720913:EHG720913 ERA720913:ERC720913 FAW720913:FAY720913 FKS720913:FKU720913 FUO720913:FUQ720913 GEK720913:GEM720913 GOG720913:GOI720913 GYC720913:GYE720913 HHY720913:HIA720913 HRU720913:HRW720913 IBQ720913:IBS720913 ILM720913:ILO720913 IVI720913:IVK720913 JFE720913:JFG720913 JPA720913:JPC720913 JYW720913:JYY720913 KIS720913:KIU720913 KSO720913:KSQ720913 LCK720913:LCM720913 LMG720913:LMI720913 LWC720913:LWE720913 MFY720913:MGA720913 MPU720913:MPW720913 MZQ720913:MZS720913 NJM720913:NJO720913 NTI720913:NTK720913 ODE720913:ODG720913 ONA720913:ONC720913 OWW720913:OWY720913 PGS720913:PGU720913 PQO720913:PQQ720913 QAK720913:QAM720913 QKG720913:QKI720913 QUC720913:QUE720913 RDY720913:REA720913 RNU720913:RNW720913 RXQ720913:RXS720913 SHM720913:SHO720913 SRI720913:SRK720913 TBE720913:TBG720913 TLA720913:TLC720913 TUW720913:TUY720913 UES720913:UEU720913 UOO720913:UOQ720913 UYK720913:UYM720913 VIG720913:VII720913 VSC720913:VSE720913 WBY720913:WCA720913 WLU720913:WLW720913 WVQ720913:WVS720913 I786449:K786449 JE786449:JG786449 TA786449:TC786449 ACW786449:ACY786449 AMS786449:AMU786449 AWO786449:AWQ786449 BGK786449:BGM786449 BQG786449:BQI786449 CAC786449:CAE786449 CJY786449:CKA786449 CTU786449:CTW786449 DDQ786449:DDS786449 DNM786449:DNO786449 DXI786449:DXK786449 EHE786449:EHG786449 ERA786449:ERC786449 FAW786449:FAY786449 FKS786449:FKU786449 FUO786449:FUQ786449 GEK786449:GEM786449 GOG786449:GOI786449 GYC786449:GYE786449 HHY786449:HIA786449 HRU786449:HRW786449 IBQ786449:IBS786449 ILM786449:ILO786449 IVI786449:IVK786449 JFE786449:JFG786449 JPA786449:JPC786449 JYW786449:JYY786449 KIS786449:KIU786449 KSO786449:KSQ786449 LCK786449:LCM786449 LMG786449:LMI786449 LWC786449:LWE786449 MFY786449:MGA786449 MPU786449:MPW786449 MZQ786449:MZS786449 NJM786449:NJO786449 NTI786449:NTK786449 ODE786449:ODG786449 ONA786449:ONC786449 OWW786449:OWY786449 PGS786449:PGU786449 PQO786449:PQQ786449 QAK786449:QAM786449 QKG786449:QKI786449 QUC786449:QUE786449 RDY786449:REA786449 RNU786449:RNW786449 RXQ786449:RXS786449 SHM786449:SHO786449 SRI786449:SRK786449 TBE786449:TBG786449 TLA786449:TLC786449 TUW786449:TUY786449 UES786449:UEU786449 UOO786449:UOQ786449 UYK786449:UYM786449 VIG786449:VII786449 VSC786449:VSE786449 WBY786449:WCA786449 WLU786449:WLW786449 WVQ786449:WVS786449 I851985:K851985 JE851985:JG851985 TA851985:TC851985 ACW851985:ACY851985 AMS851985:AMU851985 AWO851985:AWQ851985 BGK851985:BGM851985 BQG851985:BQI851985 CAC851985:CAE851985 CJY851985:CKA851985 CTU851985:CTW851985 DDQ851985:DDS851985 DNM851985:DNO851985 DXI851985:DXK851985 EHE851985:EHG851985 ERA851985:ERC851985 FAW851985:FAY851985 FKS851985:FKU851985 FUO851985:FUQ851985 GEK851985:GEM851985 GOG851985:GOI851985 GYC851985:GYE851985 HHY851985:HIA851985 HRU851985:HRW851985 IBQ851985:IBS851985 ILM851985:ILO851985 IVI851985:IVK851985 JFE851985:JFG851985 JPA851985:JPC851985 JYW851985:JYY851985 KIS851985:KIU851985 KSO851985:KSQ851985 LCK851985:LCM851985 LMG851985:LMI851985 LWC851985:LWE851985 MFY851985:MGA851985 MPU851985:MPW851985 MZQ851985:MZS851985 NJM851985:NJO851985 NTI851985:NTK851985 ODE851985:ODG851985 ONA851985:ONC851985 OWW851985:OWY851985 PGS851985:PGU851985 PQO851985:PQQ851985 QAK851985:QAM851985 QKG851985:QKI851985 QUC851985:QUE851985 RDY851985:REA851985 RNU851985:RNW851985 RXQ851985:RXS851985 SHM851985:SHO851985 SRI851985:SRK851985 TBE851985:TBG851985 TLA851985:TLC851985 TUW851985:TUY851985 UES851985:UEU851985 UOO851985:UOQ851985 UYK851985:UYM851985 VIG851985:VII851985 VSC851985:VSE851985 WBY851985:WCA851985 WLU851985:WLW851985 WVQ851985:WVS851985 I917521:K917521 JE917521:JG917521 TA917521:TC917521 ACW917521:ACY917521 AMS917521:AMU917521 AWO917521:AWQ917521 BGK917521:BGM917521 BQG917521:BQI917521 CAC917521:CAE917521 CJY917521:CKA917521 CTU917521:CTW917521 DDQ917521:DDS917521 DNM917521:DNO917521 DXI917521:DXK917521 EHE917521:EHG917521 ERA917521:ERC917521 FAW917521:FAY917521 FKS917521:FKU917521 FUO917521:FUQ917521 GEK917521:GEM917521 GOG917521:GOI917521 GYC917521:GYE917521 HHY917521:HIA917521 HRU917521:HRW917521 IBQ917521:IBS917521 ILM917521:ILO917521 IVI917521:IVK917521 JFE917521:JFG917521 JPA917521:JPC917521 JYW917521:JYY917521 KIS917521:KIU917521 KSO917521:KSQ917521 LCK917521:LCM917521 LMG917521:LMI917521 LWC917521:LWE917521 MFY917521:MGA917521 MPU917521:MPW917521 MZQ917521:MZS917521 NJM917521:NJO917521 NTI917521:NTK917521 ODE917521:ODG917521 ONA917521:ONC917521 OWW917521:OWY917521 PGS917521:PGU917521 PQO917521:PQQ917521 QAK917521:QAM917521 QKG917521:QKI917521 QUC917521:QUE917521 RDY917521:REA917521 RNU917521:RNW917521 RXQ917521:RXS917521 SHM917521:SHO917521 SRI917521:SRK917521 TBE917521:TBG917521 TLA917521:TLC917521 TUW917521:TUY917521 UES917521:UEU917521 UOO917521:UOQ917521 UYK917521:UYM917521 VIG917521:VII917521 VSC917521:VSE917521 WBY917521:WCA917521 WLU917521:WLW917521 WVQ917521:WVS917521 I983057:K983057 JE983057:JG983057 TA983057:TC983057 ACW983057:ACY983057 AMS983057:AMU983057 AWO983057:AWQ983057 BGK983057:BGM983057 BQG983057:BQI983057 CAC983057:CAE983057 CJY983057:CKA983057 CTU983057:CTW983057 DDQ983057:DDS983057 DNM983057:DNO983057 DXI983057:DXK983057 EHE983057:EHG983057 ERA983057:ERC983057 FAW983057:FAY983057 FKS983057:FKU983057 FUO983057:FUQ983057 GEK983057:GEM983057 GOG983057:GOI983057 GYC983057:GYE983057 HHY983057:HIA983057 HRU983057:HRW983057 IBQ983057:IBS983057 ILM983057:ILO983057 IVI983057:IVK983057 JFE983057:JFG983057 JPA983057:JPC983057 JYW983057:JYY983057 KIS983057:KIU983057 KSO983057:KSQ983057 LCK983057:LCM983057 LMG983057:LMI983057 LWC983057:LWE983057 MFY983057:MGA983057 MPU983057:MPW983057 MZQ983057:MZS983057 NJM983057:NJO983057 NTI983057:NTK983057 ODE983057:ODG983057 ONA983057:ONC983057 OWW983057:OWY983057 PGS983057:PGU983057 PQO983057:PQQ983057 QAK983057:QAM983057 QKG983057:QKI983057 QUC983057:QUE983057 RDY983057:REA983057 RNU983057:RNW983057 RXQ983057:RXS983057 SHM983057:SHO983057 SRI983057:SRK983057 TBE983057:TBG983057 TLA983057:TLC983057 TUW983057:TUY983057 UES983057:UEU983057 UOO983057:UOQ983057 UYK983057:UYM983057 VIG983057:VII983057 VSC983057:VSE983057 WBY983057:WCA983057 WLU983057:WLW983057 WVQ983057:WVS983057 J14:K15 JF14:JG15 TB14:TC15 ACX14:ACY15 AMT14:AMU15 AWP14:AWQ15 BGL14:BGM15 BQH14:BQI15 CAD14:CAE15 CJZ14:CKA15 CTV14:CTW15 DDR14:DDS15 DNN14:DNO15 DXJ14:DXK15 EHF14:EHG15 ERB14:ERC15 FAX14:FAY15 FKT14:FKU15 FUP14:FUQ15 GEL14:GEM15 GOH14:GOI15 GYD14:GYE15 HHZ14:HIA15 HRV14:HRW15 IBR14:IBS15 ILN14:ILO15 IVJ14:IVK15 JFF14:JFG15 JPB14:JPC15 JYX14:JYY15 KIT14:KIU15 KSP14:KSQ15 LCL14:LCM15 LMH14:LMI15 LWD14:LWE15 MFZ14:MGA15 MPV14:MPW15 MZR14:MZS15 NJN14:NJO15 NTJ14:NTK15 ODF14:ODG15 ONB14:ONC15 OWX14:OWY15 PGT14:PGU15 PQP14:PQQ15 QAL14:QAM15 QKH14:QKI15 QUD14:QUE15 RDZ14:REA15 RNV14:RNW15 RXR14:RXS15 SHN14:SHO15 SRJ14:SRK15 TBF14:TBG15 TLB14:TLC15 TUX14:TUY15 UET14:UEU15 UOP14:UOQ15 UYL14:UYM15 VIH14:VII15 VSD14:VSE15 WBZ14:WCA15 WLV14:WLW15 WVR14:WVS15 J65550:K65551 JF65550:JG65551 TB65550:TC65551 ACX65550:ACY65551 AMT65550:AMU65551 AWP65550:AWQ65551 BGL65550:BGM65551 BQH65550:BQI65551 CAD65550:CAE65551 CJZ65550:CKA65551 CTV65550:CTW65551 DDR65550:DDS65551 DNN65550:DNO65551 DXJ65550:DXK65551 EHF65550:EHG65551 ERB65550:ERC65551 FAX65550:FAY65551 FKT65550:FKU65551 FUP65550:FUQ65551 GEL65550:GEM65551 GOH65550:GOI65551 GYD65550:GYE65551 HHZ65550:HIA65551 HRV65550:HRW65551 IBR65550:IBS65551 ILN65550:ILO65551 IVJ65550:IVK65551 JFF65550:JFG65551 JPB65550:JPC65551 JYX65550:JYY65551 KIT65550:KIU65551 KSP65550:KSQ65551 LCL65550:LCM65551 LMH65550:LMI65551 LWD65550:LWE65551 MFZ65550:MGA65551 MPV65550:MPW65551 MZR65550:MZS65551 NJN65550:NJO65551 NTJ65550:NTK65551 ODF65550:ODG65551 ONB65550:ONC65551 OWX65550:OWY65551 PGT65550:PGU65551 PQP65550:PQQ65551 QAL65550:QAM65551 QKH65550:QKI65551 QUD65550:QUE65551 RDZ65550:REA65551 RNV65550:RNW65551 RXR65550:RXS65551 SHN65550:SHO65551 SRJ65550:SRK65551 TBF65550:TBG65551 TLB65550:TLC65551 TUX65550:TUY65551 UET65550:UEU65551 UOP65550:UOQ65551 UYL65550:UYM65551 VIH65550:VII65551 VSD65550:VSE65551 WBZ65550:WCA65551 WLV65550:WLW65551 WVR65550:WVS65551 J131086:K131087 JF131086:JG131087 TB131086:TC131087 ACX131086:ACY131087 AMT131086:AMU131087 AWP131086:AWQ131087 BGL131086:BGM131087 BQH131086:BQI131087 CAD131086:CAE131087 CJZ131086:CKA131087 CTV131086:CTW131087 DDR131086:DDS131087 DNN131086:DNO131087 DXJ131086:DXK131087 EHF131086:EHG131087 ERB131086:ERC131087 FAX131086:FAY131087 FKT131086:FKU131087 FUP131086:FUQ131087 GEL131086:GEM131087 GOH131086:GOI131087 GYD131086:GYE131087 HHZ131086:HIA131087 HRV131086:HRW131087 IBR131086:IBS131087 ILN131086:ILO131087 IVJ131086:IVK131087 JFF131086:JFG131087 JPB131086:JPC131087 JYX131086:JYY131087 KIT131086:KIU131087 KSP131086:KSQ131087 LCL131086:LCM131087 LMH131086:LMI131087 LWD131086:LWE131087 MFZ131086:MGA131087 MPV131086:MPW131087 MZR131086:MZS131087 NJN131086:NJO131087 NTJ131086:NTK131087 ODF131086:ODG131087 ONB131086:ONC131087 OWX131086:OWY131087 PGT131086:PGU131087 PQP131086:PQQ131087 QAL131086:QAM131087 QKH131086:QKI131087 QUD131086:QUE131087 RDZ131086:REA131087 RNV131086:RNW131087 RXR131086:RXS131087 SHN131086:SHO131087 SRJ131086:SRK131087 TBF131086:TBG131087 TLB131086:TLC131087 TUX131086:TUY131087 UET131086:UEU131087 UOP131086:UOQ131087 UYL131086:UYM131087 VIH131086:VII131087 VSD131086:VSE131087 WBZ131086:WCA131087 WLV131086:WLW131087 WVR131086:WVS131087 J196622:K196623 JF196622:JG196623 TB196622:TC196623 ACX196622:ACY196623 AMT196622:AMU196623 AWP196622:AWQ196623 BGL196622:BGM196623 BQH196622:BQI196623 CAD196622:CAE196623 CJZ196622:CKA196623 CTV196622:CTW196623 DDR196622:DDS196623 DNN196622:DNO196623 DXJ196622:DXK196623 EHF196622:EHG196623 ERB196622:ERC196623 FAX196622:FAY196623 FKT196622:FKU196623 FUP196622:FUQ196623 GEL196622:GEM196623 GOH196622:GOI196623 GYD196622:GYE196623 HHZ196622:HIA196623 HRV196622:HRW196623 IBR196622:IBS196623 ILN196622:ILO196623 IVJ196622:IVK196623 JFF196622:JFG196623 JPB196622:JPC196623 JYX196622:JYY196623 KIT196622:KIU196623 KSP196622:KSQ196623 LCL196622:LCM196623 LMH196622:LMI196623 LWD196622:LWE196623 MFZ196622:MGA196623 MPV196622:MPW196623 MZR196622:MZS196623 NJN196622:NJO196623 NTJ196622:NTK196623 ODF196622:ODG196623 ONB196622:ONC196623 OWX196622:OWY196623 PGT196622:PGU196623 PQP196622:PQQ196623 QAL196622:QAM196623 QKH196622:QKI196623 QUD196622:QUE196623 RDZ196622:REA196623 RNV196622:RNW196623 RXR196622:RXS196623 SHN196622:SHO196623 SRJ196622:SRK196623 TBF196622:TBG196623 TLB196622:TLC196623 TUX196622:TUY196623 UET196622:UEU196623 UOP196622:UOQ196623 UYL196622:UYM196623 VIH196622:VII196623 VSD196622:VSE196623 WBZ196622:WCA196623 WLV196622:WLW196623 WVR196622:WVS196623 J262158:K262159 JF262158:JG262159 TB262158:TC262159 ACX262158:ACY262159 AMT262158:AMU262159 AWP262158:AWQ262159 BGL262158:BGM262159 BQH262158:BQI262159 CAD262158:CAE262159 CJZ262158:CKA262159 CTV262158:CTW262159 DDR262158:DDS262159 DNN262158:DNO262159 DXJ262158:DXK262159 EHF262158:EHG262159 ERB262158:ERC262159 FAX262158:FAY262159 FKT262158:FKU262159 FUP262158:FUQ262159 GEL262158:GEM262159 GOH262158:GOI262159 GYD262158:GYE262159 HHZ262158:HIA262159 HRV262158:HRW262159 IBR262158:IBS262159 ILN262158:ILO262159 IVJ262158:IVK262159 JFF262158:JFG262159 JPB262158:JPC262159 JYX262158:JYY262159 KIT262158:KIU262159 KSP262158:KSQ262159 LCL262158:LCM262159 LMH262158:LMI262159 LWD262158:LWE262159 MFZ262158:MGA262159 MPV262158:MPW262159 MZR262158:MZS262159 NJN262158:NJO262159 NTJ262158:NTK262159 ODF262158:ODG262159 ONB262158:ONC262159 OWX262158:OWY262159 PGT262158:PGU262159 PQP262158:PQQ262159 QAL262158:QAM262159 QKH262158:QKI262159 QUD262158:QUE262159 RDZ262158:REA262159 RNV262158:RNW262159 RXR262158:RXS262159 SHN262158:SHO262159 SRJ262158:SRK262159 TBF262158:TBG262159 TLB262158:TLC262159 TUX262158:TUY262159 UET262158:UEU262159 UOP262158:UOQ262159 UYL262158:UYM262159 VIH262158:VII262159 VSD262158:VSE262159 WBZ262158:WCA262159 WLV262158:WLW262159 WVR262158:WVS262159 J327694:K327695 JF327694:JG327695 TB327694:TC327695 ACX327694:ACY327695 AMT327694:AMU327695 AWP327694:AWQ327695 BGL327694:BGM327695 BQH327694:BQI327695 CAD327694:CAE327695 CJZ327694:CKA327695 CTV327694:CTW327695 DDR327694:DDS327695 DNN327694:DNO327695 DXJ327694:DXK327695 EHF327694:EHG327695 ERB327694:ERC327695 FAX327694:FAY327695 FKT327694:FKU327695 FUP327694:FUQ327695 GEL327694:GEM327695 GOH327694:GOI327695 GYD327694:GYE327695 HHZ327694:HIA327695 HRV327694:HRW327695 IBR327694:IBS327695 ILN327694:ILO327695 IVJ327694:IVK327695 JFF327694:JFG327695 JPB327694:JPC327695 JYX327694:JYY327695 KIT327694:KIU327695 KSP327694:KSQ327695 LCL327694:LCM327695 LMH327694:LMI327695 LWD327694:LWE327695 MFZ327694:MGA327695 MPV327694:MPW327695 MZR327694:MZS327695 NJN327694:NJO327695 NTJ327694:NTK327695 ODF327694:ODG327695 ONB327694:ONC327695 OWX327694:OWY327695 PGT327694:PGU327695 PQP327694:PQQ327695 QAL327694:QAM327695 QKH327694:QKI327695 QUD327694:QUE327695 RDZ327694:REA327695 RNV327694:RNW327695 RXR327694:RXS327695 SHN327694:SHO327695 SRJ327694:SRK327695 TBF327694:TBG327695 TLB327694:TLC327695 TUX327694:TUY327695 UET327694:UEU327695 UOP327694:UOQ327695 UYL327694:UYM327695 VIH327694:VII327695 VSD327694:VSE327695 WBZ327694:WCA327695 WLV327694:WLW327695 WVR327694:WVS327695 J393230:K393231 JF393230:JG393231 TB393230:TC393231 ACX393230:ACY393231 AMT393230:AMU393231 AWP393230:AWQ393231 BGL393230:BGM393231 BQH393230:BQI393231 CAD393230:CAE393231 CJZ393230:CKA393231 CTV393230:CTW393231 DDR393230:DDS393231 DNN393230:DNO393231 DXJ393230:DXK393231 EHF393230:EHG393231 ERB393230:ERC393231 FAX393230:FAY393231 FKT393230:FKU393231 FUP393230:FUQ393231 GEL393230:GEM393231 GOH393230:GOI393231 GYD393230:GYE393231 HHZ393230:HIA393231 HRV393230:HRW393231 IBR393230:IBS393231 ILN393230:ILO393231 IVJ393230:IVK393231 JFF393230:JFG393231 JPB393230:JPC393231 JYX393230:JYY393231 KIT393230:KIU393231 KSP393230:KSQ393231 LCL393230:LCM393231 LMH393230:LMI393231 LWD393230:LWE393231 MFZ393230:MGA393231 MPV393230:MPW393231 MZR393230:MZS393231 NJN393230:NJO393231 NTJ393230:NTK393231 ODF393230:ODG393231 ONB393230:ONC393231 OWX393230:OWY393231 PGT393230:PGU393231 PQP393230:PQQ393231 QAL393230:QAM393231 QKH393230:QKI393231 QUD393230:QUE393231 RDZ393230:REA393231 RNV393230:RNW393231 RXR393230:RXS393231 SHN393230:SHO393231 SRJ393230:SRK393231 TBF393230:TBG393231 TLB393230:TLC393231 TUX393230:TUY393231 UET393230:UEU393231 UOP393230:UOQ393231 UYL393230:UYM393231 VIH393230:VII393231 VSD393230:VSE393231 WBZ393230:WCA393231 WLV393230:WLW393231 WVR393230:WVS393231 J458766:K458767 JF458766:JG458767 TB458766:TC458767 ACX458766:ACY458767 AMT458766:AMU458767 AWP458766:AWQ458767 BGL458766:BGM458767 BQH458766:BQI458767 CAD458766:CAE458767 CJZ458766:CKA458767 CTV458766:CTW458767 DDR458766:DDS458767 DNN458766:DNO458767 DXJ458766:DXK458767 EHF458766:EHG458767 ERB458766:ERC458767 FAX458766:FAY458767 FKT458766:FKU458767 FUP458766:FUQ458767 GEL458766:GEM458767 GOH458766:GOI458767 GYD458766:GYE458767 HHZ458766:HIA458767 HRV458766:HRW458767 IBR458766:IBS458767 ILN458766:ILO458767 IVJ458766:IVK458767 JFF458766:JFG458767 JPB458766:JPC458767 JYX458766:JYY458767 KIT458766:KIU458767 KSP458766:KSQ458767 LCL458766:LCM458767 LMH458766:LMI458767 LWD458766:LWE458767 MFZ458766:MGA458767 MPV458766:MPW458767 MZR458766:MZS458767 NJN458766:NJO458767 NTJ458766:NTK458767 ODF458766:ODG458767 ONB458766:ONC458767 OWX458766:OWY458767 PGT458766:PGU458767 PQP458766:PQQ458767 QAL458766:QAM458767 QKH458766:QKI458767 QUD458766:QUE458767 RDZ458766:REA458767 RNV458766:RNW458767 RXR458766:RXS458767 SHN458766:SHO458767 SRJ458766:SRK458767 TBF458766:TBG458767 TLB458766:TLC458767 TUX458766:TUY458767 UET458766:UEU458767 UOP458766:UOQ458767 UYL458766:UYM458767 VIH458766:VII458767 VSD458766:VSE458767 WBZ458766:WCA458767 WLV458766:WLW458767 WVR458766:WVS458767 J524302:K524303 JF524302:JG524303 TB524302:TC524303 ACX524302:ACY524303 AMT524302:AMU524303 AWP524302:AWQ524303 BGL524302:BGM524303 BQH524302:BQI524303 CAD524302:CAE524303 CJZ524302:CKA524303 CTV524302:CTW524303 DDR524302:DDS524303 DNN524302:DNO524303 DXJ524302:DXK524303 EHF524302:EHG524303 ERB524302:ERC524303 FAX524302:FAY524303 FKT524302:FKU524303 FUP524302:FUQ524303 GEL524302:GEM524303 GOH524302:GOI524303 GYD524302:GYE524303 HHZ524302:HIA524303 HRV524302:HRW524303 IBR524302:IBS524303 ILN524302:ILO524303 IVJ524302:IVK524303 JFF524302:JFG524303 JPB524302:JPC524303 JYX524302:JYY524303 KIT524302:KIU524303 KSP524302:KSQ524303 LCL524302:LCM524303 LMH524302:LMI524303 LWD524302:LWE524303 MFZ524302:MGA524303 MPV524302:MPW524303 MZR524302:MZS524303 NJN524302:NJO524303 NTJ524302:NTK524303 ODF524302:ODG524303 ONB524302:ONC524303 OWX524302:OWY524303 PGT524302:PGU524303 PQP524302:PQQ524303 QAL524302:QAM524303 QKH524302:QKI524303 QUD524302:QUE524303 RDZ524302:REA524303 RNV524302:RNW524303 RXR524302:RXS524303 SHN524302:SHO524303 SRJ524302:SRK524303 TBF524302:TBG524303 TLB524302:TLC524303 TUX524302:TUY524303 UET524302:UEU524303 UOP524302:UOQ524303 UYL524302:UYM524303 VIH524302:VII524303 VSD524302:VSE524303 WBZ524302:WCA524303 WLV524302:WLW524303 WVR524302:WVS524303 J589838:K589839 JF589838:JG589839 TB589838:TC589839 ACX589838:ACY589839 AMT589838:AMU589839 AWP589838:AWQ589839 BGL589838:BGM589839 BQH589838:BQI589839 CAD589838:CAE589839 CJZ589838:CKA589839 CTV589838:CTW589839 DDR589838:DDS589839 DNN589838:DNO589839 DXJ589838:DXK589839 EHF589838:EHG589839 ERB589838:ERC589839 FAX589838:FAY589839 FKT589838:FKU589839 FUP589838:FUQ589839 GEL589838:GEM589839 GOH589838:GOI589839 GYD589838:GYE589839 HHZ589838:HIA589839 HRV589838:HRW589839 IBR589838:IBS589839 ILN589838:ILO589839 IVJ589838:IVK589839 JFF589838:JFG589839 JPB589838:JPC589839 JYX589838:JYY589839 KIT589838:KIU589839 KSP589838:KSQ589839 LCL589838:LCM589839 LMH589838:LMI589839 LWD589838:LWE589839 MFZ589838:MGA589839 MPV589838:MPW589839 MZR589838:MZS589839 NJN589838:NJO589839 NTJ589838:NTK589839 ODF589838:ODG589839 ONB589838:ONC589839 OWX589838:OWY589839 PGT589838:PGU589839 PQP589838:PQQ589839 QAL589838:QAM589839 QKH589838:QKI589839 QUD589838:QUE589839 RDZ589838:REA589839 RNV589838:RNW589839 RXR589838:RXS589839 SHN589838:SHO589839 SRJ589838:SRK589839 TBF589838:TBG589839 TLB589838:TLC589839 TUX589838:TUY589839 UET589838:UEU589839 UOP589838:UOQ589839 UYL589838:UYM589839 VIH589838:VII589839 VSD589838:VSE589839 WBZ589838:WCA589839 WLV589838:WLW589839 WVR589838:WVS589839 J655374:K655375 JF655374:JG655375 TB655374:TC655375 ACX655374:ACY655375 AMT655374:AMU655375 AWP655374:AWQ655375 BGL655374:BGM655375 BQH655374:BQI655375 CAD655374:CAE655375 CJZ655374:CKA655375 CTV655374:CTW655375 DDR655374:DDS655375 DNN655374:DNO655375 DXJ655374:DXK655375 EHF655374:EHG655375 ERB655374:ERC655375 FAX655374:FAY655375 FKT655374:FKU655375 FUP655374:FUQ655375 GEL655374:GEM655375 GOH655374:GOI655375 GYD655374:GYE655375 HHZ655374:HIA655375 HRV655374:HRW655375 IBR655374:IBS655375 ILN655374:ILO655375 IVJ655374:IVK655375 JFF655374:JFG655375 JPB655374:JPC655375 JYX655374:JYY655375 KIT655374:KIU655375 KSP655374:KSQ655375 LCL655374:LCM655375 LMH655374:LMI655375 LWD655374:LWE655375 MFZ655374:MGA655375 MPV655374:MPW655375 MZR655374:MZS655375 NJN655374:NJO655375 NTJ655374:NTK655375 ODF655374:ODG655375 ONB655374:ONC655375 OWX655374:OWY655375 PGT655374:PGU655375 PQP655374:PQQ655375 QAL655374:QAM655375 QKH655374:QKI655375 QUD655374:QUE655375 RDZ655374:REA655375 RNV655374:RNW655375 RXR655374:RXS655375 SHN655374:SHO655375 SRJ655374:SRK655375 TBF655374:TBG655375 TLB655374:TLC655375 TUX655374:TUY655375 UET655374:UEU655375 UOP655374:UOQ655375 UYL655374:UYM655375 VIH655374:VII655375 VSD655374:VSE655375 WBZ655374:WCA655375 WLV655374:WLW655375 WVR655374:WVS655375 J720910:K720911 JF720910:JG720911 TB720910:TC720911 ACX720910:ACY720911 AMT720910:AMU720911 AWP720910:AWQ720911 BGL720910:BGM720911 BQH720910:BQI720911 CAD720910:CAE720911 CJZ720910:CKA720911 CTV720910:CTW720911 DDR720910:DDS720911 DNN720910:DNO720911 DXJ720910:DXK720911 EHF720910:EHG720911 ERB720910:ERC720911 FAX720910:FAY720911 FKT720910:FKU720911 FUP720910:FUQ720911 GEL720910:GEM720911 GOH720910:GOI720911 GYD720910:GYE720911 HHZ720910:HIA720911 HRV720910:HRW720911 IBR720910:IBS720911 ILN720910:ILO720911 IVJ720910:IVK720911 JFF720910:JFG720911 JPB720910:JPC720911 JYX720910:JYY720911 KIT720910:KIU720911 KSP720910:KSQ720911 LCL720910:LCM720911 LMH720910:LMI720911 LWD720910:LWE720911 MFZ720910:MGA720911 MPV720910:MPW720911 MZR720910:MZS720911 NJN720910:NJO720911 NTJ720910:NTK720911 ODF720910:ODG720911 ONB720910:ONC720911 OWX720910:OWY720911 PGT720910:PGU720911 PQP720910:PQQ720911 QAL720910:QAM720911 QKH720910:QKI720911 QUD720910:QUE720911 RDZ720910:REA720911 RNV720910:RNW720911 RXR720910:RXS720911 SHN720910:SHO720911 SRJ720910:SRK720911 TBF720910:TBG720911 TLB720910:TLC720911 TUX720910:TUY720911 UET720910:UEU720911 UOP720910:UOQ720911 UYL720910:UYM720911 VIH720910:VII720911 VSD720910:VSE720911 WBZ720910:WCA720911 WLV720910:WLW720911 WVR720910:WVS720911 J786446:K786447 JF786446:JG786447 TB786446:TC786447 ACX786446:ACY786447 AMT786446:AMU786447 AWP786446:AWQ786447 BGL786446:BGM786447 BQH786446:BQI786447 CAD786446:CAE786447 CJZ786446:CKA786447 CTV786446:CTW786447 DDR786446:DDS786447 DNN786446:DNO786447 DXJ786446:DXK786447 EHF786446:EHG786447 ERB786446:ERC786447 FAX786446:FAY786447 FKT786446:FKU786447 FUP786446:FUQ786447 GEL786446:GEM786447 GOH786446:GOI786447 GYD786446:GYE786447 HHZ786446:HIA786447 HRV786446:HRW786447 IBR786446:IBS786447 ILN786446:ILO786447 IVJ786446:IVK786447 JFF786446:JFG786447 JPB786446:JPC786447 JYX786446:JYY786447 KIT786446:KIU786447 KSP786446:KSQ786447 LCL786446:LCM786447 LMH786446:LMI786447 LWD786446:LWE786447 MFZ786446:MGA786447 MPV786446:MPW786447 MZR786446:MZS786447 NJN786446:NJO786447 NTJ786446:NTK786447 ODF786446:ODG786447 ONB786446:ONC786447 OWX786446:OWY786447 PGT786446:PGU786447 PQP786446:PQQ786447 QAL786446:QAM786447 QKH786446:QKI786447 QUD786446:QUE786447 RDZ786446:REA786447 RNV786446:RNW786447 RXR786446:RXS786447 SHN786446:SHO786447 SRJ786446:SRK786447 TBF786446:TBG786447 TLB786446:TLC786447 TUX786446:TUY786447 UET786446:UEU786447 UOP786446:UOQ786447 UYL786446:UYM786447 VIH786446:VII786447 VSD786446:VSE786447 WBZ786446:WCA786447 WLV786446:WLW786447 WVR786446:WVS786447 J851982:K851983 JF851982:JG851983 TB851982:TC851983 ACX851982:ACY851983 AMT851982:AMU851983 AWP851982:AWQ851983 BGL851982:BGM851983 BQH851982:BQI851983 CAD851982:CAE851983 CJZ851982:CKA851983 CTV851982:CTW851983 DDR851982:DDS851983 DNN851982:DNO851983 DXJ851982:DXK851983 EHF851982:EHG851983 ERB851982:ERC851983 FAX851982:FAY851983 FKT851982:FKU851983 FUP851982:FUQ851983 GEL851982:GEM851983 GOH851982:GOI851983 GYD851982:GYE851983 HHZ851982:HIA851983 HRV851982:HRW851983 IBR851982:IBS851983 ILN851982:ILO851983 IVJ851982:IVK851983 JFF851982:JFG851983 JPB851982:JPC851983 JYX851982:JYY851983 KIT851982:KIU851983 KSP851982:KSQ851983 LCL851982:LCM851983 LMH851982:LMI851983 LWD851982:LWE851983 MFZ851982:MGA851983 MPV851982:MPW851983 MZR851982:MZS851983 NJN851982:NJO851983 NTJ851982:NTK851983 ODF851982:ODG851983 ONB851982:ONC851983 OWX851982:OWY851983 PGT851982:PGU851983 PQP851982:PQQ851983 QAL851982:QAM851983 QKH851982:QKI851983 QUD851982:QUE851983 RDZ851982:REA851983 RNV851982:RNW851983 RXR851982:RXS851983 SHN851982:SHO851983 SRJ851982:SRK851983 TBF851982:TBG851983 TLB851982:TLC851983 TUX851982:TUY851983 UET851982:UEU851983 UOP851982:UOQ851983 UYL851982:UYM851983 VIH851982:VII851983 VSD851982:VSE851983 WBZ851982:WCA851983 WLV851982:WLW851983 WVR851982:WVS851983 J917518:K917519 JF917518:JG917519 TB917518:TC917519 ACX917518:ACY917519 AMT917518:AMU917519 AWP917518:AWQ917519 BGL917518:BGM917519 BQH917518:BQI917519 CAD917518:CAE917519 CJZ917518:CKA917519 CTV917518:CTW917519 DDR917518:DDS917519 DNN917518:DNO917519 DXJ917518:DXK917519 EHF917518:EHG917519 ERB917518:ERC917519 FAX917518:FAY917519 FKT917518:FKU917519 FUP917518:FUQ917519 GEL917518:GEM917519 GOH917518:GOI917519 GYD917518:GYE917519 HHZ917518:HIA917519 HRV917518:HRW917519 IBR917518:IBS917519 ILN917518:ILO917519 IVJ917518:IVK917519 JFF917518:JFG917519 JPB917518:JPC917519 JYX917518:JYY917519 KIT917518:KIU917519 KSP917518:KSQ917519 LCL917518:LCM917519 LMH917518:LMI917519 LWD917518:LWE917519 MFZ917518:MGA917519 MPV917518:MPW917519 MZR917518:MZS917519 NJN917518:NJO917519 NTJ917518:NTK917519 ODF917518:ODG917519 ONB917518:ONC917519 OWX917518:OWY917519 PGT917518:PGU917519 PQP917518:PQQ917519 QAL917518:QAM917519 QKH917518:QKI917519 QUD917518:QUE917519 RDZ917518:REA917519 RNV917518:RNW917519 RXR917518:RXS917519 SHN917518:SHO917519 SRJ917518:SRK917519 TBF917518:TBG917519 TLB917518:TLC917519 TUX917518:TUY917519 UET917518:UEU917519 UOP917518:UOQ917519 UYL917518:UYM917519 VIH917518:VII917519 VSD917518:VSE917519 WBZ917518:WCA917519 WLV917518:WLW917519 WVR917518:WVS917519 J983054:K983055 JF983054:JG983055 TB983054:TC983055 ACX983054:ACY983055 AMT983054:AMU983055 AWP983054:AWQ983055 BGL983054:BGM983055 BQH983054:BQI983055 CAD983054:CAE983055 CJZ983054:CKA983055 CTV983054:CTW983055 DDR983054:DDS983055 DNN983054:DNO983055 DXJ983054:DXK983055 EHF983054:EHG983055 ERB983054:ERC983055 FAX983054:FAY983055 FKT983054:FKU983055 FUP983054:FUQ983055 GEL983054:GEM983055 GOH983054:GOI983055 GYD983054:GYE983055 HHZ983054:HIA983055 HRV983054:HRW983055 IBR983054:IBS983055 ILN983054:ILO983055 IVJ983054:IVK983055 JFF983054:JFG983055 JPB983054:JPC983055 JYX983054:JYY983055 KIT983054:KIU983055 KSP983054:KSQ983055 LCL983054:LCM983055 LMH983054:LMI983055 LWD983054:LWE983055 MFZ983054:MGA983055 MPV983054:MPW983055 MZR983054:MZS983055 NJN983054:NJO983055 NTJ983054:NTK983055 ODF983054:ODG983055 ONB983054:ONC983055 OWX983054:OWY983055 PGT983054:PGU983055 PQP983054:PQQ983055 QAL983054:QAM983055 QKH983054:QKI983055 QUD983054:QUE983055 RDZ983054:REA983055 RNV983054:RNW983055 RXR983054:RXS983055 SHN983054:SHO983055 SRJ983054:SRK983055 TBF983054:TBG983055 TLB983054:TLC983055 TUX983054:TUY983055 UET983054:UEU983055 UOP983054:UOQ983055 UYL983054:UYM983055 VIH983054:VII983055 VSD983054:VSE983055 WBZ983054:WCA983055 WLV983054:WLW983055 WVR983054:WVS983055">
      <formula1>NA</formula1>
    </dataValidation>
    <dataValidation type="list" allowBlank="1" showInputMessage="1" showErrorMessage="1" sqref="L17 JH17 TD17 ACZ17 AMV17 AWR17 BGN17 BQJ17 CAF17 CKB17 CTX17 DDT17 DNP17 DXL17 EHH17 ERD17 FAZ17 FKV17 FUR17 GEN17 GOJ17 GYF17 HIB17 HRX17 IBT17 ILP17 IVL17 JFH17 JPD17 JYZ17 KIV17 KSR17 LCN17 LMJ17 LWF17 MGB17 MPX17 MZT17 NJP17 NTL17 ODH17 OND17 OWZ17 PGV17 PQR17 QAN17 QKJ17 QUF17 REB17 RNX17 RXT17 SHP17 SRL17 TBH17 TLD17 TUZ17 UEV17 UOR17 UYN17 VIJ17 VSF17 WCB17 WLX17 WVT17 L65553 JH65553 TD65553 ACZ65553 AMV65553 AWR65553 BGN65553 BQJ65553 CAF65553 CKB65553 CTX65553 DDT65553 DNP65553 DXL65553 EHH65553 ERD65553 FAZ65553 FKV65553 FUR65553 GEN65553 GOJ65553 GYF65553 HIB65553 HRX65553 IBT65553 ILP65553 IVL65553 JFH65553 JPD65553 JYZ65553 KIV65553 KSR65553 LCN65553 LMJ65553 LWF65553 MGB65553 MPX65553 MZT65553 NJP65553 NTL65553 ODH65553 OND65553 OWZ65553 PGV65553 PQR65553 QAN65553 QKJ65553 QUF65553 REB65553 RNX65553 RXT65553 SHP65553 SRL65553 TBH65553 TLD65553 TUZ65553 UEV65553 UOR65553 UYN65553 VIJ65553 VSF65553 WCB65553 WLX65553 WVT65553 L131089 JH131089 TD131089 ACZ131089 AMV131089 AWR131089 BGN131089 BQJ131089 CAF131089 CKB131089 CTX131089 DDT131089 DNP131089 DXL131089 EHH131089 ERD131089 FAZ131089 FKV131089 FUR131089 GEN131089 GOJ131089 GYF131089 HIB131089 HRX131089 IBT131089 ILP131089 IVL131089 JFH131089 JPD131089 JYZ131089 KIV131089 KSR131089 LCN131089 LMJ131089 LWF131089 MGB131089 MPX131089 MZT131089 NJP131089 NTL131089 ODH131089 OND131089 OWZ131089 PGV131089 PQR131089 QAN131089 QKJ131089 QUF131089 REB131089 RNX131089 RXT131089 SHP131089 SRL131089 TBH131089 TLD131089 TUZ131089 UEV131089 UOR131089 UYN131089 VIJ131089 VSF131089 WCB131089 WLX131089 WVT131089 L196625 JH196625 TD196625 ACZ196625 AMV196625 AWR196625 BGN196625 BQJ196625 CAF196625 CKB196625 CTX196625 DDT196625 DNP196625 DXL196625 EHH196625 ERD196625 FAZ196625 FKV196625 FUR196625 GEN196625 GOJ196625 GYF196625 HIB196625 HRX196625 IBT196625 ILP196625 IVL196625 JFH196625 JPD196625 JYZ196625 KIV196625 KSR196625 LCN196625 LMJ196625 LWF196625 MGB196625 MPX196625 MZT196625 NJP196625 NTL196625 ODH196625 OND196625 OWZ196625 PGV196625 PQR196625 QAN196625 QKJ196625 QUF196625 REB196625 RNX196625 RXT196625 SHP196625 SRL196625 TBH196625 TLD196625 TUZ196625 UEV196625 UOR196625 UYN196625 VIJ196625 VSF196625 WCB196625 WLX196625 WVT196625 L262161 JH262161 TD262161 ACZ262161 AMV262161 AWR262161 BGN262161 BQJ262161 CAF262161 CKB262161 CTX262161 DDT262161 DNP262161 DXL262161 EHH262161 ERD262161 FAZ262161 FKV262161 FUR262161 GEN262161 GOJ262161 GYF262161 HIB262161 HRX262161 IBT262161 ILP262161 IVL262161 JFH262161 JPD262161 JYZ262161 KIV262161 KSR262161 LCN262161 LMJ262161 LWF262161 MGB262161 MPX262161 MZT262161 NJP262161 NTL262161 ODH262161 OND262161 OWZ262161 PGV262161 PQR262161 QAN262161 QKJ262161 QUF262161 REB262161 RNX262161 RXT262161 SHP262161 SRL262161 TBH262161 TLD262161 TUZ262161 UEV262161 UOR262161 UYN262161 VIJ262161 VSF262161 WCB262161 WLX262161 WVT262161 L327697 JH327697 TD327697 ACZ327697 AMV327697 AWR327697 BGN327697 BQJ327697 CAF327697 CKB327697 CTX327697 DDT327697 DNP327697 DXL327697 EHH327697 ERD327697 FAZ327697 FKV327697 FUR327697 GEN327697 GOJ327697 GYF327697 HIB327697 HRX327697 IBT327697 ILP327697 IVL327697 JFH327697 JPD327697 JYZ327697 KIV327697 KSR327697 LCN327697 LMJ327697 LWF327697 MGB327697 MPX327697 MZT327697 NJP327697 NTL327697 ODH327697 OND327697 OWZ327697 PGV327697 PQR327697 QAN327697 QKJ327697 QUF327697 REB327697 RNX327697 RXT327697 SHP327697 SRL327697 TBH327697 TLD327697 TUZ327697 UEV327697 UOR327697 UYN327697 VIJ327697 VSF327697 WCB327697 WLX327697 WVT327697 L393233 JH393233 TD393233 ACZ393233 AMV393233 AWR393233 BGN393233 BQJ393233 CAF393233 CKB393233 CTX393233 DDT393233 DNP393233 DXL393233 EHH393233 ERD393233 FAZ393233 FKV393233 FUR393233 GEN393233 GOJ393233 GYF393233 HIB393233 HRX393233 IBT393233 ILP393233 IVL393233 JFH393233 JPD393233 JYZ393233 KIV393233 KSR393233 LCN393233 LMJ393233 LWF393233 MGB393233 MPX393233 MZT393233 NJP393233 NTL393233 ODH393233 OND393233 OWZ393233 PGV393233 PQR393233 QAN393233 QKJ393233 QUF393233 REB393233 RNX393233 RXT393233 SHP393233 SRL393233 TBH393233 TLD393233 TUZ393233 UEV393233 UOR393233 UYN393233 VIJ393233 VSF393233 WCB393233 WLX393233 WVT393233 L458769 JH458769 TD458769 ACZ458769 AMV458769 AWR458769 BGN458769 BQJ458769 CAF458769 CKB458769 CTX458769 DDT458769 DNP458769 DXL458769 EHH458769 ERD458769 FAZ458769 FKV458769 FUR458769 GEN458769 GOJ458769 GYF458769 HIB458769 HRX458769 IBT458769 ILP458769 IVL458769 JFH458769 JPD458769 JYZ458769 KIV458769 KSR458769 LCN458769 LMJ458769 LWF458769 MGB458769 MPX458769 MZT458769 NJP458769 NTL458769 ODH458769 OND458769 OWZ458769 PGV458769 PQR458769 QAN458769 QKJ458769 QUF458769 REB458769 RNX458769 RXT458769 SHP458769 SRL458769 TBH458769 TLD458769 TUZ458769 UEV458769 UOR458769 UYN458769 VIJ458769 VSF458769 WCB458769 WLX458769 WVT458769 L524305 JH524305 TD524305 ACZ524305 AMV524305 AWR524305 BGN524305 BQJ524305 CAF524305 CKB524305 CTX524305 DDT524305 DNP524305 DXL524305 EHH524305 ERD524305 FAZ524305 FKV524305 FUR524305 GEN524305 GOJ524305 GYF524305 HIB524305 HRX524305 IBT524305 ILP524305 IVL524305 JFH524305 JPD524305 JYZ524305 KIV524305 KSR524305 LCN524305 LMJ524305 LWF524305 MGB524305 MPX524305 MZT524305 NJP524305 NTL524305 ODH524305 OND524305 OWZ524305 PGV524305 PQR524305 QAN524305 QKJ524305 QUF524305 REB524305 RNX524305 RXT524305 SHP524305 SRL524305 TBH524305 TLD524305 TUZ524305 UEV524305 UOR524305 UYN524305 VIJ524305 VSF524305 WCB524305 WLX524305 WVT524305 L589841 JH589841 TD589841 ACZ589841 AMV589841 AWR589841 BGN589841 BQJ589841 CAF589841 CKB589841 CTX589841 DDT589841 DNP589841 DXL589841 EHH589841 ERD589841 FAZ589841 FKV589841 FUR589841 GEN589841 GOJ589841 GYF589841 HIB589841 HRX589841 IBT589841 ILP589841 IVL589841 JFH589841 JPD589841 JYZ589841 KIV589841 KSR589841 LCN589841 LMJ589841 LWF589841 MGB589841 MPX589841 MZT589841 NJP589841 NTL589841 ODH589841 OND589841 OWZ589841 PGV589841 PQR589841 QAN589841 QKJ589841 QUF589841 REB589841 RNX589841 RXT589841 SHP589841 SRL589841 TBH589841 TLD589841 TUZ589841 UEV589841 UOR589841 UYN589841 VIJ589841 VSF589841 WCB589841 WLX589841 WVT589841 L655377 JH655377 TD655377 ACZ655377 AMV655377 AWR655377 BGN655377 BQJ655377 CAF655377 CKB655377 CTX655377 DDT655377 DNP655377 DXL655377 EHH655377 ERD655377 FAZ655377 FKV655377 FUR655377 GEN655377 GOJ655377 GYF655377 HIB655377 HRX655377 IBT655377 ILP655377 IVL655377 JFH655377 JPD655377 JYZ655377 KIV655377 KSR655377 LCN655377 LMJ655377 LWF655377 MGB655377 MPX655377 MZT655377 NJP655377 NTL655377 ODH655377 OND655377 OWZ655377 PGV655377 PQR655377 QAN655377 QKJ655377 QUF655377 REB655377 RNX655377 RXT655377 SHP655377 SRL655377 TBH655377 TLD655377 TUZ655377 UEV655377 UOR655377 UYN655377 VIJ655377 VSF655377 WCB655377 WLX655377 WVT655377 L720913 JH720913 TD720913 ACZ720913 AMV720913 AWR720913 BGN720913 BQJ720913 CAF720913 CKB720913 CTX720913 DDT720913 DNP720913 DXL720913 EHH720913 ERD720913 FAZ720913 FKV720913 FUR720913 GEN720913 GOJ720913 GYF720913 HIB720913 HRX720913 IBT720913 ILP720913 IVL720913 JFH720913 JPD720913 JYZ720913 KIV720913 KSR720913 LCN720913 LMJ720913 LWF720913 MGB720913 MPX720913 MZT720913 NJP720913 NTL720913 ODH720913 OND720913 OWZ720913 PGV720913 PQR720913 QAN720913 QKJ720913 QUF720913 REB720913 RNX720913 RXT720913 SHP720913 SRL720913 TBH720913 TLD720913 TUZ720913 UEV720913 UOR720913 UYN720913 VIJ720913 VSF720913 WCB720913 WLX720913 WVT720913 L786449 JH786449 TD786449 ACZ786449 AMV786449 AWR786449 BGN786449 BQJ786449 CAF786449 CKB786449 CTX786449 DDT786449 DNP786449 DXL786449 EHH786449 ERD786449 FAZ786449 FKV786449 FUR786449 GEN786449 GOJ786449 GYF786449 HIB786449 HRX786449 IBT786449 ILP786449 IVL786449 JFH786449 JPD786449 JYZ786449 KIV786449 KSR786449 LCN786449 LMJ786449 LWF786449 MGB786449 MPX786449 MZT786449 NJP786449 NTL786449 ODH786449 OND786449 OWZ786449 PGV786449 PQR786449 QAN786449 QKJ786449 QUF786449 REB786449 RNX786449 RXT786449 SHP786449 SRL786449 TBH786449 TLD786449 TUZ786449 UEV786449 UOR786449 UYN786449 VIJ786449 VSF786449 WCB786449 WLX786449 WVT786449 L851985 JH851985 TD851985 ACZ851985 AMV851985 AWR851985 BGN851985 BQJ851985 CAF851985 CKB851985 CTX851985 DDT851985 DNP851985 DXL851985 EHH851985 ERD851985 FAZ851985 FKV851985 FUR851985 GEN851985 GOJ851985 GYF851985 HIB851985 HRX851985 IBT851985 ILP851985 IVL851985 JFH851985 JPD851985 JYZ851985 KIV851985 KSR851985 LCN851985 LMJ851985 LWF851985 MGB851985 MPX851985 MZT851985 NJP851985 NTL851985 ODH851985 OND851985 OWZ851985 PGV851985 PQR851985 QAN851985 QKJ851985 QUF851985 REB851985 RNX851985 RXT851985 SHP851985 SRL851985 TBH851985 TLD851985 TUZ851985 UEV851985 UOR851985 UYN851985 VIJ851985 VSF851985 WCB851985 WLX851985 WVT851985 L917521 JH917521 TD917521 ACZ917521 AMV917521 AWR917521 BGN917521 BQJ917521 CAF917521 CKB917521 CTX917521 DDT917521 DNP917521 DXL917521 EHH917521 ERD917521 FAZ917521 FKV917521 FUR917521 GEN917521 GOJ917521 GYF917521 HIB917521 HRX917521 IBT917521 ILP917521 IVL917521 JFH917521 JPD917521 JYZ917521 KIV917521 KSR917521 LCN917521 LMJ917521 LWF917521 MGB917521 MPX917521 MZT917521 NJP917521 NTL917521 ODH917521 OND917521 OWZ917521 PGV917521 PQR917521 QAN917521 QKJ917521 QUF917521 REB917521 RNX917521 RXT917521 SHP917521 SRL917521 TBH917521 TLD917521 TUZ917521 UEV917521 UOR917521 UYN917521 VIJ917521 VSF917521 WCB917521 WLX917521 WVT917521 L983057 JH983057 TD983057 ACZ983057 AMV983057 AWR983057 BGN983057 BQJ983057 CAF983057 CKB983057 CTX983057 DDT983057 DNP983057 DXL983057 EHH983057 ERD983057 FAZ983057 FKV983057 FUR983057 GEN983057 GOJ983057 GYF983057 HIB983057 HRX983057 IBT983057 ILP983057 IVL983057 JFH983057 JPD983057 JYZ983057 KIV983057 KSR983057 LCN983057 LMJ983057 LWF983057 MGB983057 MPX983057 MZT983057 NJP983057 NTL983057 ODH983057 OND983057 OWZ983057 PGV983057 PQR983057 QAN983057 QKJ983057 QUF983057 REB983057 RNX983057 RXT983057 SHP983057 SRL983057 TBH983057 TLD983057 TUZ983057 UEV983057 UOR983057 UYN983057 VIJ983057 VSF983057 WCB983057 WLX983057 WVT983057 J16:K16 JF16:JG16 TB16:TC16 ACX16:ACY16 AMT16:AMU16 AWP16:AWQ16 BGL16:BGM16 BQH16:BQI16 CAD16:CAE16 CJZ16:CKA16 CTV16:CTW16 DDR16:DDS16 DNN16:DNO16 DXJ16:DXK16 EHF16:EHG16 ERB16:ERC16 FAX16:FAY16 FKT16:FKU16 FUP16:FUQ16 GEL16:GEM16 GOH16:GOI16 GYD16:GYE16 HHZ16:HIA16 HRV16:HRW16 IBR16:IBS16 ILN16:ILO16 IVJ16:IVK16 JFF16:JFG16 JPB16:JPC16 JYX16:JYY16 KIT16:KIU16 KSP16:KSQ16 LCL16:LCM16 LMH16:LMI16 LWD16:LWE16 MFZ16:MGA16 MPV16:MPW16 MZR16:MZS16 NJN16:NJO16 NTJ16:NTK16 ODF16:ODG16 ONB16:ONC16 OWX16:OWY16 PGT16:PGU16 PQP16:PQQ16 QAL16:QAM16 QKH16:QKI16 QUD16:QUE16 RDZ16:REA16 RNV16:RNW16 RXR16:RXS16 SHN16:SHO16 SRJ16:SRK16 TBF16:TBG16 TLB16:TLC16 TUX16:TUY16 UET16:UEU16 UOP16:UOQ16 UYL16:UYM16 VIH16:VII16 VSD16:VSE16 WBZ16:WCA16 WLV16:WLW16 WVR16:WVS16 J65552:K65552 JF65552:JG65552 TB65552:TC65552 ACX65552:ACY65552 AMT65552:AMU65552 AWP65552:AWQ65552 BGL65552:BGM65552 BQH65552:BQI65552 CAD65552:CAE65552 CJZ65552:CKA65552 CTV65552:CTW65552 DDR65552:DDS65552 DNN65552:DNO65552 DXJ65552:DXK65552 EHF65552:EHG65552 ERB65552:ERC65552 FAX65552:FAY65552 FKT65552:FKU65552 FUP65552:FUQ65552 GEL65552:GEM65552 GOH65552:GOI65552 GYD65552:GYE65552 HHZ65552:HIA65552 HRV65552:HRW65552 IBR65552:IBS65552 ILN65552:ILO65552 IVJ65552:IVK65552 JFF65552:JFG65552 JPB65552:JPC65552 JYX65552:JYY65552 KIT65552:KIU65552 KSP65552:KSQ65552 LCL65552:LCM65552 LMH65552:LMI65552 LWD65552:LWE65552 MFZ65552:MGA65552 MPV65552:MPW65552 MZR65552:MZS65552 NJN65552:NJO65552 NTJ65552:NTK65552 ODF65552:ODG65552 ONB65552:ONC65552 OWX65552:OWY65552 PGT65552:PGU65552 PQP65552:PQQ65552 QAL65552:QAM65552 QKH65552:QKI65552 QUD65552:QUE65552 RDZ65552:REA65552 RNV65552:RNW65552 RXR65552:RXS65552 SHN65552:SHO65552 SRJ65552:SRK65552 TBF65552:TBG65552 TLB65552:TLC65552 TUX65552:TUY65552 UET65552:UEU65552 UOP65552:UOQ65552 UYL65552:UYM65552 VIH65552:VII65552 VSD65552:VSE65552 WBZ65552:WCA65552 WLV65552:WLW65552 WVR65552:WVS65552 J131088:K131088 JF131088:JG131088 TB131088:TC131088 ACX131088:ACY131088 AMT131088:AMU131088 AWP131088:AWQ131088 BGL131088:BGM131088 BQH131088:BQI131088 CAD131088:CAE131088 CJZ131088:CKA131088 CTV131088:CTW131088 DDR131088:DDS131088 DNN131088:DNO131088 DXJ131088:DXK131088 EHF131088:EHG131088 ERB131088:ERC131088 FAX131088:FAY131088 FKT131088:FKU131088 FUP131088:FUQ131088 GEL131088:GEM131088 GOH131088:GOI131088 GYD131088:GYE131088 HHZ131088:HIA131088 HRV131088:HRW131088 IBR131088:IBS131088 ILN131088:ILO131088 IVJ131088:IVK131088 JFF131088:JFG131088 JPB131088:JPC131088 JYX131088:JYY131088 KIT131088:KIU131088 KSP131088:KSQ131088 LCL131088:LCM131088 LMH131088:LMI131088 LWD131088:LWE131088 MFZ131088:MGA131088 MPV131088:MPW131088 MZR131088:MZS131088 NJN131088:NJO131088 NTJ131088:NTK131088 ODF131088:ODG131088 ONB131088:ONC131088 OWX131088:OWY131088 PGT131088:PGU131088 PQP131088:PQQ131088 QAL131088:QAM131088 QKH131088:QKI131088 QUD131088:QUE131088 RDZ131088:REA131088 RNV131088:RNW131088 RXR131088:RXS131088 SHN131088:SHO131088 SRJ131088:SRK131088 TBF131088:TBG131088 TLB131088:TLC131088 TUX131088:TUY131088 UET131088:UEU131088 UOP131088:UOQ131088 UYL131088:UYM131088 VIH131088:VII131088 VSD131088:VSE131088 WBZ131088:WCA131088 WLV131088:WLW131088 WVR131088:WVS131088 J196624:K196624 JF196624:JG196624 TB196624:TC196624 ACX196624:ACY196624 AMT196624:AMU196624 AWP196624:AWQ196624 BGL196624:BGM196624 BQH196624:BQI196624 CAD196624:CAE196624 CJZ196624:CKA196624 CTV196624:CTW196624 DDR196624:DDS196624 DNN196624:DNO196624 DXJ196624:DXK196624 EHF196624:EHG196624 ERB196624:ERC196624 FAX196624:FAY196624 FKT196624:FKU196624 FUP196624:FUQ196624 GEL196624:GEM196624 GOH196624:GOI196624 GYD196624:GYE196624 HHZ196624:HIA196624 HRV196624:HRW196624 IBR196624:IBS196624 ILN196624:ILO196624 IVJ196624:IVK196624 JFF196624:JFG196624 JPB196624:JPC196624 JYX196624:JYY196624 KIT196624:KIU196624 KSP196624:KSQ196624 LCL196624:LCM196624 LMH196624:LMI196624 LWD196624:LWE196624 MFZ196624:MGA196624 MPV196624:MPW196624 MZR196624:MZS196624 NJN196624:NJO196624 NTJ196624:NTK196624 ODF196624:ODG196624 ONB196624:ONC196624 OWX196624:OWY196624 PGT196624:PGU196624 PQP196624:PQQ196624 QAL196624:QAM196624 QKH196624:QKI196624 QUD196624:QUE196624 RDZ196624:REA196624 RNV196624:RNW196624 RXR196624:RXS196624 SHN196624:SHO196624 SRJ196624:SRK196624 TBF196624:TBG196624 TLB196624:TLC196624 TUX196624:TUY196624 UET196624:UEU196624 UOP196624:UOQ196624 UYL196624:UYM196624 VIH196624:VII196624 VSD196624:VSE196624 WBZ196624:WCA196624 WLV196624:WLW196624 WVR196624:WVS196624 J262160:K262160 JF262160:JG262160 TB262160:TC262160 ACX262160:ACY262160 AMT262160:AMU262160 AWP262160:AWQ262160 BGL262160:BGM262160 BQH262160:BQI262160 CAD262160:CAE262160 CJZ262160:CKA262160 CTV262160:CTW262160 DDR262160:DDS262160 DNN262160:DNO262160 DXJ262160:DXK262160 EHF262160:EHG262160 ERB262160:ERC262160 FAX262160:FAY262160 FKT262160:FKU262160 FUP262160:FUQ262160 GEL262160:GEM262160 GOH262160:GOI262160 GYD262160:GYE262160 HHZ262160:HIA262160 HRV262160:HRW262160 IBR262160:IBS262160 ILN262160:ILO262160 IVJ262160:IVK262160 JFF262160:JFG262160 JPB262160:JPC262160 JYX262160:JYY262160 KIT262160:KIU262160 KSP262160:KSQ262160 LCL262160:LCM262160 LMH262160:LMI262160 LWD262160:LWE262160 MFZ262160:MGA262160 MPV262160:MPW262160 MZR262160:MZS262160 NJN262160:NJO262160 NTJ262160:NTK262160 ODF262160:ODG262160 ONB262160:ONC262160 OWX262160:OWY262160 PGT262160:PGU262160 PQP262160:PQQ262160 QAL262160:QAM262160 QKH262160:QKI262160 QUD262160:QUE262160 RDZ262160:REA262160 RNV262160:RNW262160 RXR262160:RXS262160 SHN262160:SHO262160 SRJ262160:SRK262160 TBF262160:TBG262160 TLB262160:TLC262160 TUX262160:TUY262160 UET262160:UEU262160 UOP262160:UOQ262160 UYL262160:UYM262160 VIH262160:VII262160 VSD262160:VSE262160 WBZ262160:WCA262160 WLV262160:WLW262160 WVR262160:WVS262160 J327696:K327696 JF327696:JG327696 TB327696:TC327696 ACX327696:ACY327696 AMT327696:AMU327696 AWP327696:AWQ327696 BGL327696:BGM327696 BQH327696:BQI327696 CAD327696:CAE327696 CJZ327696:CKA327696 CTV327696:CTW327696 DDR327696:DDS327696 DNN327696:DNO327696 DXJ327696:DXK327696 EHF327696:EHG327696 ERB327696:ERC327696 FAX327696:FAY327696 FKT327696:FKU327696 FUP327696:FUQ327696 GEL327696:GEM327696 GOH327696:GOI327696 GYD327696:GYE327696 HHZ327696:HIA327696 HRV327696:HRW327696 IBR327696:IBS327696 ILN327696:ILO327696 IVJ327696:IVK327696 JFF327696:JFG327696 JPB327696:JPC327696 JYX327696:JYY327696 KIT327696:KIU327696 KSP327696:KSQ327696 LCL327696:LCM327696 LMH327696:LMI327696 LWD327696:LWE327696 MFZ327696:MGA327696 MPV327696:MPW327696 MZR327696:MZS327696 NJN327696:NJO327696 NTJ327696:NTK327696 ODF327696:ODG327696 ONB327696:ONC327696 OWX327696:OWY327696 PGT327696:PGU327696 PQP327696:PQQ327696 QAL327696:QAM327696 QKH327696:QKI327696 QUD327696:QUE327696 RDZ327696:REA327696 RNV327696:RNW327696 RXR327696:RXS327696 SHN327696:SHO327696 SRJ327696:SRK327696 TBF327696:TBG327696 TLB327696:TLC327696 TUX327696:TUY327696 UET327696:UEU327696 UOP327696:UOQ327696 UYL327696:UYM327696 VIH327696:VII327696 VSD327696:VSE327696 WBZ327696:WCA327696 WLV327696:WLW327696 WVR327696:WVS327696 J393232:K393232 JF393232:JG393232 TB393232:TC393232 ACX393232:ACY393232 AMT393232:AMU393232 AWP393232:AWQ393232 BGL393232:BGM393232 BQH393232:BQI393232 CAD393232:CAE393232 CJZ393232:CKA393232 CTV393232:CTW393232 DDR393232:DDS393232 DNN393232:DNO393232 DXJ393232:DXK393232 EHF393232:EHG393232 ERB393232:ERC393232 FAX393232:FAY393232 FKT393232:FKU393232 FUP393232:FUQ393232 GEL393232:GEM393232 GOH393232:GOI393232 GYD393232:GYE393232 HHZ393232:HIA393232 HRV393232:HRW393232 IBR393232:IBS393232 ILN393232:ILO393232 IVJ393232:IVK393232 JFF393232:JFG393232 JPB393232:JPC393232 JYX393232:JYY393232 KIT393232:KIU393232 KSP393232:KSQ393232 LCL393232:LCM393232 LMH393232:LMI393232 LWD393232:LWE393232 MFZ393232:MGA393232 MPV393232:MPW393232 MZR393232:MZS393232 NJN393232:NJO393232 NTJ393232:NTK393232 ODF393232:ODG393232 ONB393232:ONC393232 OWX393232:OWY393232 PGT393232:PGU393232 PQP393232:PQQ393232 QAL393232:QAM393232 QKH393232:QKI393232 QUD393232:QUE393232 RDZ393232:REA393232 RNV393232:RNW393232 RXR393232:RXS393232 SHN393232:SHO393232 SRJ393232:SRK393232 TBF393232:TBG393232 TLB393232:TLC393232 TUX393232:TUY393232 UET393232:UEU393232 UOP393232:UOQ393232 UYL393232:UYM393232 VIH393232:VII393232 VSD393232:VSE393232 WBZ393232:WCA393232 WLV393232:WLW393232 WVR393232:WVS393232 J458768:K458768 JF458768:JG458768 TB458768:TC458768 ACX458768:ACY458768 AMT458768:AMU458768 AWP458768:AWQ458768 BGL458768:BGM458768 BQH458768:BQI458768 CAD458768:CAE458768 CJZ458768:CKA458768 CTV458768:CTW458768 DDR458768:DDS458768 DNN458768:DNO458768 DXJ458768:DXK458768 EHF458768:EHG458768 ERB458768:ERC458768 FAX458768:FAY458768 FKT458768:FKU458768 FUP458768:FUQ458768 GEL458768:GEM458768 GOH458768:GOI458768 GYD458768:GYE458768 HHZ458768:HIA458768 HRV458768:HRW458768 IBR458768:IBS458768 ILN458768:ILO458768 IVJ458768:IVK458768 JFF458768:JFG458768 JPB458768:JPC458768 JYX458768:JYY458768 KIT458768:KIU458768 KSP458768:KSQ458768 LCL458768:LCM458768 LMH458768:LMI458768 LWD458768:LWE458768 MFZ458768:MGA458768 MPV458768:MPW458768 MZR458768:MZS458768 NJN458768:NJO458768 NTJ458768:NTK458768 ODF458768:ODG458768 ONB458768:ONC458768 OWX458768:OWY458768 PGT458768:PGU458768 PQP458768:PQQ458768 QAL458768:QAM458768 QKH458768:QKI458768 QUD458768:QUE458768 RDZ458768:REA458768 RNV458768:RNW458768 RXR458768:RXS458768 SHN458768:SHO458768 SRJ458768:SRK458768 TBF458768:TBG458768 TLB458768:TLC458768 TUX458768:TUY458768 UET458768:UEU458768 UOP458768:UOQ458768 UYL458768:UYM458768 VIH458768:VII458768 VSD458768:VSE458768 WBZ458768:WCA458768 WLV458768:WLW458768 WVR458768:WVS458768 J524304:K524304 JF524304:JG524304 TB524304:TC524304 ACX524304:ACY524304 AMT524304:AMU524304 AWP524304:AWQ524304 BGL524304:BGM524304 BQH524304:BQI524304 CAD524304:CAE524304 CJZ524304:CKA524304 CTV524304:CTW524304 DDR524304:DDS524304 DNN524304:DNO524304 DXJ524304:DXK524304 EHF524304:EHG524304 ERB524304:ERC524304 FAX524304:FAY524304 FKT524304:FKU524304 FUP524304:FUQ524304 GEL524304:GEM524304 GOH524304:GOI524304 GYD524304:GYE524304 HHZ524304:HIA524304 HRV524304:HRW524304 IBR524304:IBS524304 ILN524304:ILO524304 IVJ524304:IVK524304 JFF524304:JFG524304 JPB524304:JPC524304 JYX524304:JYY524304 KIT524304:KIU524304 KSP524304:KSQ524304 LCL524304:LCM524304 LMH524304:LMI524304 LWD524304:LWE524304 MFZ524304:MGA524304 MPV524304:MPW524304 MZR524304:MZS524304 NJN524304:NJO524304 NTJ524304:NTK524304 ODF524304:ODG524304 ONB524304:ONC524304 OWX524304:OWY524304 PGT524304:PGU524304 PQP524304:PQQ524304 QAL524304:QAM524304 QKH524304:QKI524304 QUD524304:QUE524304 RDZ524304:REA524304 RNV524304:RNW524304 RXR524304:RXS524304 SHN524304:SHO524304 SRJ524304:SRK524304 TBF524304:TBG524304 TLB524304:TLC524304 TUX524304:TUY524304 UET524304:UEU524304 UOP524304:UOQ524304 UYL524304:UYM524304 VIH524304:VII524304 VSD524304:VSE524304 WBZ524304:WCA524304 WLV524304:WLW524304 WVR524304:WVS524304 J589840:K589840 JF589840:JG589840 TB589840:TC589840 ACX589840:ACY589840 AMT589840:AMU589840 AWP589840:AWQ589840 BGL589840:BGM589840 BQH589840:BQI589840 CAD589840:CAE589840 CJZ589840:CKA589840 CTV589840:CTW589840 DDR589840:DDS589840 DNN589840:DNO589840 DXJ589840:DXK589840 EHF589840:EHG589840 ERB589840:ERC589840 FAX589840:FAY589840 FKT589840:FKU589840 FUP589840:FUQ589840 GEL589840:GEM589840 GOH589840:GOI589840 GYD589840:GYE589840 HHZ589840:HIA589840 HRV589840:HRW589840 IBR589840:IBS589840 ILN589840:ILO589840 IVJ589840:IVK589840 JFF589840:JFG589840 JPB589840:JPC589840 JYX589840:JYY589840 KIT589840:KIU589840 KSP589840:KSQ589840 LCL589840:LCM589840 LMH589840:LMI589840 LWD589840:LWE589840 MFZ589840:MGA589840 MPV589840:MPW589840 MZR589840:MZS589840 NJN589840:NJO589840 NTJ589840:NTK589840 ODF589840:ODG589840 ONB589840:ONC589840 OWX589840:OWY589840 PGT589840:PGU589840 PQP589840:PQQ589840 QAL589840:QAM589840 QKH589840:QKI589840 QUD589840:QUE589840 RDZ589840:REA589840 RNV589840:RNW589840 RXR589840:RXS589840 SHN589840:SHO589840 SRJ589840:SRK589840 TBF589840:TBG589840 TLB589840:TLC589840 TUX589840:TUY589840 UET589840:UEU589840 UOP589840:UOQ589840 UYL589840:UYM589840 VIH589840:VII589840 VSD589840:VSE589840 WBZ589840:WCA589840 WLV589840:WLW589840 WVR589840:WVS589840 J655376:K655376 JF655376:JG655376 TB655376:TC655376 ACX655376:ACY655376 AMT655376:AMU655376 AWP655376:AWQ655376 BGL655376:BGM655376 BQH655376:BQI655376 CAD655376:CAE655376 CJZ655376:CKA655376 CTV655376:CTW655376 DDR655376:DDS655376 DNN655376:DNO655376 DXJ655376:DXK655376 EHF655376:EHG655376 ERB655376:ERC655376 FAX655376:FAY655376 FKT655376:FKU655376 FUP655376:FUQ655376 GEL655376:GEM655376 GOH655376:GOI655376 GYD655376:GYE655376 HHZ655376:HIA655376 HRV655376:HRW655376 IBR655376:IBS655376 ILN655376:ILO655376 IVJ655376:IVK655376 JFF655376:JFG655376 JPB655376:JPC655376 JYX655376:JYY655376 KIT655376:KIU655376 KSP655376:KSQ655376 LCL655376:LCM655376 LMH655376:LMI655376 LWD655376:LWE655376 MFZ655376:MGA655376 MPV655376:MPW655376 MZR655376:MZS655376 NJN655376:NJO655376 NTJ655376:NTK655376 ODF655376:ODG655376 ONB655376:ONC655376 OWX655376:OWY655376 PGT655376:PGU655376 PQP655376:PQQ655376 QAL655376:QAM655376 QKH655376:QKI655376 QUD655376:QUE655376 RDZ655376:REA655376 RNV655376:RNW655376 RXR655376:RXS655376 SHN655376:SHO655376 SRJ655376:SRK655376 TBF655376:TBG655376 TLB655376:TLC655376 TUX655376:TUY655376 UET655376:UEU655376 UOP655376:UOQ655376 UYL655376:UYM655376 VIH655376:VII655376 VSD655376:VSE655376 WBZ655376:WCA655376 WLV655376:WLW655376 WVR655376:WVS655376 J720912:K720912 JF720912:JG720912 TB720912:TC720912 ACX720912:ACY720912 AMT720912:AMU720912 AWP720912:AWQ720912 BGL720912:BGM720912 BQH720912:BQI720912 CAD720912:CAE720912 CJZ720912:CKA720912 CTV720912:CTW720912 DDR720912:DDS720912 DNN720912:DNO720912 DXJ720912:DXK720912 EHF720912:EHG720912 ERB720912:ERC720912 FAX720912:FAY720912 FKT720912:FKU720912 FUP720912:FUQ720912 GEL720912:GEM720912 GOH720912:GOI720912 GYD720912:GYE720912 HHZ720912:HIA720912 HRV720912:HRW720912 IBR720912:IBS720912 ILN720912:ILO720912 IVJ720912:IVK720912 JFF720912:JFG720912 JPB720912:JPC720912 JYX720912:JYY720912 KIT720912:KIU720912 KSP720912:KSQ720912 LCL720912:LCM720912 LMH720912:LMI720912 LWD720912:LWE720912 MFZ720912:MGA720912 MPV720912:MPW720912 MZR720912:MZS720912 NJN720912:NJO720912 NTJ720912:NTK720912 ODF720912:ODG720912 ONB720912:ONC720912 OWX720912:OWY720912 PGT720912:PGU720912 PQP720912:PQQ720912 QAL720912:QAM720912 QKH720912:QKI720912 QUD720912:QUE720912 RDZ720912:REA720912 RNV720912:RNW720912 RXR720912:RXS720912 SHN720912:SHO720912 SRJ720912:SRK720912 TBF720912:TBG720912 TLB720912:TLC720912 TUX720912:TUY720912 UET720912:UEU720912 UOP720912:UOQ720912 UYL720912:UYM720912 VIH720912:VII720912 VSD720912:VSE720912 WBZ720912:WCA720912 WLV720912:WLW720912 WVR720912:WVS720912 J786448:K786448 JF786448:JG786448 TB786448:TC786448 ACX786448:ACY786448 AMT786448:AMU786448 AWP786448:AWQ786448 BGL786448:BGM786448 BQH786448:BQI786448 CAD786448:CAE786448 CJZ786448:CKA786448 CTV786448:CTW786448 DDR786448:DDS786448 DNN786448:DNO786448 DXJ786448:DXK786448 EHF786448:EHG786448 ERB786448:ERC786448 FAX786448:FAY786448 FKT786448:FKU786448 FUP786448:FUQ786448 GEL786448:GEM786448 GOH786448:GOI786448 GYD786448:GYE786448 HHZ786448:HIA786448 HRV786448:HRW786448 IBR786448:IBS786448 ILN786448:ILO786448 IVJ786448:IVK786448 JFF786448:JFG786448 JPB786448:JPC786448 JYX786448:JYY786448 KIT786448:KIU786448 KSP786448:KSQ786448 LCL786448:LCM786448 LMH786448:LMI786448 LWD786448:LWE786448 MFZ786448:MGA786448 MPV786448:MPW786448 MZR786448:MZS786448 NJN786448:NJO786448 NTJ786448:NTK786448 ODF786448:ODG786448 ONB786448:ONC786448 OWX786448:OWY786448 PGT786448:PGU786448 PQP786448:PQQ786448 QAL786448:QAM786448 QKH786448:QKI786448 QUD786448:QUE786448 RDZ786448:REA786448 RNV786448:RNW786448 RXR786448:RXS786448 SHN786448:SHO786448 SRJ786448:SRK786448 TBF786448:TBG786448 TLB786448:TLC786448 TUX786448:TUY786448 UET786448:UEU786448 UOP786448:UOQ786448 UYL786448:UYM786448 VIH786448:VII786448 VSD786448:VSE786448 WBZ786448:WCA786448 WLV786448:WLW786448 WVR786448:WVS786448 J851984:K851984 JF851984:JG851984 TB851984:TC851984 ACX851984:ACY851984 AMT851984:AMU851984 AWP851984:AWQ851984 BGL851984:BGM851984 BQH851984:BQI851984 CAD851984:CAE851984 CJZ851984:CKA851984 CTV851984:CTW851984 DDR851984:DDS851984 DNN851984:DNO851984 DXJ851984:DXK851984 EHF851984:EHG851984 ERB851984:ERC851984 FAX851984:FAY851984 FKT851984:FKU851984 FUP851984:FUQ851984 GEL851984:GEM851984 GOH851984:GOI851984 GYD851984:GYE851984 HHZ851984:HIA851984 HRV851984:HRW851984 IBR851984:IBS851984 ILN851984:ILO851984 IVJ851984:IVK851984 JFF851984:JFG851984 JPB851984:JPC851984 JYX851984:JYY851984 KIT851984:KIU851984 KSP851984:KSQ851984 LCL851984:LCM851984 LMH851984:LMI851984 LWD851984:LWE851984 MFZ851984:MGA851984 MPV851984:MPW851984 MZR851984:MZS851984 NJN851984:NJO851984 NTJ851984:NTK851984 ODF851984:ODG851984 ONB851984:ONC851984 OWX851984:OWY851984 PGT851984:PGU851984 PQP851984:PQQ851984 QAL851984:QAM851984 QKH851984:QKI851984 QUD851984:QUE851984 RDZ851984:REA851984 RNV851984:RNW851984 RXR851984:RXS851984 SHN851984:SHO851984 SRJ851984:SRK851984 TBF851984:TBG851984 TLB851984:TLC851984 TUX851984:TUY851984 UET851984:UEU851984 UOP851984:UOQ851984 UYL851984:UYM851984 VIH851984:VII851984 VSD851984:VSE851984 WBZ851984:WCA851984 WLV851984:WLW851984 WVR851984:WVS851984 J917520:K917520 JF917520:JG917520 TB917520:TC917520 ACX917520:ACY917520 AMT917520:AMU917520 AWP917520:AWQ917520 BGL917520:BGM917520 BQH917520:BQI917520 CAD917520:CAE917520 CJZ917520:CKA917520 CTV917520:CTW917520 DDR917520:DDS917520 DNN917520:DNO917520 DXJ917520:DXK917520 EHF917520:EHG917520 ERB917520:ERC917520 FAX917520:FAY917520 FKT917520:FKU917520 FUP917520:FUQ917520 GEL917520:GEM917520 GOH917520:GOI917520 GYD917520:GYE917520 HHZ917520:HIA917520 HRV917520:HRW917520 IBR917520:IBS917520 ILN917520:ILO917520 IVJ917520:IVK917520 JFF917520:JFG917520 JPB917520:JPC917520 JYX917520:JYY917520 KIT917520:KIU917520 KSP917520:KSQ917520 LCL917520:LCM917520 LMH917520:LMI917520 LWD917520:LWE917520 MFZ917520:MGA917520 MPV917520:MPW917520 MZR917520:MZS917520 NJN917520:NJO917520 NTJ917520:NTK917520 ODF917520:ODG917520 ONB917520:ONC917520 OWX917520:OWY917520 PGT917520:PGU917520 PQP917520:PQQ917520 QAL917520:QAM917520 QKH917520:QKI917520 QUD917520:QUE917520 RDZ917520:REA917520 RNV917520:RNW917520 RXR917520:RXS917520 SHN917520:SHO917520 SRJ917520:SRK917520 TBF917520:TBG917520 TLB917520:TLC917520 TUX917520:TUY917520 UET917520:UEU917520 UOP917520:UOQ917520 UYL917520:UYM917520 VIH917520:VII917520 VSD917520:VSE917520 WBZ917520:WCA917520 WLV917520:WLW917520 WVR917520:WVS917520 J983056:K983056 JF983056:JG983056 TB983056:TC983056 ACX983056:ACY983056 AMT983056:AMU983056 AWP983056:AWQ983056 BGL983056:BGM983056 BQH983056:BQI983056 CAD983056:CAE983056 CJZ983056:CKA983056 CTV983056:CTW983056 DDR983056:DDS983056 DNN983056:DNO983056 DXJ983056:DXK983056 EHF983056:EHG983056 ERB983056:ERC983056 FAX983056:FAY983056 FKT983056:FKU983056 FUP983056:FUQ983056 GEL983056:GEM983056 GOH983056:GOI983056 GYD983056:GYE983056 HHZ983056:HIA983056 HRV983056:HRW983056 IBR983056:IBS983056 ILN983056:ILO983056 IVJ983056:IVK983056 JFF983056:JFG983056 JPB983056:JPC983056 JYX983056:JYY983056 KIT983056:KIU983056 KSP983056:KSQ983056 LCL983056:LCM983056 LMH983056:LMI983056 LWD983056:LWE983056 MFZ983056:MGA983056 MPV983056:MPW983056 MZR983056:MZS983056 NJN983056:NJO983056 NTJ983056:NTK983056 ODF983056:ODG983056 ONB983056:ONC983056 OWX983056:OWY983056 PGT983056:PGU983056 PQP983056:PQQ983056 QAL983056:QAM983056 QKH983056:QKI983056 QUD983056:QUE983056 RDZ983056:REA983056 RNV983056:RNW983056 RXR983056:RXS983056 SHN983056:SHO983056 SRJ983056:SRK983056 TBF983056:TBG983056 TLB983056:TLC983056 TUX983056:TUY983056 UET983056:UEU983056 UOP983056:UOQ983056 UYL983056:UYM983056 VIH983056:VII983056 VSD983056:VSE983056 WBZ983056:WCA983056 WLV983056:WLW983056 WVR983056:WVS983056 J10:K13 JF10:JG13 TB10:TC13 ACX10:ACY13 AMT10:AMU13 AWP10:AWQ13 BGL10:BGM13 BQH10:BQI13 CAD10:CAE13 CJZ10:CKA13 CTV10:CTW13 DDR10:DDS13 DNN10:DNO13 DXJ10:DXK13 EHF10:EHG13 ERB10:ERC13 FAX10:FAY13 FKT10:FKU13 FUP10:FUQ13 GEL10:GEM13 GOH10:GOI13 GYD10:GYE13 HHZ10:HIA13 HRV10:HRW13 IBR10:IBS13 ILN10:ILO13 IVJ10:IVK13 JFF10:JFG13 JPB10:JPC13 JYX10:JYY13 KIT10:KIU13 KSP10:KSQ13 LCL10:LCM13 LMH10:LMI13 LWD10:LWE13 MFZ10:MGA13 MPV10:MPW13 MZR10:MZS13 NJN10:NJO13 NTJ10:NTK13 ODF10:ODG13 ONB10:ONC13 OWX10:OWY13 PGT10:PGU13 PQP10:PQQ13 QAL10:QAM13 QKH10:QKI13 QUD10:QUE13 RDZ10:REA13 RNV10:RNW13 RXR10:RXS13 SHN10:SHO13 SRJ10:SRK13 TBF10:TBG13 TLB10:TLC13 TUX10:TUY13 UET10:UEU13 UOP10:UOQ13 UYL10:UYM13 VIH10:VII13 VSD10:VSE13 WBZ10:WCA13 WLV10:WLW13 WVR10:WVS13 J65546:K65549 JF65546:JG65549 TB65546:TC65549 ACX65546:ACY65549 AMT65546:AMU65549 AWP65546:AWQ65549 BGL65546:BGM65549 BQH65546:BQI65549 CAD65546:CAE65549 CJZ65546:CKA65549 CTV65546:CTW65549 DDR65546:DDS65549 DNN65546:DNO65549 DXJ65546:DXK65549 EHF65546:EHG65549 ERB65546:ERC65549 FAX65546:FAY65549 FKT65546:FKU65549 FUP65546:FUQ65549 GEL65546:GEM65549 GOH65546:GOI65549 GYD65546:GYE65549 HHZ65546:HIA65549 HRV65546:HRW65549 IBR65546:IBS65549 ILN65546:ILO65549 IVJ65546:IVK65549 JFF65546:JFG65549 JPB65546:JPC65549 JYX65546:JYY65549 KIT65546:KIU65549 KSP65546:KSQ65549 LCL65546:LCM65549 LMH65546:LMI65549 LWD65546:LWE65549 MFZ65546:MGA65549 MPV65546:MPW65549 MZR65546:MZS65549 NJN65546:NJO65549 NTJ65546:NTK65549 ODF65546:ODG65549 ONB65546:ONC65549 OWX65546:OWY65549 PGT65546:PGU65549 PQP65546:PQQ65549 QAL65546:QAM65549 QKH65546:QKI65549 QUD65546:QUE65549 RDZ65546:REA65549 RNV65546:RNW65549 RXR65546:RXS65549 SHN65546:SHO65549 SRJ65546:SRK65549 TBF65546:TBG65549 TLB65546:TLC65549 TUX65546:TUY65549 UET65546:UEU65549 UOP65546:UOQ65549 UYL65546:UYM65549 VIH65546:VII65549 VSD65546:VSE65549 WBZ65546:WCA65549 WLV65546:WLW65549 WVR65546:WVS65549 J131082:K131085 JF131082:JG131085 TB131082:TC131085 ACX131082:ACY131085 AMT131082:AMU131085 AWP131082:AWQ131085 BGL131082:BGM131085 BQH131082:BQI131085 CAD131082:CAE131085 CJZ131082:CKA131085 CTV131082:CTW131085 DDR131082:DDS131085 DNN131082:DNO131085 DXJ131082:DXK131085 EHF131082:EHG131085 ERB131082:ERC131085 FAX131082:FAY131085 FKT131082:FKU131085 FUP131082:FUQ131085 GEL131082:GEM131085 GOH131082:GOI131085 GYD131082:GYE131085 HHZ131082:HIA131085 HRV131082:HRW131085 IBR131082:IBS131085 ILN131082:ILO131085 IVJ131082:IVK131085 JFF131082:JFG131085 JPB131082:JPC131085 JYX131082:JYY131085 KIT131082:KIU131085 KSP131082:KSQ131085 LCL131082:LCM131085 LMH131082:LMI131085 LWD131082:LWE131085 MFZ131082:MGA131085 MPV131082:MPW131085 MZR131082:MZS131085 NJN131082:NJO131085 NTJ131082:NTK131085 ODF131082:ODG131085 ONB131082:ONC131085 OWX131082:OWY131085 PGT131082:PGU131085 PQP131082:PQQ131085 QAL131082:QAM131085 QKH131082:QKI131085 QUD131082:QUE131085 RDZ131082:REA131085 RNV131082:RNW131085 RXR131082:RXS131085 SHN131082:SHO131085 SRJ131082:SRK131085 TBF131082:TBG131085 TLB131082:TLC131085 TUX131082:TUY131085 UET131082:UEU131085 UOP131082:UOQ131085 UYL131082:UYM131085 VIH131082:VII131085 VSD131082:VSE131085 WBZ131082:WCA131085 WLV131082:WLW131085 WVR131082:WVS131085 J196618:K196621 JF196618:JG196621 TB196618:TC196621 ACX196618:ACY196621 AMT196618:AMU196621 AWP196618:AWQ196621 BGL196618:BGM196621 BQH196618:BQI196621 CAD196618:CAE196621 CJZ196618:CKA196621 CTV196618:CTW196621 DDR196618:DDS196621 DNN196618:DNO196621 DXJ196618:DXK196621 EHF196618:EHG196621 ERB196618:ERC196621 FAX196618:FAY196621 FKT196618:FKU196621 FUP196618:FUQ196621 GEL196618:GEM196621 GOH196618:GOI196621 GYD196618:GYE196621 HHZ196618:HIA196621 HRV196618:HRW196621 IBR196618:IBS196621 ILN196618:ILO196621 IVJ196618:IVK196621 JFF196618:JFG196621 JPB196618:JPC196621 JYX196618:JYY196621 KIT196618:KIU196621 KSP196618:KSQ196621 LCL196618:LCM196621 LMH196618:LMI196621 LWD196618:LWE196621 MFZ196618:MGA196621 MPV196618:MPW196621 MZR196618:MZS196621 NJN196618:NJO196621 NTJ196618:NTK196621 ODF196618:ODG196621 ONB196618:ONC196621 OWX196618:OWY196621 PGT196618:PGU196621 PQP196618:PQQ196621 QAL196618:QAM196621 QKH196618:QKI196621 QUD196618:QUE196621 RDZ196618:REA196621 RNV196618:RNW196621 RXR196618:RXS196621 SHN196618:SHO196621 SRJ196618:SRK196621 TBF196618:TBG196621 TLB196618:TLC196621 TUX196618:TUY196621 UET196618:UEU196621 UOP196618:UOQ196621 UYL196618:UYM196621 VIH196618:VII196621 VSD196618:VSE196621 WBZ196618:WCA196621 WLV196618:WLW196621 WVR196618:WVS196621 J262154:K262157 JF262154:JG262157 TB262154:TC262157 ACX262154:ACY262157 AMT262154:AMU262157 AWP262154:AWQ262157 BGL262154:BGM262157 BQH262154:BQI262157 CAD262154:CAE262157 CJZ262154:CKA262157 CTV262154:CTW262157 DDR262154:DDS262157 DNN262154:DNO262157 DXJ262154:DXK262157 EHF262154:EHG262157 ERB262154:ERC262157 FAX262154:FAY262157 FKT262154:FKU262157 FUP262154:FUQ262157 GEL262154:GEM262157 GOH262154:GOI262157 GYD262154:GYE262157 HHZ262154:HIA262157 HRV262154:HRW262157 IBR262154:IBS262157 ILN262154:ILO262157 IVJ262154:IVK262157 JFF262154:JFG262157 JPB262154:JPC262157 JYX262154:JYY262157 KIT262154:KIU262157 KSP262154:KSQ262157 LCL262154:LCM262157 LMH262154:LMI262157 LWD262154:LWE262157 MFZ262154:MGA262157 MPV262154:MPW262157 MZR262154:MZS262157 NJN262154:NJO262157 NTJ262154:NTK262157 ODF262154:ODG262157 ONB262154:ONC262157 OWX262154:OWY262157 PGT262154:PGU262157 PQP262154:PQQ262157 QAL262154:QAM262157 QKH262154:QKI262157 QUD262154:QUE262157 RDZ262154:REA262157 RNV262154:RNW262157 RXR262154:RXS262157 SHN262154:SHO262157 SRJ262154:SRK262157 TBF262154:TBG262157 TLB262154:TLC262157 TUX262154:TUY262157 UET262154:UEU262157 UOP262154:UOQ262157 UYL262154:UYM262157 VIH262154:VII262157 VSD262154:VSE262157 WBZ262154:WCA262157 WLV262154:WLW262157 WVR262154:WVS262157 J327690:K327693 JF327690:JG327693 TB327690:TC327693 ACX327690:ACY327693 AMT327690:AMU327693 AWP327690:AWQ327693 BGL327690:BGM327693 BQH327690:BQI327693 CAD327690:CAE327693 CJZ327690:CKA327693 CTV327690:CTW327693 DDR327690:DDS327693 DNN327690:DNO327693 DXJ327690:DXK327693 EHF327690:EHG327693 ERB327690:ERC327693 FAX327690:FAY327693 FKT327690:FKU327693 FUP327690:FUQ327693 GEL327690:GEM327693 GOH327690:GOI327693 GYD327690:GYE327693 HHZ327690:HIA327693 HRV327690:HRW327693 IBR327690:IBS327693 ILN327690:ILO327693 IVJ327690:IVK327693 JFF327690:JFG327693 JPB327690:JPC327693 JYX327690:JYY327693 KIT327690:KIU327693 KSP327690:KSQ327693 LCL327690:LCM327693 LMH327690:LMI327693 LWD327690:LWE327693 MFZ327690:MGA327693 MPV327690:MPW327693 MZR327690:MZS327693 NJN327690:NJO327693 NTJ327690:NTK327693 ODF327690:ODG327693 ONB327690:ONC327693 OWX327690:OWY327693 PGT327690:PGU327693 PQP327690:PQQ327693 QAL327690:QAM327693 QKH327690:QKI327693 QUD327690:QUE327693 RDZ327690:REA327693 RNV327690:RNW327693 RXR327690:RXS327693 SHN327690:SHO327693 SRJ327690:SRK327693 TBF327690:TBG327693 TLB327690:TLC327693 TUX327690:TUY327693 UET327690:UEU327693 UOP327690:UOQ327693 UYL327690:UYM327693 VIH327690:VII327693 VSD327690:VSE327693 WBZ327690:WCA327693 WLV327690:WLW327693 WVR327690:WVS327693 J393226:K393229 JF393226:JG393229 TB393226:TC393229 ACX393226:ACY393229 AMT393226:AMU393229 AWP393226:AWQ393229 BGL393226:BGM393229 BQH393226:BQI393229 CAD393226:CAE393229 CJZ393226:CKA393229 CTV393226:CTW393229 DDR393226:DDS393229 DNN393226:DNO393229 DXJ393226:DXK393229 EHF393226:EHG393229 ERB393226:ERC393229 FAX393226:FAY393229 FKT393226:FKU393229 FUP393226:FUQ393229 GEL393226:GEM393229 GOH393226:GOI393229 GYD393226:GYE393229 HHZ393226:HIA393229 HRV393226:HRW393229 IBR393226:IBS393229 ILN393226:ILO393229 IVJ393226:IVK393229 JFF393226:JFG393229 JPB393226:JPC393229 JYX393226:JYY393229 KIT393226:KIU393229 KSP393226:KSQ393229 LCL393226:LCM393229 LMH393226:LMI393229 LWD393226:LWE393229 MFZ393226:MGA393229 MPV393226:MPW393229 MZR393226:MZS393229 NJN393226:NJO393229 NTJ393226:NTK393229 ODF393226:ODG393229 ONB393226:ONC393229 OWX393226:OWY393229 PGT393226:PGU393229 PQP393226:PQQ393229 QAL393226:QAM393229 QKH393226:QKI393229 QUD393226:QUE393229 RDZ393226:REA393229 RNV393226:RNW393229 RXR393226:RXS393229 SHN393226:SHO393229 SRJ393226:SRK393229 TBF393226:TBG393229 TLB393226:TLC393229 TUX393226:TUY393229 UET393226:UEU393229 UOP393226:UOQ393229 UYL393226:UYM393229 VIH393226:VII393229 VSD393226:VSE393229 WBZ393226:WCA393229 WLV393226:WLW393229 WVR393226:WVS393229 J458762:K458765 JF458762:JG458765 TB458762:TC458765 ACX458762:ACY458765 AMT458762:AMU458765 AWP458762:AWQ458765 BGL458762:BGM458765 BQH458762:BQI458765 CAD458762:CAE458765 CJZ458762:CKA458765 CTV458762:CTW458765 DDR458762:DDS458765 DNN458762:DNO458765 DXJ458762:DXK458765 EHF458762:EHG458765 ERB458762:ERC458765 FAX458762:FAY458765 FKT458762:FKU458765 FUP458762:FUQ458765 GEL458762:GEM458765 GOH458762:GOI458765 GYD458762:GYE458765 HHZ458762:HIA458765 HRV458762:HRW458765 IBR458762:IBS458765 ILN458762:ILO458765 IVJ458762:IVK458765 JFF458762:JFG458765 JPB458762:JPC458765 JYX458762:JYY458765 KIT458762:KIU458765 KSP458762:KSQ458765 LCL458762:LCM458765 LMH458762:LMI458765 LWD458762:LWE458765 MFZ458762:MGA458765 MPV458762:MPW458765 MZR458762:MZS458765 NJN458762:NJO458765 NTJ458762:NTK458765 ODF458762:ODG458765 ONB458762:ONC458765 OWX458762:OWY458765 PGT458762:PGU458765 PQP458762:PQQ458765 QAL458762:QAM458765 QKH458762:QKI458765 QUD458762:QUE458765 RDZ458762:REA458765 RNV458762:RNW458765 RXR458762:RXS458765 SHN458762:SHO458765 SRJ458762:SRK458765 TBF458762:TBG458765 TLB458762:TLC458765 TUX458762:TUY458765 UET458762:UEU458765 UOP458762:UOQ458765 UYL458762:UYM458765 VIH458762:VII458765 VSD458762:VSE458765 WBZ458762:WCA458765 WLV458762:WLW458765 WVR458762:WVS458765 J524298:K524301 JF524298:JG524301 TB524298:TC524301 ACX524298:ACY524301 AMT524298:AMU524301 AWP524298:AWQ524301 BGL524298:BGM524301 BQH524298:BQI524301 CAD524298:CAE524301 CJZ524298:CKA524301 CTV524298:CTW524301 DDR524298:DDS524301 DNN524298:DNO524301 DXJ524298:DXK524301 EHF524298:EHG524301 ERB524298:ERC524301 FAX524298:FAY524301 FKT524298:FKU524301 FUP524298:FUQ524301 GEL524298:GEM524301 GOH524298:GOI524301 GYD524298:GYE524301 HHZ524298:HIA524301 HRV524298:HRW524301 IBR524298:IBS524301 ILN524298:ILO524301 IVJ524298:IVK524301 JFF524298:JFG524301 JPB524298:JPC524301 JYX524298:JYY524301 KIT524298:KIU524301 KSP524298:KSQ524301 LCL524298:LCM524301 LMH524298:LMI524301 LWD524298:LWE524301 MFZ524298:MGA524301 MPV524298:MPW524301 MZR524298:MZS524301 NJN524298:NJO524301 NTJ524298:NTK524301 ODF524298:ODG524301 ONB524298:ONC524301 OWX524298:OWY524301 PGT524298:PGU524301 PQP524298:PQQ524301 QAL524298:QAM524301 QKH524298:QKI524301 QUD524298:QUE524301 RDZ524298:REA524301 RNV524298:RNW524301 RXR524298:RXS524301 SHN524298:SHO524301 SRJ524298:SRK524301 TBF524298:TBG524301 TLB524298:TLC524301 TUX524298:TUY524301 UET524298:UEU524301 UOP524298:UOQ524301 UYL524298:UYM524301 VIH524298:VII524301 VSD524298:VSE524301 WBZ524298:WCA524301 WLV524298:WLW524301 WVR524298:WVS524301 J589834:K589837 JF589834:JG589837 TB589834:TC589837 ACX589834:ACY589837 AMT589834:AMU589837 AWP589834:AWQ589837 BGL589834:BGM589837 BQH589834:BQI589837 CAD589834:CAE589837 CJZ589834:CKA589837 CTV589834:CTW589837 DDR589834:DDS589837 DNN589834:DNO589837 DXJ589834:DXK589837 EHF589834:EHG589837 ERB589834:ERC589837 FAX589834:FAY589837 FKT589834:FKU589837 FUP589834:FUQ589837 GEL589834:GEM589837 GOH589834:GOI589837 GYD589834:GYE589837 HHZ589834:HIA589837 HRV589834:HRW589837 IBR589834:IBS589837 ILN589834:ILO589837 IVJ589834:IVK589837 JFF589834:JFG589837 JPB589834:JPC589837 JYX589834:JYY589837 KIT589834:KIU589837 KSP589834:KSQ589837 LCL589834:LCM589837 LMH589834:LMI589837 LWD589834:LWE589837 MFZ589834:MGA589837 MPV589834:MPW589837 MZR589834:MZS589837 NJN589834:NJO589837 NTJ589834:NTK589837 ODF589834:ODG589837 ONB589834:ONC589837 OWX589834:OWY589837 PGT589834:PGU589837 PQP589834:PQQ589837 QAL589834:QAM589837 QKH589834:QKI589837 QUD589834:QUE589837 RDZ589834:REA589837 RNV589834:RNW589837 RXR589834:RXS589837 SHN589834:SHO589837 SRJ589834:SRK589837 TBF589834:TBG589837 TLB589834:TLC589837 TUX589834:TUY589837 UET589834:UEU589837 UOP589834:UOQ589837 UYL589834:UYM589837 VIH589834:VII589837 VSD589834:VSE589837 WBZ589834:WCA589837 WLV589834:WLW589837 WVR589834:WVS589837 J655370:K655373 JF655370:JG655373 TB655370:TC655373 ACX655370:ACY655373 AMT655370:AMU655373 AWP655370:AWQ655373 BGL655370:BGM655373 BQH655370:BQI655373 CAD655370:CAE655373 CJZ655370:CKA655373 CTV655370:CTW655373 DDR655370:DDS655373 DNN655370:DNO655373 DXJ655370:DXK655373 EHF655370:EHG655373 ERB655370:ERC655373 FAX655370:FAY655373 FKT655370:FKU655373 FUP655370:FUQ655373 GEL655370:GEM655373 GOH655370:GOI655373 GYD655370:GYE655373 HHZ655370:HIA655373 HRV655370:HRW655373 IBR655370:IBS655373 ILN655370:ILO655373 IVJ655370:IVK655373 JFF655370:JFG655373 JPB655370:JPC655373 JYX655370:JYY655373 KIT655370:KIU655373 KSP655370:KSQ655373 LCL655370:LCM655373 LMH655370:LMI655373 LWD655370:LWE655373 MFZ655370:MGA655373 MPV655370:MPW655373 MZR655370:MZS655373 NJN655370:NJO655373 NTJ655370:NTK655373 ODF655370:ODG655373 ONB655370:ONC655373 OWX655370:OWY655373 PGT655370:PGU655373 PQP655370:PQQ655373 QAL655370:QAM655373 QKH655370:QKI655373 QUD655370:QUE655373 RDZ655370:REA655373 RNV655370:RNW655373 RXR655370:RXS655373 SHN655370:SHO655373 SRJ655370:SRK655373 TBF655370:TBG655373 TLB655370:TLC655373 TUX655370:TUY655373 UET655370:UEU655373 UOP655370:UOQ655373 UYL655370:UYM655373 VIH655370:VII655373 VSD655370:VSE655373 WBZ655370:WCA655373 WLV655370:WLW655373 WVR655370:WVS655373 J720906:K720909 JF720906:JG720909 TB720906:TC720909 ACX720906:ACY720909 AMT720906:AMU720909 AWP720906:AWQ720909 BGL720906:BGM720909 BQH720906:BQI720909 CAD720906:CAE720909 CJZ720906:CKA720909 CTV720906:CTW720909 DDR720906:DDS720909 DNN720906:DNO720909 DXJ720906:DXK720909 EHF720906:EHG720909 ERB720906:ERC720909 FAX720906:FAY720909 FKT720906:FKU720909 FUP720906:FUQ720909 GEL720906:GEM720909 GOH720906:GOI720909 GYD720906:GYE720909 HHZ720906:HIA720909 HRV720906:HRW720909 IBR720906:IBS720909 ILN720906:ILO720909 IVJ720906:IVK720909 JFF720906:JFG720909 JPB720906:JPC720909 JYX720906:JYY720909 KIT720906:KIU720909 KSP720906:KSQ720909 LCL720906:LCM720909 LMH720906:LMI720909 LWD720906:LWE720909 MFZ720906:MGA720909 MPV720906:MPW720909 MZR720906:MZS720909 NJN720906:NJO720909 NTJ720906:NTK720909 ODF720906:ODG720909 ONB720906:ONC720909 OWX720906:OWY720909 PGT720906:PGU720909 PQP720906:PQQ720909 QAL720906:QAM720909 QKH720906:QKI720909 QUD720906:QUE720909 RDZ720906:REA720909 RNV720906:RNW720909 RXR720906:RXS720909 SHN720906:SHO720909 SRJ720906:SRK720909 TBF720906:TBG720909 TLB720906:TLC720909 TUX720906:TUY720909 UET720906:UEU720909 UOP720906:UOQ720909 UYL720906:UYM720909 VIH720906:VII720909 VSD720906:VSE720909 WBZ720906:WCA720909 WLV720906:WLW720909 WVR720906:WVS720909 J786442:K786445 JF786442:JG786445 TB786442:TC786445 ACX786442:ACY786445 AMT786442:AMU786445 AWP786442:AWQ786445 BGL786442:BGM786445 BQH786442:BQI786445 CAD786442:CAE786445 CJZ786442:CKA786445 CTV786442:CTW786445 DDR786442:DDS786445 DNN786442:DNO786445 DXJ786442:DXK786445 EHF786442:EHG786445 ERB786442:ERC786445 FAX786442:FAY786445 FKT786442:FKU786445 FUP786442:FUQ786445 GEL786442:GEM786445 GOH786442:GOI786445 GYD786442:GYE786445 HHZ786442:HIA786445 HRV786442:HRW786445 IBR786442:IBS786445 ILN786442:ILO786445 IVJ786442:IVK786445 JFF786442:JFG786445 JPB786442:JPC786445 JYX786442:JYY786445 KIT786442:KIU786445 KSP786442:KSQ786445 LCL786442:LCM786445 LMH786442:LMI786445 LWD786442:LWE786445 MFZ786442:MGA786445 MPV786442:MPW786445 MZR786442:MZS786445 NJN786442:NJO786445 NTJ786442:NTK786445 ODF786442:ODG786445 ONB786442:ONC786445 OWX786442:OWY786445 PGT786442:PGU786445 PQP786442:PQQ786445 QAL786442:QAM786445 QKH786442:QKI786445 QUD786442:QUE786445 RDZ786442:REA786445 RNV786442:RNW786445 RXR786442:RXS786445 SHN786442:SHO786445 SRJ786442:SRK786445 TBF786442:TBG786445 TLB786442:TLC786445 TUX786442:TUY786445 UET786442:UEU786445 UOP786442:UOQ786445 UYL786442:UYM786445 VIH786442:VII786445 VSD786442:VSE786445 WBZ786442:WCA786445 WLV786442:WLW786445 WVR786442:WVS786445 J851978:K851981 JF851978:JG851981 TB851978:TC851981 ACX851978:ACY851981 AMT851978:AMU851981 AWP851978:AWQ851981 BGL851978:BGM851981 BQH851978:BQI851981 CAD851978:CAE851981 CJZ851978:CKA851981 CTV851978:CTW851981 DDR851978:DDS851981 DNN851978:DNO851981 DXJ851978:DXK851981 EHF851978:EHG851981 ERB851978:ERC851981 FAX851978:FAY851981 FKT851978:FKU851981 FUP851978:FUQ851981 GEL851978:GEM851981 GOH851978:GOI851981 GYD851978:GYE851981 HHZ851978:HIA851981 HRV851978:HRW851981 IBR851978:IBS851981 ILN851978:ILO851981 IVJ851978:IVK851981 JFF851978:JFG851981 JPB851978:JPC851981 JYX851978:JYY851981 KIT851978:KIU851981 KSP851978:KSQ851981 LCL851978:LCM851981 LMH851978:LMI851981 LWD851978:LWE851981 MFZ851978:MGA851981 MPV851978:MPW851981 MZR851978:MZS851981 NJN851978:NJO851981 NTJ851978:NTK851981 ODF851978:ODG851981 ONB851978:ONC851981 OWX851978:OWY851981 PGT851978:PGU851981 PQP851978:PQQ851981 QAL851978:QAM851981 QKH851978:QKI851981 QUD851978:QUE851981 RDZ851978:REA851981 RNV851978:RNW851981 RXR851978:RXS851981 SHN851978:SHO851981 SRJ851978:SRK851981 TBF851978:TBG851981 TLB851978:TLC851981 TUX851978:TUY851981 UET851978:UEU851981 UOP851978:UOQ851981 UYL851978:UYM851981 VIH851978:VII851981 VSD851978:VSE851981 WBZ851978:WCA851981 WLV851978:WLW851981 WVR851978:WVS851981 J917514:K917517 JF917514:JG917517 TB917514:TC917517 ACX917514:ACY917517 AMT917514:AMU917517 AWP917514:AWQ917517 BGL917514:BGM917517 BQH917514:BQI917517 CAD917514:CAE917517 CJZ917514:CKA917517 CTV917514:CTW917517 DDR917514:DDS917517 DNN917514:DNO917517 DXJ917514:DXK917517 EHF917514:EHG917517 ERB917514:ERC917517 FAX917514:FAY917517 FKT917514:FKU917517 FUP917514:FUQ917517 GEL917514:GEM917517 GOH917514:GOI917517 GYD917514:GYE917517 HHZ917514:HIA917517 HRV917514:HRW917517 IBR917514:IBS917517 ILN917514:ILO917517 IVJ917514:IVK917517 JFF917514:JFG917517 JPB917514:JPC917517 JYX917514:JYY917517 KIT917514:KIU917517 KSP917514:KSQ917517 LCL917514:LCM917517 LMH917514:LMI917517 LWD917514:LWE917517 MFZ917514:MGA917517 MPV917514:MPW917517 MZR917514:MZS917517 NJN917514:NJO917517 NTJ917514:NTK917517 ODF917514:ODG917517 ONB917514:ONC917517 OWX917514:OWY917517 PGT917514:PGU917517 PQP917514:PQQ917517 QAL917514:QAM917517 QKH917514:QKI917517 QUD917514:QUE917517 RDZ917514:REA917517 RNV917514:RNW917517 RXR917514:RXS917517 SHN917514:SHO917517 SRJ917514:SRK917517 TBF917514:TBG917517 TLB917514:TLC917517 TUX917514:TUY917517 UET917514:UEU917517 UOP917514:UOQ917517 UYL917514:UYM917517 VIH917514:VII917517 VSD917514:VSE917517 WBZ917514:WCA917517 WLV917514:WLW917517 WVR917514:WVS917517 J983050:K983053 JF983050:JG983053 TB983050:TC983053 ACX983050:ACY983053 AMT983050:AMU983053 AWP983050:AWQ983053 BGL983050:BGM983053 BQH983050:BQI983053 CAD983050:CAE983053 CJZ983050:CKA983053 CTV983050:CTW983053 DDR983050:DDS983053 DNN983050:DNO983053 DXJ983050:DXK983053 EHF983050:EHG983053 ERB983050:ERC983053 FAX983050:FAY983053 FKT983050:FKU983053 FUP983050:FUQ983053 GEL983050:GEM983053 GOH983050:GOI983053 GYD983050:GYE983053 HHZ983050:HIA983053 HRV983050:HRW983053 IBR983050:IBS983053 ILN983050:ILO983053 IVJ983050:IVK983053 JFF983050:JFG983053 JPB983050:JPC983053 JYX983050:JYY983053 KIT983050:KIU983053 KSP983050:KSQ983053 LCL983050:LCM983053 LMH983050:LMI983053 LWD983050:LWE983053 MFZ983050:MGA983053 MPV983050:MPW983053 MZR983050:MZS983053 NJN983050:NJO983053 NTJ983050:NTK983053 ODF983050:ODG983053 ONB983050:ONC983053 OWX983050:OWY983053 PGT983050:PGU983053 PQP983050:PQQ983053 QAL983050:QAM983053 QKH983050:QKI983053 QUD983050:QUE983053 RDZ983050:REA983053 RNV983050:RNW983053 RXR983050:RXS983053 SHN983050:SHO983053 SRJ983050:SRK983053 TBF983050:TBG983053 TLB983050:TLC983053 TUX983050:TUY983053 UET983050:UEU983053 UOP983050:UOQ983053 UYL983050:UYM983053 VIH983050:VII983053 VSD983050:VSE983053 WBZ983050:WCA983053 WLV983050:WLW983053 WVR983050:WVS983053">
      <formula1>PF</formula1>
    </dataValidation>
  </dataValidations>
  <printOptions horizontalCentered="1"/>
  <pageMargins left="0.70866141732283472" right="0.70866141732283472" top="0.74803149606299213" bottom="0.74803149606299213" header="0.31496062992125984" footer="0.31496062992125984"/>
  <pageSetup scale="81" orientation="portrait" r:id="rId1"/>
  <headerFooter alignWithMargins="0">
    <oddFooter>Page &amp;P</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Q432"/>
  <sheetViews>
    <sheetView topLeftCell="G237" zoomScale="75" zoomScaleNormal="75" workbookViewId="0">
      <selection activeCell="K374" sqref="K374"/>
    </sheetView>
  </sheetViews>
  <sheetFormatPr defaultRowHeight="14.1" customHeight="1"/>
  <cols>
    <col min="1" max="1" width="2.375" style="13" customWidth="1"/>
    <col min="2" max="2" width="2.375" style="25" customWidth="1"/>
    <col min="3" max="13" width="10.625" style="25" customWidth="1"/>
    <col min="14" max="14" width="2.375" style="25" customWidth="1"/>
    <col min="15" max="43" width="10.625" style="25" customWidth="1"/>
    <col min="44" max="16384" width="9" style="6"/>
  </cols>
  <sheetData>
    <row r="1" spans="1:43" ht="14.1" customHeight="1" thickTop="1">
      <c r="A1" s="21"/>
      <c r="B1" s="22"/>
      <c r="C1" s="23"/>
      <c r="D1" s="23"/>
      <c r="E1" s="23"/>
      <c r="F1" s="23"/>
      <c r="G1" s="23"/>
      <c r="H1" s="23"/>
      <c r="I1" s="23"/>
      <c r="J1" s="23"/>
      <c r="K1" s="23"/>
      <c r="L1" s="23"/>
      <c r="M1" s="24"/>
      <c r="O1" s="26" t="s">
        <v>0</v>
      </c>
      <c r="P1" s="27"/>
      <c r="Q1" s="27"/>
      <c r="R1" s="27"/>
      <c r="S1" s="27"/>
      <c r="T1" s="27"/>
      <c r="U1" s="27"/>
      <c r="V1" s="27"/>
      <c r="W1" s="27"/>
      <c r="X1" s="27"/>
      <c r="Y1" s="28"/>
      <c r="AA1" s="29" t="s">
        <v>1</v>
      </c>
    </row>
    <row r="2" spans="1:43" ht="14.1" customHeight="1">
      <c r="A2" s="21">
        <v>2</v>
      </c>
      <c r="B2" s="30"/>
      <c r="C2" s="31"/>
      <c r="D2" s="31"/>
      <c r="E2" s="31"/>
      <c r="F2" s="31"/>
      <c r="G2" s="31"/>
      <c r="H2" s="32" t="s">
        <v>2</v>
      </c>
      <c r="I2" s="31"/>
      <c r="J2" s="31"/>
      <c r="K2" s="31"/>
      <c r="L2" s="31"/>
      <c r="M2" s="33"/>
      <c r="O2" s="34"/>
      <c r="T2" s="35" t="s">
        <v>2</v>
      </c>
      <c r="Y2" s="36"/>
      <c r="AA2" s="37" t="s">
        <v>3</v>
      </c>
    </row>
    <row r="3" spans="1:43" ht="14.1" customHeight="1">
      <c r="A3" s="21">
        <v>3</v>
      </c>
      <c r="B3" s="30"/>
      <c r="C3" s="31"/>
      <c r="D3" s="31"/>
      <c r="E3" s="31"/>
      <c r="F3" s="31"/>
      <c r="G3" s="31"/>
      <c r="H3" s="32" t="s">
        <v>4</v>
      </c>
      <c r="I3" s="31"/>
      <c r="J3" s="31"/>
      <c r="K3" s="31"/>
      <c r="L3" s="31"/>
      <c r="M3" s="33"/>
      <c r="O3" s="34"/>
      <c r="T3" s="35" t="s">
        <v>4</v>
      </c>
      <c r="Y3" s="36"/>
      <c r="AA3" s="38" t="str">
        <f>IF(AB7="","",AB7)</f>
        <v/>
      </c>
    </row>
    <row r="4" spans="1:43" ht="14.1" customHeight="1">
      <c r="A4" s="21">
        <v>4</v>
      </c>
      <c r="B4" s="30"/>
      <c r="C4" s="31"/>
      <c r="D4" s="31"/>
      <c r="E4" s="31"/>
      <c r="F4" s="31"/>
      <c r="G4" s="31"/>
      <c r="H4" s="31"/>
      <c r="I4" s="31"/>
      <c r="J4" s="31"/>
      <c r="K4" s="31"/>
      <c r="L4" s="31"/>
      <c r="M4" s="33"/>
      <c r="O4" s="34"/>
      <c r="T4" s="13"/>
      <c r="Y4" s="36"/>
      <c r="AA4" s="39" t="s">
        <v>5</v>
      </c>
      <c r="AB4" s="40" t="s">
        <v>6</v>
      </c>
    </row>
    <row r="5" spans="1:43" ht="14.1" customHeight="1">
      <c r="A5" s="21">
        <v>5</v>
      </c>
      <c r="B5" s="30"/>
      <c r="C5" s="31"/>
      <c r="D5" s="31"/>
      <c r="E5" s="31"/>
      <c r="F5" s="31"/>
      <c r="G5" s="31"/>
      <c r="H5" s="32" t="s">
        <v>7</v>
      </c>
      <c r="I5" s="31"/>
      <c r="J5" s="31"/>
      <c r="K5" s="31"/>
      <c r="L5" s="31"/>
      <c r="M5" s="33"/>
      <c r="O5" s="34"/>
      <c r="T5" s="35" t="s">
        <v>7</v>
      </c>
      <c r="Y5" s="36"/>
    </row>
    <row r="6" spans="1:43" ht="14.1" customHeight="1" thickBot="1">
      <c r="A6" s="21">
        <v>6</v>
      </c>
      <c r="B6" s="41"/>
      <c r="C6" s="42"/>
      <c r="D6" s="42"/>
      <c r="E6" s="42"/>
      <c r="F6" s="42"/>
      <c r="G6" s="42"/>
      <c r="H6" s="42"/>
      <c r="I6" s="42"/>
      <c r="J6" s="42"/>
      <c r="K6" s="42"/>
      <c r="L6" s="42"/>
      <c r="M6" s="43"/>
      <c r="O6" s="44"/>
      <c r="P6" s="45"/>
      <c r="Q6" s="45"/>
      <c r="R6" s="45"/>
      <c r="S6" s="45"/>
      <c r="T6" s="45"/>
      <c r="U6" s="45"/>
      <c r="V6" s="45"/>
      <c r="W6" s="45"/>
      <c r="X6" s="45"/>
      <c r="Y6" s="46"/>
      <c r="AA6" s="47" t="s">
        <v>8</v>
      </c>
      <c r="AB6" s="25" t="s">
        <v>9</v>
      </c>
      <c r="AD6" s="25" t="s">
        <v>10</v>
      </c>
    </row>
    <row r="7" spans="1:43" ht="14.1" customHeight="1" thickTop="1">
      <c r="A7" s="21">
        <v>7</v>
      </c>
      <c r="O7" s="25" t="s">
        <v>11</v>
      </c>
      <c r="P7" s="48"/>
      <c r="Q7" s="49"/>
      <c r="W7" s="25" t="s">
        <v>12</v>
      </c>
      <c r="X7" s="50" t="str">
        <f>IF(Y7&lt;&gt;"",Y7,IF(AB9="","",AB9))</f>
        <v>Eugene Mah</v>
      </c>
      <c r="Y7" s="51" t="s">
        <v>13</v>
      </c>
      <c r="AA7" s="39" t="s">
        <v>1</v>
      </c>
      <c r="AB7" s="52"/>
      <c r="AC7" s="53" t="str">
        <f t="shared" ref="AC7:AC19" si="0">IF(AB7&lt;&gt;AD7,"Change","")</f>
        <v>Change</v>
      </c>
      <c r="AD7" s="54" t="str">
        <f>IF(OR(AA2="",AA2=0),"",AA2)</f>
        <v>Page1,HVLPage,ExpChart,ImgQuality,Compg1,GraphAcryl,LeedsTO10</v>
      </c>
    </row>
    <row r="8" spans="1:43" ht="14.1" customHeight="1" thickBot="1">
      <c r="A8" s="21">
        <v>8</v>
      </c>
      <c r="G8" s="55"/>
      <c r="H8" s="55" t="s">
        <v>14</v>
      </c>
      <c r="O8" s="25" t="s">
        <v>15</v>
      </c>
      <c r="P8" s="56" t="str">
        <f>IF(AB8="","",AB8)</f>
        <v/>
      </c>
      <c r="Q8" s="57"/>
      <c r="T8" s="58" t="s">
        <v>14</v>
      </c>
      <c r="W8" s="59"/>
      <c r="X8" s="59"/>
      <c r="Y8" s="60"/>
      <c r="AA8" s="39" t="s">
        <v>16</v>
      </c>
      <c r="AB8" s="61"/>
      <c r="AC8" s="53" t="str">
        <f t="shared" si="0"/>
        <v/>
      </c>
      <c r="AD8" s="62" t="str">
        <f>IF(P7="","",P7)</f>
        <v/>
      </c>
    </row>
    <row r="9" spans="1:43" ht="14.1" customHeight="1" thickTop="1">
      <c r="A9" s="21">
        <v>9</v>
      </c>
      <c r="B9" s="63"/>
      <c r="C9" s="64"/>
      <c r="D9" s="65" t="s">
        <v>17</v>
      </c>
      <c r="E9" s="64"/>
      <c r="F9" s="64"/>
      <c r="G9" s="64"/>
      <c r="H9" s="64"/>
      <c r="I9" s="64"/>
      <c r="J9" s="64"/>
      <c r="K9" s="64"/>
      <c r="L9" s="64"/>
      <c r="M9" s="66"/>
      <c r="O9" s="67"/>
      <c r="P9" s="68" t="s">
        <v>17</v>
      </c>
      <c r="Q9" s="27"/>
      <c r="R9" s="27"/>
      <c r="S9" s="69" t="s">
        <v>18</v>
      </c>
      <c r="T9" s="27"/>
      <c r="U9" s="27"/>
      <c r="V9" s="27"/>
      <c r="W9" s="69" t="s">
        <v>18</v>
      </c>
      <c r="X9" s="27"/>
      <c r="Y9" s="28"/>
      <c r="AA9" s="39" t="s">
        <v>19</v>
      </c>
      <c r="AB9" s="70" t="s">
        <v>13</v>
      </c>
      <c r="AC9" s="53" t="str">
        <f t="shared" si="0"/>
        <v/>
      </c>
      <c r="AD9" s="71" t="str">
        <f>IF(X7="","",X7)</f>
        <v>Eugene Mah</v>
      </c>
      <c r="AH9" s="13" t="s">
        <v>20</v>
      </c>
      <c r="AI9" s="13" t="s">
        <v>21</v>
      </c>
      <c r="AJ9" s="13" t="s">
        <v>22</v>
      </c>
      <c r="AK9" s="13" t="s">
        <v>23</v>
      </c>
      <c r="AL9" s="13" t="s">
        <v>24</v>
      </c>
      <c r="AM9" s="13" t="s">
        <v>25</v>
      </c>
      <c r="AN9" s="13" t="s">
        <v>26</v>
      </c>
      <c r="AO9" s="13" t="s">
        <v>27</v>
      </c>
      <c r="AP9" s="13" t="s">
        <v>28</v>
      </c>
      <c r="AQ9" s="13" t="s">
        <v>29</v>
      </c>
    </row>
    <row r="10" spans="1:43" ht="14.1" customHeight="1">
      <c r="A10" s="21">
        <v>10</v>
      </c>
      <c r="B10" s="72"/>
      <c r="C10" s="73"/>
      <c r="E10" s="39" t="s">
        <v>30</v>
      </c>
      <c r="F10" s="754" t="str">
        <f>IF(R10="","",R10)</f>
        <v/>
      </c>
      <c r="G10" s="754"/>
      <c r="J10" s="39" t="s">
        <v>31</v>
      </c>
      <c r="K10" s="754" t="str">
        <f>IF(V10="","",V10)</f>
        <v/>
      </c>
      <c r="L10" s="754"/>
      <c r="M10" s="74"/>
      <c r="O10" s="34"/>
      <c r="Q10" s="39" t="s">
        <v>30</v>
      </c>
      <c r="R10" s="50" t="str">
        <f>IF(S10&lt;&gt;"",S10,IF(AB10="","",AB10))</f>
        <v/>
      </c>
      <c r="S10" s="51"/>
      <c r="U10" s="39" t="s">
        <v>31</v>
      </c>
      <c r="V10" s="50" t="str">
        <f>IF(W10&lt;&gt;"",W10,IF(AB15="","",AB15))</f>
        <v/>
      </c>
      <c r="W10" s="51"/>
      <c r="Y10" s="36"/>
      <c r="AA10" s="39" t="s">
        <v>30</v>
      </c>
      <c r="AB10" s="70"/>
      <c r="AC10" s="53" t="str">
        <f t="shared" si="0"/>
        <v/>
      </c>
      <c r="AD10" s="71" t="str">
        <f>IF(R10="","",R10)</f>
        <v/>
      </c>
      <c r="AH10" s="20">
        <v>24</v>
      </c>
      <c r="AI10" s="20">
        <v>50</v>
      </c>
      <c r="AJ10" s="75">
        <v>0</v>
      </c>
      <c r="AK10" s="20" t="s">
        <v>32</v>
      </c>
      <c r="AL10" s="20" t="s">
        <v>32</v>
      </c>
      <c r="AM10" s="20"/>
      <c r="AN10" s="20"/>
      <c r="AO10" s="20"/>
      <c r="AP10" s="20"/>
      <c r="AQ10" s="76"/>
    </row>
    <row r="11" spans="1:43" ht="14.1" customHeight="1">
      <c r="A11" s="21">
        <v>11</v>
      </c>
      <c r="B11" s="72"/>
      <c r="C11" s="73"/>
      <c r="E11" s="39" t="s">
        <v>33</v>
      </c>
      <c r="F11" s="761" t="str">
        <f>IF(R11="","",R11)</f>
        <v/>
      </c>
      <c r="G11" s="761"/>
      <c r="J11" s="39" t="s">
        <v>34</v>
      </c>
      <c r="K11" s="754" t="str">
        <f>IF(V11="","",V11)</f>
        <v/>
      </c>
      <c r="L11" s="754"/>
      <c r="M11" s="74"/>
      <c r="O11" s="34"/>
      <c r="Q11" s="39" t="s">
        <v>33</v>
      </c>
      <c r="R11" s="50" t="str">
        <f>IF(S11&lt;&gt;"",S11,IF(AB11="","",AB11))</f>
        <v/>
      </c>
      <c r="S11" s="51"/>
      <c r="U11" s="39" t="s">
        <v>34</v>
      </c>
      <c r="V11" s="50" t="str">
        <f>IF(W11&lt;&gt;"",W11,IF(AB16="","",AB16))</f>
        <v/>
      </c>
      <c r="W11" s="51"/>
      <c r="Y11" s="36"/>
      <c r="AA11" s="39" t="s">
        <v>33</v>
      </c>
      <c r="AB11" s="70"/>
      <c r="AC11" s="53" t="str">
        <f t="shared" si="0"/>
        <v/>
      </c>
      <c r="AD11" s="71" t="str">
        <f>IF(R11="","",R11)</f>
        <v/>
      </c>
      <c r="AH11" s="20">
        <v>26</v>
      </c>
      <c r="AI11" s="20">
        <v>50</v>
      </c>
      <c r="AJ11" s="75">
        <v>0</v>
      </c>
      <c r="AK11" s="20" t="s">
        <v>32</v>
      </c>
      <c r="AL11" s="20" t="s">
        <v>32</v>
      </c>
      <c r="AM11" s="20"/>
      <c r="AN11" s="20"/>
      <c r="AO11" s="20"/>
      <c r="AP11" s="20"/>
      <c r="AQ11" s="76"/>
    </row>
    <row r="12" spans="1:43" ht="14.1" customHeight="1">
      <c r="A12" s="21">
        <v>12</v>
      </c>
      <c r="B12" s="72"/>
      <c r="C12" s="73"/>
      <c r="E12" s="39" t="s">
        <v>35</v>
      </c>
      <c r="F12" s="761" t="str">
        <f>IF(R12="","",R12)</f>
        <v/>
      </c>
      <c r="G12" s="761"/>
      <c r="J12" s="39" t="s">
        <v>36</v>
      </c>
      <c r="K12" s="760" t="str">
        <f>IF(V12="","",V12)</f>
        <v/>
      </c>
      <c r="L12" s="760"/>
      <c r="M12" s="74"/>
      <c r="O12" s="34"/>
      <c r="Q12" s="39" t="s">
        <v>35</v>
      </c>
      <c r="R12" s="50" t="str">
        <f>IF(S12&lt;&gt;"",S12,IF(AB12="","",AB12))</f>
        <v/>
      </c>
      <c r="S12" s="51"/>
      <c r="U12" s="39" t="s">
        <v>36</v>
      </c>
      <c r="V12" s="77" t="str">
        <f>IF(W12&lt;&gt;"",W12,IF(AB17="","",AB17))</f>
        <v/>
      </c>
      <c r="W12" s="78"/>
      <c r="Y12" s="36"/>
      <c r="AA12" s="39" t="s">
        <v>35</v>
      </c>
      <c r="AB12" s="70"/>
      <c r="AC12" s="53" t="str">
        <f t="shared" si="0"/>
        <v/>
      </c>
      <c r="AD12" s="71" t="str">
        <f>IF(R12="","",R12)</f>
        <v/>
      </c>
      <c r="AH12" s="20">
        <v>28</v>
      </c>
      <c r="AI12" s="20">
        <v>50</v>
      </c>
      <c r="AJ12" s="75">
        <v>0</v>
      </c>
      <c r="AK12" s="20" t="s">
        <v>32</v>
      </c>
      <c r="AL12" s="20" t="s">
        <v>32</v>
      </c>
      <c r="AM12" s="20"/>
      <c r="AN12" s="20"/>
      <c r="AO12" s="20"/>
      <c r="AP12" s="20"/>
      <c r="AQ12" s="76"/>
    </row>
    <row r="13" spans="1:43" ht="14.1" customHeight="1">
      <c r="A13" s="21">
        <v>13</v>
      </c>
      <c r="B13" s="72"/>
      <c r="C13" s="73"/>
      <c r="E13" s="39" t="s">
        <v>37</v>
      </c>
      <c r="F13" s="761" t="str">
        <f>IF(R13="","",R13)</f>
        <v/>
      </c>
      <c r="G13" s="761"/>
      <c r="J13" s="39" t="s">
        <v>38</v>
      </c>
      <c r="K13" s="754" t="str">
        <f>IF(V13="","",V13)</f>
        <v/>
      </c>
      <c r="L13" s="754"/>
      <c r="M13" s="74"/>
      <c r="O13" s="34"/>
      <c r="Q13" s="39" t="s">
        <v>37</v>
      </c>
      <c r="R13" s="50" t="str">
        <f>IF(S13&lt;&gt;"",S13,IF(AB13="","",AB13))</f>
        <v/>
      </c>
      <c r="S13" s="51"/>
      <c r="U13" s="39" t="s">
        <v>38</v>
      </c>
      <c r="V13" s="50" t="str">
        <f>IF(W13&lt;&gt;"",W13,IF(AB18="","",AB18))</f>
        <v/>
      </c>
      <c r="W13" s="51"/>
      <c r="Y13" s="36"/>
      <c r="AA13" s="39" t="s">
        <v>37</v>
      </c>
      <c r="AB13" s="70"/>
      <c r="AC13" s="53" t="str">
        <f t="shared" si="0"/>
        <v/>
      </c>
      <c r="AD13" s="71" t="str">
        <f>IF(R13="","",R13)</f>
        <v/>
      </c>
      <c r="AH13" s="20">
        <v>28</v>
      </c>
      <c r="AI13" s="20">
        <v>50</v>
      </c>
      <c r="AJ13" s="75">
        <v>0</v>
      </c>
      <c r="AK13" s="20" t="s">
        <v>32</v>
      </c>
      <c r="AL13" s="20" t="s">
        <v>32</v>
      </c>
      <c r="AM13" s="20"/>
      <c r="AN13" s="20"/>
      <c r="AO13" s="20"/>
      <c r="AP13" s="20"/>
      <c r="AQ13" s="76"/>
    </row>
    <row r="14" spans="1:43" ht="14.1" customHeight="1">
      <c r="A14" s="21">
        <v>14</v>
      </c>
      <c r="B14" s="72"/>
      <c r="C14" s="73"/>
      <c r="M14" s="74"/>
      <c r="O14" s="34"/>
      <c r="Q14" s="39" t="s">
        <v>39</v>
      </c>
      <c r="R14" s="50" t="str">
        <f>IF(S14&lt;&gt;"",S14,IF(AB14="","",AB14))</f>
        <v/>
      </c>
      <c r="S14" s="51"/>
      <c r="U14" s="39" t="s">
        <v>40</v>
      </c>
      <c r="V14" s="50" t="str">
        <f>IF(W14&lt;&gt;"",W14,IF(AB19="","",AB19))</f>
        <v/>
      </c>
      <c r="W14" s="51"/>
      <c r="Y14" s="36"/>
      <c r="AA14" s="39" t="s">
        <v>39</v>
      </c>
      <c r="AB14" s="79"/>
      <c r="AC14" s="53" t="str">
        <f t="shared" si="0"/>
        <v/>
      </c>
      <c r="AD14" s="71" t="str">
        <f>IF(R14="","",R14)</f>
        <v/>
      </c>
      <c r="AH14" s="20">
        <v>28</v>
      </c>
      <c r="AI14" s="20">
        <v>50</v>
      </c>
      <c r="AJ14" s="75">
        <v>0</v>
      </c>
      <c r="AK14" s="20" t="s">
        <v>32</v>
      </c>
      <c r="AL14" s="20" t="s">
        <v>32</v>
      </c>
      <c r="AM14" s="20"/>
      <c r="AN14" s="20"/>
      <c r="AO14" s="20"/>
      <c r="AP14" s="20"/>
      <c r="AQ14" s="76"/>
    </row>
    <row r="15" spans="1:43" ht="14.1" customHeight="1">
      <c r="A15" s="21">
        <v>15</v>
      </c>
      <c r="B15" s="72"/>
      <c r="C15" s="73"/>
      <c r="D15" s="80" t="s">
        <v>41</v>
      </c>
      <c r="M15" s="74"/>
      <c r="O15" s="34"/>
      <c r="Y15" s="36"/>
      <c r="AA15" s="39" t="s">
        <v>31</v>
      </c>
      <c r="AB15" s="70"/>
      <c r="AC15" s="53" t="str">
        <f t="shared" si="0"/>
        <v/>
      </c>
      <c r="AD15" s="71" t="str">
        <f>IF(V10="","",V10)</f>
        <v/>
      </c>
      <c r="AH15" s="20">
        <v>28</v>
      </c>
      <c r="AI15" s="20">
        <v>50</v>
      </c>
      <c r="AJ15" s="75">
        <v>0</v>
      </c>
      <c r="AK15" s="20" t="s">
        <v>32</v>
      </c>
      <c r="AL15" s="20" t="s">
        <v>32</v>
      </c>
      <c r="AM15" s="20"/>
      <c r="AN15" s="20"/>
      <c r="AO15" s="20"/>
      <c r="AP15" s="20"/>
      <c r="AQ15" s="76"/>
    </row>
    <row r="16" spans="1:43" ht="14.1" customHeight="1">
      <c r="A16" s="21">
        <v>16</v>
      </c>
      <c r="B16" s="72"/>
      <c r="C16" s="73"/>
      <c r="E16" s="39" t="s">
        <v>42</v>
      </c>
      <c r="F16" s="754" t="str">
        <f>IF(R17="","",R17)</f>
        <v/>
      </c>
      <c r="G16" s="754"/>
      <c r="J16" s="39" t="s">
        <v>43</v>
      </c>
      <c r="K16" s="760" t="str">
        <f>IF(V17="","",V17)</f>
        <v/>
      </c>
      <c r="L16" s="760"/>
      <c r="M16" s="74"/>
      <c r="O16" s="34"/>
      <c r="P16" s="80" t="s">
        <v>41</v>
      </c>
      <c r="Y16" s="36"/>
      <c r="AA16" s="39" t="s">
        <v>34</v>
      </c>
      <c r="AB16" s="70"/>
      <c r="AC16" s="53" t="str">
        <f t="shared" si="0"/>
        <v/>
      </c>
      <c r="AD16" s="71" t="str">
        <f>IF(V11="","",V11)</f>
        <v/>
      </c>
      <c r="AH16" s="20">
        <v>28</v>
      </c>
      <c r="AI16" s="20">
        <v>50</v>
      </c>
      <c r="AJ16" s="75">
        <v>0.3</v>
      </c>
      <c r="AK16" s="20" t="s">
        <v>32</v>
      </c>
      <c r="AL16" s="20" t="s">
        <v>32</v>
      </c>
      <c r="AM16" s="20"/>
      <c r="AN16" s="20"/>
      <c r="AO16" s="20"/>
      <c r="AP16" s="20"/>
      <c r="AQ16" s="76"/>
    </row>
    <row r="17" spans="1:43" ht="14.1" customHeight="1">
      <c r="A17" s="21">
        <v>17</v>
      </c>
      <c r="B17" s="72"/>
      <c r="C17" s="73"/>
      <c r="E17" s="39" t="s">
        <v>44</v>
      </c>
      <c r="F17" s="754" t="str">
        <f>IF(R18="","",R18)</f>
        <v/>
      </c>
      <c r="G17" s="754"/>
      <c r="J17" s="39" t="s">
        <v>45</v>
      </c>
      <c r="K17" s="762" t="str">
        <f>IF(V18="","",V18)</f>
        <v/>
      </c>
      <c r="L17" s="762"/>
      <c r="M17" s="74"/>
      <c r="O17" s="34"/>
      <c r="Q17" s="39" t="s">
        <v>42</v>
      </c>
      <c r="R17" s="50" t="str">
        <f>IF(S17&lt;&gt;"",S17,IF(AB21="","",AB21))</f>
        <v/>
      </c>
      <c r="S17" s="51"/>
      <c r="U17" s="39" t="s">
        <v>43</v>
      </c>
      <c r="V17" s="77" t="str">
        <f>IF(W17&lt;&gt;"",W17,IF(AB24="","",AB24))</f>
        <v/>
      </c>
      <c r="W17" s="81"/>
      <c r="Y17" s="36"/>
      <c r="AA17" s="39" t="s">
        <v>36</v>
      </c>
      <c r="AB17" s="82"/>
      <c r="AC17" s="53" t="str">
        <f t="shared" si="0"/>
        <v/>
      </c>
      <c r="AD17" s="83" t="str">
        <f>IF(V12="","",V12)</f>
        <v/>
      </c>
      <c r="AH17" s="20">
        <v>28</v>
      </c>
      <c r="AI17" s="20">
        <v>50</v>
      </c>
      <c r="AJ17" s="75">
        <v>0.3</v>
      </c>
      <c r="AK17" s="20" t="s">
        <v>32</v>
      </c>
      <c r="AL17" s="20" t="s">
        <v>32</v>
      </c>
      <c r="AM17" s="20"/>
      <c r="AN17" s="20"/>
      <c r="AO17" s="20"/>
      <c r="AP17" s="20"/>
      <c r="AQ17" s="76"/>
    </row>
    <row r="18" spans="1:43" ht="14.1" customHeight="1">
      <c r="A18" s="21">
        <v>18</v>
      </c>
      <c r="B18" s="72"/>
      <c r="C18" s="73"/>
      <c r="E18" s="39" t="s">
        <v>46</v>
      </c>
      <c r="F18" s="754" t="str">
        <f>IF(R19="","",R19)</f>
        <v/>
      </c>
      <c r="G18" s="754"/>
      <c r="J18" s="39" t="s">
        <v>47</v>
      </c>
      <c r="K18" s="754" t="str">
        <f>IF(V19="","",V19)</f>
        <v/>
      </c>
      <c r="L18" s="754"/>
      <c r="M18" s="74"/>
      <c r="O18" s="34"/>
      <c r="Q18" s="39" t="s">
        <v>44</v>
      </c>
      <c r="R18" s="50" t="str">
        <f>IF(S18&lt;&gt;"",S18,IF(AB22="","",AB22))</f>
        <v/>
      </c>
      <c r="S18" s="51"/>
      <c r="U18" s="39" t="s">
        <v>45</v>
      </c>
      <c r="V18" s="50" t="str">
        <f>IF(W18&lt;&gt;"",W18,IF(AB25="","",AB25))</f>
        <v/>
      </c>
      <c r="W18" s="51"/>
      <c r="Y18" s="36"/>
      <c r="AA18" s="39" t="s">
        <v>38</v>
      </c>
      <c r="AB18" s="70"/>
      <c r="AC18" s="53" t="str">
        <f t="shared" si="0"/>
        <v/>
      </c>
      <c r="AD18" s="71" t="str">
        <f>IF(V13="","",V13)</f>
        <v/>
      </c>
      <c r="AH18" s="20">
        <v>28</v>
      </c>
      <c r="AI18" s="20">
        <v>50</v>
      </c>
      <c r="AJ18" s="75">
        <v>0.4</v>
      </c>
      <c r="AK18" s="20" t="s">
        <v>32</v>
      </c>
      <c r="AL18" s="20" t="s">
        <v>32</v>
      </c>
      <c r="AM18" s="20"/>
      <c r="AN18" s="20"/>
      <c r="AO18" s="20"/>
      <c r="AP18" s="20"/>
      <c r="AQ18" s="76"/>
    </row>
    <row r="19" spans="1:43" ht="14.1" customHeight="1">
      <c r="A19" s="21">
        <v>19</v>
      </c>
      <c r="B19" s="72"/>
      <c r="C19" s="73"/>
      <c r="M19" s="74"/>
      <c r="O19" s="34"/>
      <c r="Q19" s="39" t="s">
        <v>46</v>
      </c>
      <c r="R19" s="50" t="str">
        <f>IF(S19&lt;&gt;"",S19,IF(AB23="","",AB23))</f>
        <v/>
      </c>
      <c r="S19" s="51"/>
      <c r="U19" s="39" t="s">
        <v>47</v>
      </c>
      <c r="V19" s="50" t="str">
        <f>IF(W19&lt;&gt;"",W19,IF(AB26="","",AB26))</f>
        <v/>
      </c>
      <c r="W19" s="51"/>
      <c r="Y19" s="36"/>
      <c r="AA19" s="39" t="s">
        <v>48</v>
      </c>
      <c r="AB19" s="70"/>
      <c r="AC19" s="53" t="str">
        <f t="shared" si="0"/>
        <v/>
      </c>
      <c r="AD19" s="71" t="str">
        <f>IF(V14="","",V14)</f>
        <v/>
      </c>
      <c r="AH19" s="20">
        <v>28</v>
      </c>
      <c r="AI19" s="20">
        <v>50</v>
      </c>
      <c r="AJ19" s="75">
        <v>0.4</v>
      </c>
      <c r="AK19" s="20" t="s">
        <v>32</v>
      </c>
      <c r="AL19" s="20" t="s">
        <v>32</v>
      </c>
      <c r="AM19" s="20"/>
      <c r="AN19" s="20"/>
      <c r="AO19" s="20"/>
      <c r="AP19" s="20"/>
      <c r="AQ19" s="76"/>
    </row>
    <row r="20" spans="1:43" ht="14.1" customHeight="1">
      <c r="A20" s="21">
        <v>20</v>
      </c>
      <c r="B20" s="72"/>
      <c r="C20" s="73"/>
      <c r="D20" s="80" t="s">
        <v>49</v>
      </c>
      <c r="J20" s="84"/>
      <c r="M20" s="74"/>
      <c r="O20" s="34"/>
      <c r="Y20" s="36"/>
      <c r="AA20" s="47" t="s">
        <v>41</v>
      </c>
      <c r="AH20" s="20">
        <v>28</v>
      </c>
      <c r="AI20" s="20">
        <v>20</v>
      </c>
      <c r="AJ20" s="75">
        <v>0</v>
      </c>
      <c r="AK20" s="20" t="s">
        <v>32</v>
      </c>
      <c r="AL20" s="20" t="s">
        <v>32</v>
      </c>
      <c r="AM20" s="20"/>
      <c r="AN20" s="20"/>
      <c r="AO20" s="20"/>
      <c r="AP20" s="20"/>
      <c r="AQ20" s="76"/>
    </row>
    <row r="21" spans="1:43" ht="14.1" customHeight="1">
      <c r="A21" s="21">
        <v>21</v>
      </c>
      <c r="B21" s="72"/>
      <c r="C21" s="73"/>
      <c r="E21" s="39" t="s">
        <v>50</v>
      </c>
      <c r="F21" s="754" t="str">
        <f>IF(R22="","",R22)</f>
        <v/>
      </c>
      <c r="G21" s="754"/>
      <c r="J21" s="39" t="s">
        <v>51</v>
      </c>
      <c r="K21" s="754" t="str">
        <f>IF(V21="","",V21)</f>
        <v/>
      </c>
      <c r="L21" s="754"/>
      <c r="M21" s="74"/>
      <c r="O21" s="34"/>
      <c r="P21" s="80" t="s">
        <v>49</v>
      </c>
      <c r="U21" s="80" t="s">
        <v>51</v>
      </c>
      <c r="V21" s="50" t="str">
        <f>IF(W21&lt;&gt;"",W21,IF(AB38="","",AB38))</f>
        <v/>
      </c>
      <c r="W21" s="51"/>
      <c r="Y21" s="36"/>
      <c r="AA21" s="39" t="s">
        <v>42</v>
      </c>
      <c r="AB21" s="70"/>
      <c r="AC21" s="53" t="str">
        <f t="shared" ref="AC21:AC26" si="1">IF(AB21&lt;&gt;AD21,"Change","")</f>
        <v/>
      </c>
      <c r="AD21" s="71" t="str">
        <f>IF(R17="","",R17)</f>
        <v/>
      </c>
      <c r="AH21" s="20">
        <v>28</v>
      </c>
      <c r="AI21" s="20">
        <v>100</v>
      </c>
      <c r="AJ21" s="75">
        <v>0</v>
      </c>
      <c r="AK21" s="20" t="s">
        <v>32</v>
      </c>
      <c r="AL21" s="20" t="s">
        <v>32</v>
      </c>
      <c r="AM21" s="20"/>
      <c r="AN21" s="20"/>
      <c r="AO21" s="20"/>
      <c r="AP21" s="20"/>
      <c r="AQ21" s="76"/>
    </row>
    <row r="22" spans="1:43" ht="14.1" customHeight="1">
      <c r="A22" s="21">
        <v>22</v>
      </c>
      <c r="B22" s="72"/>
      <c r="C22" s="73"/>
      <c r="E22" s="39" t="s">
        <v>43</v>
      </c>
      <c r="F22" s="760" t="str">
        <f>IF(R23="","",R23)</f>
        <v/>
      </c>
      <c r="G22" s="760"/>
      <c r="J22" s="39"/>
      <c r="K22" s="754" t="str">
        <f>IF(V22="","",V22)</f>
        <v/>
      </c>
      <c r="L22" s="754"/>
      <c r="M22" s="74"/>
      <c r="O22" s="34"/>
      <c r="Q22" s="39" t="s">
        <v>50</v>
      </c>
      <c r="R22" s="50" t="str">
        <f>IF(S22&lt;&gt;"",S22,IF(AB28="","",AB28))</f>
        <v/>
      </c>
      <c r="S22" s="51"/>
      <c r="V22" s="50" t="str">
        <f>IF(W22&lt;&gt;"",W22,IF(AB39="","",AB39))</f>
        <v/>
      </c>
      <c r="W22" s="51"/>
      <c r="Y22" s="36"/>
      <c r="AA22" s="39" t="s">
        <v>44</v>
      </c>
      <c r="AB22" s="70"/>
      <c r="AC22" s="53" t="str">
        <f t="shared" si="1"/>
        <v/>
      </c>
      <c r="AD22" s="71" t="str">
        <f>IF(R18="","",R18)</f>
        <v/>
      </c>
      <c r="AH22" s="20">
        <v>28</v>
      </c>
      <c r="AI22" s="20">
        <v>320</v>
      </c>
      <c r="AJ22" s="75">
        <v>0</v>
      </c>
      <c r="AK22" s="20" t="s">
        <v>32</v>
      </c>
      <c r="AL22" s="20" t="s">
        <v>32</v>
      </c>
      <c r="AM22" s="20"/>
      <c r="AN22" s="20"/>
      <c r="AO22" s="20"/>
      <c r="AP22" s="20"/>
      <c r="AQ22" s="76"/>
    </row>
    <row r="23" spans="1:43" ht="14.1" customHeight="1">
      <c r="A23" s="21">
        <v>23</v>
      </c>
      <c r="B23" s="72"/>
      <c r="C23" s="73"/>
      <c r="D23" s="80" t="s">
        <v>53</v>
      </c>
      <c r="J23" s="39" t="s">
        <v>54</v>
      </c>
      <c r="K23" s="754" t="str">
        <f>IF(V24="","",V24)</f>
        <v/>
      </c>
      <c r="L23" s="754"/>
      <c r="M23" s="74"/>
      <c r="O23" s="34"/>
      <c r="Q23" s="39" t="s">
        <v>43</v>
      </c>
      <c r="R23" s="77" t="str">
        <f>IF(S23&lt;&gt;"",S23,IF(AB29="","",AB29))</f>
        <v/>
      </c>
      <c r="S23" s="81"/>
      <c r="V23" s="6"/>
      <c r="W23" s="6"/>
      <c r="Y23" s="36"/>
      <c r="AA23" s="39" t="s">
        <v>46</v>
      </c>
      <c r="AB23" s="70"/>
      <c r="AC23" s="53" t="str">
        <f t="shared" si="1"/>
        <v/>
      </c>
      <c r="AD23" s="71" t="str">
        <f>IF(R19="","",R19)</f>
        <v/>
      </c>
      <c r="AH23" s="20">
        <v>30</v>
      </c>
      <c r="AI23" s="20">
        <v>50</v>
      </c>
      <c r="AJ23" s="75">
        <v>0</v>
      </c>
      <c r="AK23" s="20" t="s">
        <v>32</v>
      </c>
      <c r="AL23" s="20" t="s">
        <v>32</v>
      </c>
      <c r="AM23" s="20"/>
      <c r="AN23" s="20"/>
      <c r="AO23" s="20"/>
      <c r="AP23" s="20"/>
      <c r="AQ23" s="76"/>
    </row>
    <row r="24" spans="1:43" ht="14.1" customHeight="1">
      <c r="A24" s="21">
        <v>24</v>
      </c>
      <c r="B24" s="72"/>
      <c r="C24" s="73"/>
      <c r="E24" s="39" t="s">
        <v>42</v>
      </c>
      <c r="F24" s="754" t="str">
        <f>IF(R25="","",R25)</f>
        <v/>
      </c>
      <c r="G24" s="754"/>
      <c r="K24" s="754" t="str">
        <f>IF(V25="","",V25)</f>
        <v/>
      </c>
      <c r="L24" s="754"/>
      <c r="M24" s="74"/>
      <c r="O24" s="34"/>
      <c r="P24" s="80" t="s">
        <v>53</v>
      </c>
      <c r="U24" s="80" t="s">
        <v>54</v>
      </c>
      <c r="V24" s="50" t="str">
        <f>IF(W24&lt;&gt;"",W24,IF(AB40="","",AB40))</f>
        <v/>
      </c>
      <c r="W24" s="51"/>
      <c r="Y24" s="36"/>
      <c r="AA24" s="39" t="s">
        <v>43</v>
      </c>
      <c r="AB24" s="82"/>
      <c r="AC24" s="53" t="str">
        <f t="shared" si="1"/>
        <v/>
      </c>
      <c r="AD24" s="83" t="str">
        <f>IF(V17="","",V17)</f>
        <v/>
      </c>
      <c r="AH24" s="20">
        <v>32</v>
      </c>
      <c r="AI24" s="20">
        <v>50</v>
      </c>
      <c r="AJ24" s="75">
        <v>0</v>
      </c>
      <c r="AK24" s="20" t="s">
        <v>32</v>
      </c>
      <c r="AL24" s="20" t="s">
        <v>32</v>
      </c>
      <c r="AM24" s="20"/>
      <c r="AN24" s="20"/>
      <c r="AO24" s="20"/>
      <c r="AP24" s="20"/>
      <c r="AQ24" s="76"/>
    </row>
    <row r="25" spans="1:43" ht="14.1" customHeight="1">
      <c r="A25" s="21">
        <v>25</v>
      </c>
      <c r="B25" s="72"/>
      <c r="C25" s="73"/>
      <c r="E25" s="39" t="s">
        <v>44</v>
      </c>
      <c r="F25" s="754" t="str">
        <f>IF(R26="","",R26)</f>
        <v/>
      </c>
      <c r="G25" s="754"/>
      <c r="J25" s="6"/>
      <c r="K25" s="6"/>
      <c r="L25" s="6"/>
      <c r="M25" s="74"/>
      <c r="O25" s="34"/>
      <c r="Q25" s="39" t="s">
        <v>42</v>
      </c>
      <c r="R25" s="50" t="str">
        <f>IF(S25&lt;&gt;"",S25,IF(AB30="","",AB30))</f>
        <v/>
      </c>
      <c r="S25" s="51"/>
      <c r="V25" s="50" t="str">
        <f>IF(W25&lt;&gt;"",W25,IF(AB44="","",AB44))</f>
        <v/>
      </c>
      <c r="W25" s="51"/>
      <c r="Y25" s="36"/>
      <c r="AA25" s="39" t="s">
        <v>45</v>
      </c>
      <c r="AB25" s="70"/>
      <c r="AC25" s="53" t="str">
        <f t="shared" si="1"/>
        <v/>
      </c>
      <c r="AD25" s="71" t="str">
        <f>IF(V18="","",V18)</f>
        <v/>
      </c>
      <c r="AH25" s="20">
        <v>32</v>
      </c>
      <c r="AI25" s="20">
        <v>50</v>
      </c>
      <c r="AJ25" s="75">
        <v>0</v>
      </c>
      <c r="AK25" s="20" t="s">
        <v>32</v>
      </c>
      <c r="AL25" s="20" t="s">
        <v>32</v>
      </c>
      <c r="AM25" s="20"/>
      <c r="AN25" s="20"/>
      <c r="AO25" s="20"/>
      <c r="AP25" s="20"/>
      <c r="AQ25" s="76"/>
    </row>
    <row r="26" spans="1:43" ht="14.1" customHeight="1">
      <c r="A26" s="21">
        <v>26</v>
      </c>
      <c r="B26" s="72"/>
      <c r="C26" s="73"/>
      <c r="E26" s="39" t="s">
        <v>45</v>
      </c>
      <c r="F26" s="754" t="str">
        <f>IF(R27="","",R27)</f>
        <v/>
      </c>
      <c r="G26" s="754"/>
      <c r="I26" s="80" t="s">
        <v>56</v>
      </c>
      <c r="J26" s="6"/>
      <c r="K26" s="6"/>
      <c r="L26" s="6"/>
      <c r="M26" s="74"/>
      <c r="O26" s="34"/>
      <c r="Q26" s="39" t="s">
        <v>44</v>
      </c>
      <c r="R26" s="50" t="str">
        <f>IF(S26&lt;&gt;"",S26,IF(AB31="","",AB31))</f>
        <v/>
      </c>
      <c r="S26" s="51"/>
      <c r="V26" s="6"/>
      <c r="W26" s="6"/>
      <c r="Y26" s="36"/>
      <c r="AA26" s="39" t="s">
        <v>47</v>
      </c>
      <c r="AB26" s="70"/>
      <c r="AC26" s="53" t="str">
        <f t="shared" si="1"/>
        <v/>
      </c>
      <c r="AD26" s="71" t="str">
        <f>IF(V19="","",V19)</f>
        <v/>
      </c>
      <c r="AH26" s="20">
        <v>32</v>
      </c>
      <c r="AI26" s="20">
        <v>50</v>
      </c>
      <c r="AJ26" s="75">
        <v>0.4</v>
      </c>
      <c r="AK26" s="20" t="s">
        <v>32</v>
      </c>
      <c r="AL26" s="20" t="s">
        <v>32</v>
      </c>
      <c r="AM26" s="20"/>
      <c r="AN26" s="20"/>
      <c r="AO26" s="20"/>
      <c r="AP26" s="20"/>
      <c r="AQ26" s="76"/>
    </row>
    <row r="27" spans="1:43" ht="14.1" customHeight="1">
      <c r="A27" s="21">
        <v>27</v>
      </c>
      <c r="B27" s="72"/>
      <c r="C27" s="73"/>
      <c r="D27" s="80" t="s">
        <v>57</v>
      </c>
      <c r="J27" s="39" t="s">
        <v>58</v>
      </c>
      <c r="K27" s="754" t="str">
        <f>IF(V28="","",V28)</f>
        <v/>
      </c>
      <c r="L27" s="754"/>
      <c r="M27" s="74"/>
      <c r="O27" s="34"/>
      <c r="Q27" s="39" t="s">
        <v>45</v>
      </c>
      <c r="R27" s="50" t="str">
        <f>IF(S27&lt;&gt;"",S27,IF(AB32="","",AB32))</f>
        <v/>
      </c>
      <c r="S27" s="51"/>
      <c r="U27" s="84" t="s">
        <v>56</v>
      </c>
      <c r="Y27" s="36"/>
      <c r="AA27" s="80" t="s">
        <v>49</v>
      </c>
      <c r="AH27" s="20">
        <v>32</v>
      </c>
      <c r="AI27" s="20">
        <v>50</v>
      </c>
      <c r="AJ27" s="75">
        <v>0.4</v>
      </c>
      <c r="AK27" s="20" t="s">
        <v>32</v>
      </c>
      <c r="AL27" s="20" t="s">
        <v>32</v>
      </c>
      <c r="AM27" s="20"/>
      <c r="AN27" s="20"/>
      <c r="AO27" s="20"/>
      <c r="AP27" s="20"/>
      <c r="AQ27" s="76"/>
    </row>
    <row r="28" spans="1:43" ht="14.1" customHeight="1">
      <c r="A28" s="21">
        <v>28</v>
      </c>
      <c r="B28" s="72"/>
      <c r="C28" s="73"/>
      <c r="E28" s="39" t="s">
        <v>42</v>
      </c>
      <c r="F28" s="754" t="str">
        <f>IF(R29="","",R29)</f>
        <v/>
      </c>
      <c r="G28" s="754"/>
      <c r="I28" s="6"/>
      <c r="J28" s="39" t="s">
        <v>59</v>
      </c>
      <c r="K28" s="754" t="str">
        <f>IF(V29="","",V29)</f>
        <v/>
      </c>
      <c r="L28" s="754"/>
      <c r="M28" s="74"/>
      <c r="O28" s="34"/>
      <c r="P28" s="80" t="s">
        <v>57</v>
      </c>
      <c r="U28" s="39" t="s">
        <v>58</v>
      </c>
      <c r="V28" s="50" t="str">
        <f>IF(W28&lt;&gt;"",W28,IF(AB36="","",AB36))</f>
        <v/>
      </c>
      <c r="W28" s="51"/>
      <c r="Y28" s="36"/>
      <c r="AA28" s="39" t="s">
        <v>50</v>
      </c>
      <c r="AB28" s="70"/>
      <c r="AC28" s="53" t="str">
        <f t="shared" ref="AC28:AC43" si="2">IF(AB28&lt;&gt;AD28,"Change","")</f>
        <v/>
      </c>
      <c r="AD28" s="71" t="str">
        <f>IF(R22="","",R22)</f>
        <v/>
      </c>
      <c r="AH28" s="20">
        <v>32</v>
      </c>
      <c r="AI28" s="20">
        <v>50</v>
      </c>
      <c r="AJ28" s="75">
        <v>0.5</v>
      </c>
      <c r="AK28" s="20" t="s">
        <v>32</v>
      </c>
      <c r="AL28" s="20" t="s">
        <v>32</v>
      </c>
      <c r="AM28" s="20"/>
      <c r="AN28" s="20"/>
      <c r="AO28" s="20"/>
      <c r="AP28" s="20"/>
      <c r="AQ28" s="76"/>
    </row>
    <row r="29" spans="1:43" ht="14.1" customHeight="1">
      <c r="A29" s="21">
        <v>29</v>
      </c>
      <c r="B29" s="72"/>
      <c r="C29" s="73"/>
      <c r="E29" s="39" t="s">
        <v>44</v>
      </c>
      <c r="F29" s="754" t="str">
        <f>IF(R30="","",R30)</f>
        <v/>
      </c>
      <c r="G29" s="754"/>
      <c r="I29" s="80" t="s">
        <v>60</v>
      </c>
      <c r="J29" s="39" t="s">
        <v>61</v>
      </c>
      <c r="K29" s="754" t="str">
        <f>IF(V32="","",V32)</f>
        <v/>
      </c>
      <c r="L29" s="754"/>
      <c r="M29" s="74"/>
      <c r="O29" s="34"/>
      <c r="Q29" s="39" t="s">
        <v>42</v>
      </c>
      <c r="R29" s="50" t="str">
        <f>IF(S29&lt;&gt;"",S29,IF(AB33="","",AB33))</f>
        <v/>
      </c>
      <c r="S29" s="51"/>
      <c r="U29" s="39" t="s">
        <v>59</v>
      </c>
      <c r="V29" s="50" t="str">
        <f>IF(W29&lt;&gt;"",W29,IF(AB37="","",AB37))</f>
        <v/>
      </c>
      <c r="W29" s="51"/>
      <c r="Y29" s="36"/>
      <c r="AA29" s="39" t="s">
        <v>43</v>
      </c>
      <c r="AB29" s="82"/>
      <c r="AC29" s="53" t="str">
        <f t="shared" si="2"/>
        <v/>
      </c>
      <c r="AD29" s="83" t="str">
        <f>IF(R23="","",R23)</f>
        <v/>
      </c>
      <c r="AH29" s="20">
        <v>32</v>
      </c>
      <c r="AI29" s="20">
        <v>50</v>
      </c>
      <c r="AJ29" s="75">
        <v>0.5</v>
      </c>
      <c r="AK29" s="20" t="s">
        <v>32</v>
      </c>
      <c r="AL29" s="20" t="s">
        <v>32</v>
      </c>
      <c r="AM29" s="20"/>
      <c r="AN29" s="20"/>
      <c r="AO29" s="20"/>
      <c r="AP29" s="20"/>
      <c r="AQ29" s="76"/>
    </row>
    <row r="30" spans="1:43" ht="14.1" customHeight="1">
      <c r="A30" s="21">
        <v>30</v>
      </c>
      <c r="B30" s="72"/>
      <c r="C30" s="73"/>
      <c r="E30" s="39" t="s">
        <v>45</v>
      </c>
      <c r="F30" s="754" t="str">
        <f>IF(R31="","",R31)</f>
        <v/>
      </c>
      <c r="G30" s="754"/>
      <c r="J30" s="39" t="s">
        <v>62</v>
      </c>
      <c r="K30" s="754" t="str">
        <f>IF(V33="","",V33)</f>
        <v/>
      </c>
      <c r="L30" s="754"/>
      <c r="M30" s="74"/>
      <c r="O30" s="34"/>
      <c r="Q30" s="39" t="s">
        <v>44</v>
      </c>
      <c r="R30" s="50" t="str">
        <f>IF(S30&lt;&gt;"",S30,IF(AB34="","",AB34))</f>
        <v/>
      </c>
      <c r="S30" s="51"/>
      <c r="Y30" s="36"/>
      <c r="AA30" s="39" t="s">
        <v>42</v>
      </c>
      <c r="AB30" s="70"/>
      <c r="AC30" s="53" t="str">
        <f t="shared" si="2"/>
        <v/>
      </c>
      <c r="AD30" s="71" t="str">
        <f>IF(R25="","",R25)</f>
        <v/>
      </c>
      <c r="AH30" s="20">
        <v>34</v>
      </c>
      <c r="AI30" s="20">
        <v>50</v>
      </c>
      <c r="AJ30" s="75">
        <v>0</v>
      </c>
      <c r="AK30" s="20" t="s">
        <v>32</v>
      </c>
      <c r="AL30" s="20" t="s">
        <v>32</v>
      </c>
      <c r="AM30" s="20"/>
      <c r="AN30" s="20"/>
      <c r="AO30" s="20"/>
      <c r="AP30" s="20"/>
      <c r="AQ30" s="76"/>
    </row>
    <row r="31" spans="1:43" ht="14.1" customHeight="1" thickBot="1">
      <c r="A31" s="21">
        <v>31</v>
      </c>
      <c r="B31" s="85"/>
      <c r="C31" s="86"/>
      <c r="D31" s="86"/>
      <c r="E31" s="86"/>
      <c r="F31" s="86"/>
      <c r="G31" s="86"/>
      <c r="H31" s="86"/>
      <c r="I31" s="86"/>
      <c r="J31" s="86"/>
      <c r="K31" s="86"/>
      <c r="L31" s="86"/>
      <c r="M31" s="87"/>
      <c r="O31" s="34"/>
      <c r="Q31" s="39" t="s">
        <v>45</v>
      </c>
      <c r="R31" s="50" t="str">
        <f>IF(S31&lt;&gt;"",S31,IF(AB35="","",AB35))</f>
        <v/>
      </c>
      <c r="S31" s="51"/>
      <c r="U31" s="80" t="s">
        <v>60</v>
      </c>
      <c r="Y31" s="36"/>
      <c r="AA31" s="39" t="s">
        <v>44</v>
      </c>
      <c r="AB31" s="70"/>
      <c r="AC31" s="53" t="str">
        <f t="shared" si="2"/>
        <v/>
      </c>
      <c r="AD31" s="71" t="str">
        <f>IF(R26="","",R26)</f>
        <v/>
      </c>
      <c r="AH31" s="20">
        <v>26</v>
      </c>
      <c r="AI31" s="20">
        <v>50</v>
      </c>
      <c r="AJ31" s="75">
        <v>0</v>
      </c>
      <c r="AK31" s="20" t="s">
        <v>32</v>
      </c>
      <c r="AL31" s="20" t="s">
        <v>55</v>
      </c>
      <c r="AM31" s="20"/>
      <c r="AN31" s="20"/>
      <c r="AO31" s="20"/>
      <c r="AP31" s="20"/>
      <c r="AQ31" s="76"/>
    </row>
    <row r="32" spans="1:43" ht="14.1" customHeight="1" thickTop="1">
      <c r="A32" s="21">
        <v>32</v>
      </c>
      <c r="O32" s="34"/>
      <c r="U32" s="39" t="s">
        <v>61</v>
      </c>
      <c r="V32" s="50" t="str">
        <f>IF(W32&lt;&gt;"",W32,IF(AB45="","",AB45))</f>
        <v/>
      </c>
      <c r="W32" s="51"/>
      <c r="Y32" s="36"/>
      <c r="AA32" s="39" t="s">
        <v>45</v>
      </c>
      <c r="AB32" s="70"/>
      <c r="AC32" s="53" t="str">
        <f t="shared" si="2"/>
        <v/>
      </c>
      <c r="AD32" s="71" t="str">
        <f>IF(R27="","",R27)</f>
        <v/>
      </c>
      <c r="AH32" s="20">
        <v>28</v>
      </c>
      <c r="AI32" s="20">
        <v>50</v>
      </c>
      <c r="AJ32" s="75">
        <v>0</v>
      </c>
      <c r="AK32" s="20" t="s">
        <v>32</v>
      </c>
      <c r="AL32" s="20" t="s">
        <v>55</v>
      </c>
      <c r="AM32" s="20"/>
      <c r="AN32" s="20"/>
      <c r="AO32" s="20"/>
      <c r="AP32" s="20"/>
      <c r="AQ32" s="76"/>
    </row>
    <row r="33" spans="1:43" ht="14.1" customHeight="1" thickBot="1">
      <c r="A33" s="21">
        <v>33</v>
      </c>
      <c r="H33" s="55" t="s">
        <v>63</v>
      </c>
      <c r="O33" s="34"/>
      <c r="U33" s="39" t="s">
        <v>62</v>
      </c>
      <c r="V33" s="50" t="str">
        <f>IF(W33&lt;&gt;"",W33,IF(AB46="","",AB46))</f>
        <v/>
      </c>
      <c r="W33" s="51"/>
      <c r="Y33" s="36"/>
      <c r="AA33" s="39" t="s">
        <v>42</v>
      </c>
      <c r="AB33" s="70"/>
      <c r="AC33" s="53" t="str">
        <f t="shared" si="2"/>
        <v/>
      </c>
      <c r="AD33" s="71" t="str">
        <f>IF(R29="","",R29)</f>
        <v/>
      </c>
      <c r="AH33" s="20">
        <v>28</v>
      </c>
      <c r="AI33" s="20">
        <v>50</v>
      </c>
      <c r="AJ33" s="75">
        <v>0</v>
      </c>
      <c r="AK33" s="20" t="s">
        <v>32</v>
      </c>
      <c r="AL33" s="20" t="s">
        <v>55</v>
      </c>
      <c r="AM33" s="20"/>
      <c r="AN33" s="20"/>
      <c r="AO33" s="20"/>
      <c r="AP33" s="20"/>
      <c r="AQ33" s="76"/>
    </row>
    <row r="34" spans="1:43" ht="14.1" customHeight="1" thickTop="1" thickBot="1">
      <c r="A34" s="21">
        <v>34</v>
      </c>
      <c r="B34" s="63"/>
      <c r="C34" s="64"/>
      <c r="D34" s="64"/>
      <c r="E34" s="64"/>
      <c r="F34" s="64"/>
      <c r="G34" s="64"/>
      <c r="H34" s="64"/>
      <c r="I34" s="64"/>
      <c r="J34" s="64"/>
      <c r="K34" s="64"/>
      <c r="L34" s="64"/>
      <c r="M34" s="66"/>
      <c r="O34" s="34"/>
      <c r="U34" s="6"/>
      <c r="V34" s="6"/>
      <c r="W34" s="6"/>
      <c r="Y34" s="36"/>
      <c r="AA34" s="39" t="s">
        <v>44</v>
      </c>
      <c r="AB34" s="70"/>
      <c r="AC34" s="53" t="str">
        <f t="shared" si="2"/>
        <v/>
      </c>
      <c r="AD34" s="71" t="str">
        <f>IF(R30="","",R30)</f>
        <v/>
      </c>
      <c r="AH34" s="20">
        <v>28</v>
      </c>
      <c r="AI34" s="20">
        <v>50</v>
      </c>
      <c r="AJ34" s="75">
        <v>0.4</v>
      </c>
      <c r="AK34" s="20" t="s">
        <v>32</v>
      </c>
      <c r="AL34" s="20" t="s">
        <v>55</v>
      </c>
      <c r="AM34" s="20"/>
      <c r="AN34" s="20"/>
      <c r="AO34" s="20"/>
      <c r="AP34" s="20"/>
      <c r="AQ34" s="76"/>
    </row>
    <row r="35" spans="1:43" ht="14.1" customHeight="1" thickBot="1">
      <c r="A35" s="21">
        <v>35</v>
      </c>
      <c r="B35" s="72"/>
      <c r="C35" s="88" t="s">
        <v>64</v>
      </c>
      <c r="D35" s="763" t="s">
        <v>65</v>
      </c>
      <c r="E35" s="763"/>
      <c r="F35" s="763"/>
      <c r="G35" s="763" t="s">
        <v>66</v>
      </c>
      <c r="H35" s="763"/>
      <c r="I35" s="763"/>
      <c r="J35" s="763" t="s">
        <v>67</v>
      </c>
      <c r="K35" s="763"/>
      <c r="L35" s="763"/>
      <c r="M35" s="74"/>
      <c r="O35" s="44"/>
      <c r="P35" s="45"/>
      <c r="Q35" s="45"/>
      <c r="R35" s="45"/>
      <c r="S35" s="45"/>
      <c r="T35" s="45"/>
      <c r="U35" s="45"/>
      <c r="V35" s="45"/>
      <c r="W35" s="45"/>
      <c r="X35" s="45"/>
      <c r="Y35" s="46"/>
      <c r="AA35" s="39" t="s">
        <v>45</v>
      </c>
      <c r="AB35" s="70"/>
      <c r="AC35" s="53" t="str">
        <f t="shared" si="2"/>
        <v/>
      </c>
      <c r="AD35" s="71" t="str">
        <f>IF(R31="","",R31)</f>
        <v/>
      </c>
      <c r="AH35" s="20">
        <v>28</v>
      </c>
      <c r="AI35" s="20">
        <v>50</v>
      </c>
      <c r="AJ35" s="75">
        <v>0.4</v>
      </c>
      <c r="AK35" s="20" t="s">
        <v>32</v>
      </c>
      <c r="AL35" s="20" t="s">
        <v>55</v>
      </c>
      <c r="AM35" s="20"/>
      <c r="AN35" s="20"/>
      <c r="AO35" s="20"/>
      <c r="AP35" s="20"/>
      <c r="AQ35" s="76"/>
    </row>
    <row r="36" spans="1:43" ht="14.1" customHeight="1">
      <c r="A36" s="21">
        <v>36</v>
      </c>
      <c r="B36" s="72"/>
      <c r="C36" s="89" t="s">
        <v>68</v>
      </c>
      <c r="D36" s="90"/>
      <c r="E36" s="91"/>
      <c r="F36" s="92"/>
      <c r="G36" s="764" t="s">
        <v>69</v>
      </c>
      <c r="H36" s="764"/>
      <c r="I36" s="764"/>
      <c r="J36" s="90"/>
      <c r="K36" s="91"/>
      <c r="L36" s="92"/>
      <c r="M36" s="74"/>
      <c r="AA36" s="39" t="s">
        <v>58</v>
      </c>
      <c r="AB36" s="70"/>
      <c r="AC36" s="53" t="str">
        <f t="shared" si="2"/>
        <v/>
      </c>
      <c r="AD36" s="71" t="str">
        <f>IF(V28="","",V28)</f>
        <v/>
      </c>
      <c r="AH36" s="20">
        <v>28</v>
      </c>
      <c r="AI36" s="20">
        <v>50</v>
      </c>
      <c r="AJ36" s="75">
        <v>0.5</v>
      </c>
      <c r="AK36" s="20" t="s">
        <v>32</v>
      </c>
      <c r="AL36" s="20" t="s">
        <v>55</v>
      </c>
      <c r="AM36" s="20"/>
      <c r="AN36" s="20"/>
      <c r="AO36" s="20"/>
      <c r="AP36" s="20"/>
      <c r="AQ36" s="76"/>
    </row>
    <row r="37" spans="1:43" ht="14.1" customHeight="1" thickBot="1">
      <c r="A37" s="21">
        <v>37</v>
      </c>
      <c r="B37" s="72"/>
      <c r="C37" s="89" t="s">
        <v>70</v>
      </c>
      <c r="D37" s="93" t="s">
        <v>71</v>
      </c>
      <c r="E37" s="94" t="s">
        <v>25</v>
      </c>
      <c r="F37" s="95" t="s">
        <v>72</v>
      </c>
      <c r="G37" s="93" t="s">
        <v>71</v>
      </c>
      <c r="H37" s="94" t="s">
        <v>25</v>
      </c>
      <c r="I37" s="95" t="s">
        <v>72</v>
      </c>
      <c r="J37" s="93" t="s">
        <v>71</v>
      </c>
      <c r="K37" s="94" t="s">
        <v>25</v>
      </c>
      <c r="L37" s="95" t="s">
        <v>72</v>
      </c>
      <c r="M37" s="74"/>
      <c r="T37" s="58" t="s">
        <v>73</v>
      </c>
      <c r="AA37" s="39" t="s">
        <v>59</v>
      </c>
      <c r="AB37" s="70"/>
      <c r="AC37" s="53" t="str">
        <f t="shared" si="2"/>
        <v/>
      </c>
      <c r="AD37" s="71" t="str">
        <f>IF(V29="","",V29)</f>
        <v/>
      </c>
      <c r="AH37" s="20">
        <v>28</v>
      </c>
      <c r="AI37" s="20">
        <v>50</v>
      </c>
      <c r="AJ37" s="75">
        <v>0.5</v>
      </c>
      <c r="AK37" s="20" t="s">
        <v>32</v>
      </c>
      <c r="AL37" s="20" t="s">
        <v>55</v>
      </c>
      <c r="AM37" s="20"/>
      <c r="AN37" s="20"/>
      <c r="AO37" s="20"/>
      <c r="AP37" s="20"/>
      <c r="AQ37" s="76"/>
    </row>
    <row r="38" spans="1:43" ht="14.1" customHeight="1" thickTop="1">
      <c r="A38" s="21">
        <v>38</v>
      </c>
      <c r="B38" s="72"/>
      <c r="C38" s="96" t="s">
        <v>74</v>
      </c>
      <c r="D38" s="97" t="str">
        <f t="shared" ref="D38:L41" si="3">P124</f>
        <v/>
      </c>
      <c r="E38" s="98" t="str">
        <f t="shared" si="3"/>
        <v/>
      </c>
      <c r="F38" s="99" t="str">
        <f t="shared" si="3"/>
        <v/>
      </c>
      <c r="G38" s="97" t="str">
        <f t="shared" si="3"/>
        <v/>
      </c>
      <c r="H38" s="98" t="str">
        <f t="shared" si="3"/>
        <v/>
      </c>
      <c r="I38" s="99" t="str">
        <f t="shared" si="3"/>
        <v/>
      </c>
      <c r="J38" s="97" t="str">
        <f t="shared" si="3"/>
        <v/>
      </c>
      <c r="K38" s="98" t="str">
        <f t="shared" si="3"/>
        <v/>
      </c>
      <c r="L38" s="99" t="str">
        <f t="shared" si="3"/>
        <v/>
      </c>
      <c r="M38" s="74"/>
      <c r="O38" s="100" t="s">
        <v>75</v>
      </c>
      <c r="P38" s="27"/>
      <c r="Q38" s="27"/>
      <c r="R38" s="27"/>
      <c r="S38" s="27"/>
      <c r="T38" s="27"/>
      <c r="U38" s="27"/>
      <c r="V38" s="27"/>
      <c r="W38" s="27"/>
      <c r="X38" s="27"/>
      <c r="Y38" s="28"/>
      <c r="AA38" s="39" t="s">
        <v>76</v>
      </c>
      <c r="AB38" s="70"/>
      <c r="AC38" s="53" t="str">
        <f t="shared" si="2"/>
        <v/>
      </c>
      <c r="AD38" s="71" t="str">
        <f>IF(V21="","",V21)</f>
        <v/>
      </c>
      <c r="AH38" s="20">
        <v>30</v>
      </c>
      <c r="AI38" s="20">
        <v>50</v>
      </c>
      <c r="AJ38" s="75">
        <v>0</v>
      </c>
      <c r="AK38" s="20" t="s">
        <v>32</v>
      </c>
      <c r="AL38" s="20" t="s">
        <v>55</v>
      </c>
      <c r="AM38" s="20"/>
      <c r="AN38" s="20"/>
      <c r="AO38" s="20"/>
      <c r="AP38" s="20"/>
      <c r="AQ38" s="76"/>
    </row>
    <row r="39" spans="1:43" ht="14.1" customHeight="1">
      <c r="A39" s="21">
        <v>39</v>
      </c>
      <c r="B39" s="72"/>
      <c r="C39" s="101" t="s">
        <v>77</v>
      </c>
      <c r="D39" s="102" t="str">
        <f t="shared" si="3"/>
        <v/>
      </c>
      <c r="E39" s="20" t="str">
        <f t="shared" si="3"/>
        <v/>
      </c>
      <c r="F39" s="103" t="str">
        <f t="shared" si="3"/>
        <v/>
      </c>
      <c r="G39" s="102" t="str">
        <f t="shared" si="3"/>
        <v/>
      </c>
      <c r="H39" s="20" t="str">
        <f t="shared" si="3"/>
        <v/>
      </c>
      <c r="I39" s="103" t="str">
        <f t="shared" si="3"/>
        <v/>
      </c>
      <c r="J39" s="102" t="str">
        <f t="shared" si="3"/>
        <v/>
      </c>
      <c r="K39" s="20" t="str">
        <f t="shared" si="3"/>
        <v/>
      </c>
      <c r="L39" s="103" t="str">
        <f t="shared" si="3"/>
        <v/>
      </c>
      <c r="M39" s="74"/>
      <c r="O39" s="104">
        <v>1</v>
      </c>
      <c r="P39" s="40" t="s">
        <v>78</v>
      </c>
      <c r="Y39" s="36"/>
      <c r="AA39" s="39" t="s">
        <v>79</v>
      </c>
      <c r="AB39" s="70"/>
      <c r="AC39" s="53" t="str">
        <f t="shared" si="2"/>
        <v/>
      </c>
      <c r="AD39" s="71" t="str">
        <f>IF(V22="","",V22)</f>
        <v/>
      </c>
      <c r="AH39" s="20">
        <v>32</v>
      </c>
      <c r="AI39" s="20">
        <v>50</v>
      </c>
      <c r="AJ39" s="75">
        <v>0</v>
      </c>
      <c r="AK39" s="20" t="s">
        <v>32</v>
      </c>
      <c r="AL39" s="20" t="s">
        <v>55</v>
      </c>
      <c r="AM39" s="20"/>
      <c r="AN39" s="20"/>
      <c r="AO39" s="20"/>
      <c r="AP39" s="20"/>
      <c r="AQ39" s="76"/>
    </row>
    <row r="40" spans="1:43" ht="14.1" customHeight="1">
      <c r="A40" s="21">
        <v>40</v>
      </c>
      <c r="B40" s="72"/>
      <c r="C40" s="101" t="s">
        <v>80</v>
      </c>
      <c r="D40" s="102" t="str">
        <f t="shared" si="3"/>
        <v/>
      </c>
      <c r="E40" s="20" t="str">
        <f t="shared" si="3"/>
        <v/>
      </c>
      <c r="F40" s="103" t="str">
        <f t="shared" si="3"/>
        <v/>
      </c>
      <c r="G40" s="102" t="str">
        <f t="shared" si="3"/>
        <v/>
      </c>
      <c r="H40" s="20" t="str">
        <f t="shared" si="3"/>
        <v/>
      </c>
      <c r="I40" s="103" t="str">
        <f t="shared" si="3"/>
        <v/>
      </c>
      <c r="J40" s="102" t="str">
        <f t="shared" si="3"/>
        <v/>
      </c>
      <c r="K40" s="20" t="str">
        <f t="shared" si="3"/>
        <v/>
      </c>
      <c r="L40" s="103" t="str">
        <f t="shared" si="3"/>
        <v/>
      </c>
      <c r="M40" s="74"/>
      <c r="O40" s="104">
        <v>1</v>
      </c>
      <c r="P40" s="40" t="s">
        <v>81</v>
      </c>
      <c r="Y40" s="36"/>
      <c r="AA40" s="39" t="s">
        <v>82</v>
      </c>
      <c r="AB40" s="70"/>
      <c r="AC40" s="53" t="str">
        <f t="shared" si="2"/>
        <v/>
      </c>
      <c r="AD40" s="71" t="str">
        <f>IF(V24="","",V24)</f>
        <v/>
      </c>
      <c r="AH40" s="20">
        <v>32</v>
      </c>
      <c r="AI40" s="20">
        <v>50</v>
      </c>
      <c r="AJ40" s="75">
        <v>0</v>
      </c>
      <c r="AK40" s="20" t="s">
        <v>32</v>
      </c>
      <c r="AL40" s="20" t="s">
        <v>55</v>
      </c>
      <c r="AM40" s="20"/>
      <c r="AN40" s="20"/>
      <c r="AO40" s="20"/>
      <c r="AP40" s="20"/>
      <c r="AQ40" s="76"/>
    </row>
    <row r="41" spans="1:43" ht="14.1" customHeight="1" thickBot="1">
      <c r="A41" s="21">
        <v>41</v>
      </c>
      <c r="B41" s="72"/>
      <c r="C41" s="105" t="s">
        <v>83</v>
      </c>
      <c r="D41" s="106" t="str">
        <f t="shared" si="3"/>
        <v/>
      </c>
      <c r="E41" s="107" t="str">
        <f t="shared" si="3"/>
        <v/>
      </c>
      <c r="F41" s="108" t="str">
        <f t="shared" si="3"/>
        <v/>
      </c>
      <c r="G41" s="106" t="str">
        <f t="shared" si="3"/>
        <v/>
      </c>
      <c r="H41" s="107" t="str">
        <f t="shared" si="3"/>
        <v/>
      </c>
      <c r="I41" s="108" t="str">
        <f t="shared" si="3"/>
        <v/>
      </c>
      <c r="J41" s="106" t="str">
        <f t="shared" si="3"/>
        <v/>
      </c>
      <c r="K41" s="107" t="str">
        <f t="shared" si="3"/>
        <v/>
      </c>
      <c r="L41" s="108" t="str">
        <f t="shared" si="3"/>
        <v/>
      </c>
      <c r="M41" s="74"/>
      <c r="O41" s="104">
        <v>1</v>
      </c>
      <c r="P41" s="40" t="s">
        <v>84</v>
      </c>
      <c r="Y41" s="36"/>
      <c r="AA41" s="39" t="s">
        <v>85</v>
      </c>
      <c r="AB41" s="70"/>
      <c r="AC41" s="53" t="str">
        <f t="shared" si="2"/>
        <v/>
      </c>
      <c r="AD41" s="71" t="str">
        <f>IF(V25="","",V25)</f>
        <v/>
      </c>
      <c r="AH41" s="20">
        <v>32</v>
      </c>
      <c r="AI41" s="20">
        <v>50</v>
      </c>
      <c r="AJ41" s="75">
        <v>0.4</v>
      </c>
      <c r="AK41" s="20" t="s">
        <v>32</v>
      </c>
      <c r="AL41" s="20" t="s">
        <v>55</v>
      </c>
      <c r="AM41" s="20"/>
      <c r="AN41" s="20"/>
      <c r="AO41" s="20"/>
      <c r="AP41" s="20"/>
      <c r="AQ41" s="76"/>
    </row>
    <row r="42" spans="1:43" ht="14.1" customHeight="1">
      <c r="A42" s="21">
        <v>42</v>
      </c>
      <c r="B42" s="72"/>
      <c r="M42" s="74"/>
      <c r="O42" s="104">
        <v>1</v>
      </c>
      <c r="P42" s="40" t="s">
        <v>86</v>
      </c>
      <c r="Y42" s="36"/>
      <c r="AA42" s="39" t="s">
        <v>61</v>
      </c>
      <c r="AB42" s="70"/>
      <c r="AC42" s="53" t="str">
        <f t="shared" si="2"/>
        <v/>
      </c>
      <c r="AD42" s="71" t="str">
        <f>IF(V32="","",V32)</f>
        <v/>
      </c>
      <c r="AH42" s="20">
        <v>32</v>
      </c>
      <c r="AI42" s="20">
        <v>50</v>
      </c>
      <c r="AJ42" s="75">
        <v>0.4</v>
      </c>
      <c r="AK42" s="20" t="s">
        <v>32</v>
      </c>
      <c r="AL42" s="20" t="s">
        <v>55</v>
      </c>
      <c r="AM42" s="20"/>
      <c r="AN42" s="20"/>
      <c r="AO42" s="20"/>
      <c r="AP42" s="20"/>
      <c r="AQ42" s="76"/>
    </row>
    <row r="43" spans="1:43" ht="14.1" customHeight="1">
      <c r="A43" s="21">
        <v>43</v>
      </c>
      <c r="B43" s="72"/>
      <c r="H43" s="55" t="s">
        <v>73</v>
      </c>
      <c r="M43" s="74"/>
      <c r="O43" s="104">
        <v>1</v>
      </c>
      <c r="P43" s="40" t="s">
        <v>87</v>
      </c>
      <c r="Y43" s="36"/>
      <c r="AA43" s="39" t="s">
        <v>88</v>
      </c>
      <c r="AB43" s="70"/>
      <c r="AC43" s="53" t="str">
        <f t="shared" si="2"/>
        <v/>
      </c>
      <c r="AD43" s="71" t="str">
        <f>IF(V33="","",V33)</f>
        <v/>
      </c>
      <c r="AH43" s="20">
        <v>32</v>
      </c>
      <c r="AI43" s="20">
        <v>50</v>
      </c>
      <c r="AJ43" s="75">
        <v>0.5</v>
      </c>
      <c r="AK43" s="20" t="s">
        <v>32</v>
      </c>
      <c r="AL43" s="20" t="s">
        <v>55</v>
      </c>
      <c r="AM43" s="20"/>
      <c r="AN43" s="20"/>
      <c r="AO43" s="20"/>
      <c r="AP43" s="20"/>
      <c r="AQ43" s="76"/>
    </row>
    <row r="44" spans="1:43" ht="14.1" customHeight="1">
      <c r="A44" s="21">
        <v>44</v>
      </c>
      <c r="B44" s="72"/>
      <c r="C44" s="109" t="s">
        <v>89</v>
      </c>
      <c r="L44" s="765" t="s">
        <v>90</v>
      </c>
      <c r="M44" s="765"/>
      <c r="O44" s="34"/>
      <c r="Y44" s="36"/>
      <c r="AA44" s="80" t="s">
        <v>63</v>
      </c>
      <c r="AH44" s="20">
        <v>32</v>
      </c>
      <c r="AI44" s="20">
        <v>50</v>
      </c>
      <c r="AJ44" s="75">
        <v>0.5</v>
      </c>
      <c r="AK44" s="20" t="s">
        <v>32</v>
      </c>
      <c r="AL44" s="20" t="s">
        <v>55</v>
      </c>
      <c r="AM44" s="20"/>
      <c r="AN44" s="20"/>
      <c r="AO44" s="20"/>
      <c r="AP44" s="20"/>
      <c r="AQ44" s="76"/>
    </row>
    <row r="45" spans="1:43" ht="14.1" customHeight="1">
      <c r="A45" s="21">
        <v>45</v>
      </c>
      <c r="B45" s="72"/>
      <c r="C45" s="110" t="s">
        <v>91</v>
      </c>
      <c r="E45" s="40" t="s">
        <v>78</v>
      </c>
      <c r="L45" s="111" t="str">
        <f>IF(O39="","TBD",IF(O39=1,"YES",IF(O39=3,"NA","")))</f>
        <v>YES</v>
      </c>
      <c r="M45" s="112" t="str">
        <f>IF(O39=2,"NO","")</f>
        <v/>
      </c>
      <c r="O45" s="104">
        <v>1</v>
      </c>
      <c r="P45" s="25" t="s">
        <v>522</v>
      </c>
      <c r="Y45" s="36"/>
      <c r="AA45" s="47" t="s">
        <v>65</v>
      </c>
      <c r="AH45" s="20">
        <v>34</v>
      </c>
      <c r="AI45" s="20">
        <v>50</v>
      </c>
      <c r="AJ45" s="75">
        <v>0</v>
      </c>
      <c r="AK45" s="20" t="s">
        <v>32</v>
      </c>
      <c r="AL45" s="20" t="s">
        <v>55</v>
      </c>
      <c r="AM45" s="20"/>
      <c r="AN45" s="20"/>
      <c r="AO45" s="20"/>
      <c r="AP45" s="20"/>
      <c r="AQ45" s="76"/>
    </row>
    <row r="46" spans="1:43" ht="14.1" customHeight="1">
      <c r="A46" s="21">
        <v>46</v>
      </c>
      <c r="B46" s="72"/>
      <c r="C46" s="110" t="s">
        <v>93</v>
      </c>
      <c r="E46" s="40" t="s">
        <v>81</v>
      </c>
      <c r="L46" s="111" t="str">
        <f>IF(O40="","TBD",IF(O40=1,"YES",IF(O40=3,"NA","")))</f>
        <v>YES</v>
      </c>
      <c r="M46" s="112" t="str">
        <f>IF(O40=2,"NO","")</f>
        <v/>
      </c>
      <c r="O46" s="104">
        <v>1</v>
      </c>
      <c r="P46" s="25" t="s">
        <v>523</v>
      </c>
      <c r="Y46" s="36"/>
      <c r="AA46" s="39" t="s">
        <v>95</v>
      </c>
      <c r="AB46" s="70"/>
      <c r="AD46" s="71" t="str">
        <f>IF(P124="","",P124)</f>
        <v/>
      </c>
      <c r="AH46" s="20">
        <v>26</v>
      </c>
      <c r="AI46" s="20">
        <v>50</v>
      </c>
      <c r="AJ46" s="75">
        <v>0</v>
      </c>
      <c r="AK46" s="20" t="s">
        <v>52</v>
      </c>
      <c r="AL46" s="20" t="s">
        <v>55</v>
      </c>
      <c r="AM46" s="20"/>
      <c r="AN46" s="20"/>
      <c r="AO46" s="20"/>
      <c r="AP46" s="20"/>
      <c r="AQ46" s="76"/>
    </row>
    <row r="47" spans="1:43" ht="14.1" customHeight="1">
      <c r="A47" s="21">
        <v>47</v>
      </c>
      <c r="B47" s="72"/>
      <c r="C47" s="110" t="s">
        <v>96</v>
      </c>
      <c r="E47" s="40" t="s">
        <v>84</v>
      </c>
      <c r="L47" s="111" t="str">
        <f>IF(O41="","TBD",IF(O41=1,"YES",IF(O41=3,"NA","")))</f>
        <v>YES</v>
      </c>
      <c r="M47" s="112" t="str">
        <f>IF(O41=2,"NO","")</f>
        <v/>
      </c>
      <c r="O47" s="104">
        <v>1</v>
      </c>
      <c r="P47" s="25" t="s">
        <v>524</v>
      </c>
      <c r="Y47" s="36"/>
      <c r="AA47" s="39" t="s">
        <v>98</v>
      </c>
      <c r="AB47" s="70"/>
      <c r="AD47" s="71" t="str">
        <f>IF(Q124="","",Q124)</f>
        <v/>
      </c>
      <c r="AH47" s="20">
        <v>28</v>
      </c>
      <c r="AI47" s="20">
        <v>50</v>
      </c>
      <c r="AJ47" s="75">
        <v>0</v>
      </c>
      <c r="AK47" s="20" t="s">
        <v>52</v>
      </c>
      <c r="AL47" s="20" t="s">
        <v>55</v>
      </c>
      <c r="AM47" s="20"/>
      <c r="AN47" s="20"/>
      <c r="AO47" s="20"/>
      <c r="AP47" s="20"/>
      <c r="AQ47" s="76"/>
    </row>
    <row r="48" spans="1:43" ht="14.1" customHeight="1">
      <c r="A48" s="21">
        <v>48</v>
      </c>
      <c r="B48" s="72"/>
      <c r="E48" s="40" t="s">
        <v>86</v>
      </c>
      <c r="L48" s="111" t="str">
        <f>IF(O42="","TBD",IF(O42=1,"YES",IF(O42=3,"NA","")))</f>
        <v>YES</v>
      </c>
      <c r="M48" s="112" t="str">
        <f>IF(O42=2,"NO","")</f>
        <v/>
      </c>
      <c r="O48" s="104">
        <v>1</v>
      </c>
      <c r="P48" s="25" t="s">
        <v>525</v>
      </c>
      <c r="Y48" s="36"/>
      <c r="AA48" s="39" t="s">
        <v>100</v>
      </c>
      <c r="AB48" s="70"/>
      <c r="AD48" s="71" t="str">
        <f>IF(R124="","",R124)</f>
        <v/>
      </c>
      <c r="AH48" s="20">
        <v>28</v>
      </c>
      <c r="AI48" s="20">
        <v>50</v>
      </c>
      <c r="AJ48" s="75">
        <v>0</v>
      </c>
      <c r="AK48" s="20" t="s">
        <v>52</v>
      </c>
      <c r="AL48" s="20" t="s">
        <v>55</v>
      </c>
      <c r="AM48" s="20"/>
      <c r="AN48" s="20"/>
      <c r="AO48" s="20"/>
      <c r="AP48" s="20"/>
      <c r="AQ48" s="76"/>
    </row>
    <row r="49" spans="1:43" ht="14.1" customHeight="1">
      <c r="A49" s="21">
        <v>49</v>
      </c>
      <c r="B49" s="72"/>
      <c r="E49" s="40" t="s">
        <v>87</v>
      </c>
      <c r="L49" s="111" t="str">
        <f>IF(O43="","TBD",IF(O43=1,"YES",IF(O43=3,"NA","")))</f>
        <v>YES</v>
      </c>
      <c r="M49" s="112" t="str">
        <f>IF(O43=2,"NO","")</f>
        <v/>
      </c>
      <c r="O49" s="104">
        <v>1</v>
      </c>
      <c r="P49" s="25" t="s">
        <v>526</v>
      </c>
      <c r="Y49" s="36"/>
      <c r="AA49" s="39" t="s">
        <v>95</v>
      </c>
      <c r="AB49" s="70"/>
      <c r="AD49" s="71" t="str">
        <f>IF(P125="","",P125)</f>
        <v/>
      </c>
      <c r="AH49" s="20">
        <v>28</v>
      </c>
      <c r="AI49" s="20">
        <v>50</v>
      </c>
      <c r="AJ49" s="75">
        <v>0</v>
      </c>
      <c r="AK49" s="20" t="s">
        <v>52</v>
      </c>
      <c r="AL49" s="20" t="s">
        <v>55</v>
      </c>
      <c r="AM49" s="20"/>
      <c r="AN49" s="20"/>
      <c r="AO49" s="20"/>
      <c r="AP49" s="20"/>
      <c r="AQ49" s="76"/>
    </row>
    <row r="50" spans="1:43" ht="14.1" customHeight="1">
      <c r="A50" s="21">
        <v>50</v>
      </c>
      <c r="B50" s="72"/>
      <c r="H50" s="58" t="s">
        <v>92</v>
      </c>
      <c r="M50" s="74"/>
      <c r="O50" s="104">
        <v>1</v>
      </c>
      <c r="P50" s="25" t="s">
        <v>527</v>
      </c>
      <c r="Y50" s="36"/>
      <c r="AA50" s="39" t="s">
        <v>98</v>
      </c>
      <c r="AB50" s="70"/>
      <c r="AD50" s="71" t="str">
        <f>IF(Q125="","",Q125)</f>
        <v/>
      </c>
      <c r="AH50" s="20">
        <v>28</v>
      </c>
      <c r="AI50" s="20">
        <v>50</v>
      </c>
      <c r="AJ50" s="75">
        <v>0</v>
      </c>
      <c r="AK50" s="20" t="s">
        <v>52</v>
      </c>
      <c r="AL50" s="20" t="s">
        <v>55</v>
      </c>
      <c r="AM50" s="20"/>
      <c r="AN50" s="20"/>
      <c r="AO50" s="20"/>
      <c r="AP50" s="20"/>
      <c r="AQ50" s="76"/>
    </row>
    <row r="51" spans="1:43" ht="14.1" customHeight="1">
      <c r="A51" s="21">
        <v>51</v>
      </c>
      <c r="B51" s="72"/>
      <c r="E51" s="73" t="s">
        <v>94</v>
      </c>
      <c r="L51" s="111" t="str">
        <f t="shared" ref="L51:L63" si="4">IF(O64="","TBD",IF(O64=1,"YES",IF(O64=3,"NA","")))</f>
        <v>YES</v>
      </c>
      <c r="M51" s="112" t="str">
        <f t="shared" ref="M51:M63" si="5">IF(O64=2,"NO","")</f>
        <v/>
      </c>
      <c r="O51" s="104">
        <v>1</v>
      </c>
      <c r="P51" s="25" t="s">
        <v>528</v>
      </c>
      <c r="Y51" s="36"/>
      <c r="AA51" s="39" t="s">
        <v>100</v>
      </c>
      <c r="AB51" s="70"/>
      <c r="AD51" s="71" t="str">
        <f>IF(R125="","",R125)</f>
        <v/>
      </c>
      <c r="AH51" s="20">
        <v>28</v>
      </c>
      <c r="AI51" s="20">
        <v>50</v>
      </c>
      <c r="AJ51" s="75">
        <v>0.5</v>
      </c>
      <c r="AK51" s="20" t="s">
        <v>52</v>
      </c>
      <c r="AL51" s="20" t="s">
        <v>55</v>
      </c>
      <c r="AM51" s="20"/>
      <c r="AN51" s="20"/>
      <c r="AO51" s="20"/>
      <c r="AP51" s="20"/>
      <c r="AQ51" s="76"/>
    </row>
    <row r="52" spans="1:43" ht="14.1" customHeight="1">
      <c r="A52" s="21">
        <v>52</v>
      </c>
      <c r="B52" s="72"/>
      <c r="E52" s="73" t="s">
        <v>97</v>
      </c>
      <c r="L52" s="111" t="str">
        <f t="shared" si="4"/>
        <v>YES</v>
      </c>
      <c r="M52" s="112" t="str">
        <f t="shared" si="5"/>
        <v/>
      </c>
      <c r="O52" s="104">
        <v>1</v>
      </c>
      <c r="P52" s="25" t="s">
        <v>529</v>
      </c>
      <c r="Y52" s="36"/>
      <c r="AA52" s="39" t="s">
        <v>95</v>
      </c>
      <c r="AB52" s="70"/>
      <c r="AD52" s="71" t="str">
        <f>IF(P126="","",P126)</f>
        <v/>
      </c>
      <c r="AH52" s="20">
        <v>28</v>
      </c>
      <c r="AI52" s="20">
        <v>50</v>
      </c>
      <c r="AJ52" s="75">
        <v>0.5</v>
      </c>
      <c r="AK52" s="20" t="s">
        <v>52</v>
      </c>
      <c r="AL52" s="20" t="s">
        <v>55</v>
      </c>
      <c r="AM52" s="20"/>
      <c r="AN52" s="20"/>
      <c r="AO52" s="20"/>
      <c r="AP52" s="20"/>
      <c r="AQ52" s="76"/>
    </row>
    <row r="53" spans="1:43" ht="14.1" customHeight="1">
      <c r="A53" s="21">
        <v>53</v>
      </c>
      <c r="B53" s="72"/>
      <c r="E53" s="73" t="s">
        <v>99</v>
      </c>
      <c r="L53" s="111" t="str">
        <f t="shared" si="4"/>
        <v>YES</v>
      </c>
      <c r="M53" s="112" t="str">
        <f t="shared" si="5"/>
        <v/>
      </c>
      <c r="O53" s="104">
        <v>1</v>
      </c>
      <c r="P53" s="25" t="s">
        <v>530</v>
      </c>
      <c r="Y53" s="36"/>
      <c r="AA53" s="39" t="s">
        <v>98</v>
      </c>
      <c r="AB53" s="70"/>
      <c r="AD53" s="71" t="str">
        <f>IF(Q126="","",Q126)</f>
        <v/>
      </c>
      <c r="AH53" s="20">
        <v>28</v>
      </c>
      <c r="AI53" s="20">
        <v>50</v>
      </c>
      <c r="AJ53" s="75">
        <v>0.6</v>
      </c>
      <c r="AK53" s="20" t="s">
        <v>52</v>
      </c>
      <c r="AL53" s="20" t="s">
        <v>55</v>
      </c>
      <c r="AM53" s="20"/>
      <c r="AN53" s="20"/>
      <c r="AO53" s="20"/>
      <c r="AP53" s="20"/>
      <c r="AQ53" s="76"/>
    </row>
    <row r="54" spans="1:43" ht="14.1" customHeight="1">
      <c r="A54" s="21">
        <v>54</v>
      </c>
      <c r="B54" s="72"/>
      <c r="E54" s="73" t="s">
        <v>101</v>
      </c>
      <c r="L54" s="111" t="str">
        <f t="shared" si="4"/>
        <v>YES</v>
      </c>
      <c r="M54" s="112" t="str">
        <f t="shared" si="5"/>
        <v/>
      </c>
      <c r="O54" s="104">
        <v>1</v>
      </c>
      <c r="P54" s="25" t="s">
        <v>531</v>
      </c>
      <c r="Y54" s="36"/>
      <c r="AA54" s="39" t="s">
        <v>100</v>
      </c>
      <c r="AB54" s="70"/>
      <c r="AD54" s="71" t="str">
        <f>IF(R126="","",R126)</f>
        <v/>
      </c>
      <c r="AH54" s="20">
        <v>28</v>
      </c>
      <c r="AI54" s="20">
        <v>50</v>
      </c>
      <c r="AJ54" s="75">
        <v>0.6</v>
      </c>
      <c r="AK54" s="20" t="s">
        <v>52</v>
      </c>
      <c r="AL54" s="20" t="s">
        <v>55</v>
      </c>
      <c r="AM54" s="20"/>
      <c r="AN54" s="20"/>
      <c r="AO54" s="20"/>
      <c r="AP54" s="20"/>
      <c r="AQ54" s="76"/>
    </row>
    <row r="55" spans="1:43" ht="14.1" customHeight="1">
      <c r="A55" s="21">
        <v>55</v>
      </c>
      <c r="B55" s="72"/>
      <c r="E55" s="73" t="s">
        <v>102</v>
      </c>
      <c r="L55" s="111" t="str">
        <f t="shared" si="4"/>
        <v>NA</v>
      </c>
      <c r="M55" s="112" t="str">
        <f t="shared" si="5"/>
        <v/>
      </c>
      <c r="O55" s="104">
        <v>1</v>
      </c>
      <c r="P55" s="25" t="s">
        <v>532</v>
      </c>
      <c r="Y55" s="36"/>
      <c r="AA55" s="39" t="s">
        <v>95</v>
      </c>
      <c r="AB55" s="70"/>
      <c r="AD55" s="71" t="str">
        <f>IF(P127="","",P127)</f>
        <v/>
      </c>
      <c r="AH55" s="20">
        <v>30</v>
      </c>
      <c r="AI55" s="20">
        <v>50</v>
      </c>
      <c r="AJ55" s="75">
        <v>0</v>
      </c>
      <c r="AK55" s="20" t="s">
        <v>52</v>
      </c>
      <c r="AL55" s="20" t="s">
        <v>55</v>
      </c>
      <c r="AM55" s="20"/>
      <c r="AN55" s="20"/>
      <c r="AO55" s="20"/>
      <c r="AP55" s="20"/>
      <c r="AQ55" s="76"/>
    </row>
    <row r="56" spans="1:43" ht="14.1" customHeight="1">
      <c r="A56" s="21">
        <v>56</v>
      </c>
      <c r="B56" s="72"/>
      <c r="E56" s="73" t="s">
        <v>103</v>
      </c>
      <c r="L56" s="111" t="str">
        <f t="shared" si="4"/>
        <v>NA</v>
      </c>
      <c r="M56" s="112" t="str">
        <f t="shared" si="5"/>
        <v/>
      </c>
      <c r="O56" s="104">
        <v>1</v>
      </c>
      <c r="P56" s="25" t="s">
        <v>533</v>
      </c>
      <c r="Y56" s="36"/>
      <c r="AA56" s="39" t="s">
        <v>98</v>
      </c>
      <c r="AB56" s="70"/>
      <c r="AD56" s="71"/>
      <c r="AH56" s="20">
        <v>32</v>
      </c>
      <c r="AI56" s="20">
        <v>50</v>
      </c>
      <c r="AJ56" s="75">
        <v>0</v>
      </c>
      <c r="AK56" s="20" t="s">
        <v>52</v>
      </c>
      <c r="AL56" s="20" t="s">
        <v>55</v>
      </c>
      <c r="AM56" s="20"/>
      <c r="AN56" s="20"/>
      <c r="AO56" s="20"/>
      <c r="AP56" s="20"/>
      <c r="AQ56" s="76"/>
    </row>
    <row r="57" spans="1:43" ht="14.1" customHeight="1">
      <c r="A57" s="21">
        <v>57</v>
      </c>
      <c r="B57" s="72"/>
      <c r="E57" s="73" t="s">
        <v>109</v>
      </c>
      <c r="L57" s="111" t="str">
        <f t="shared" si="4"/>
        <v>YES</v>
      </c>
      <c r="M57" s="112" t="str">
        <f t="shared" si="5"/>
        <v/>
      </c>
      <c r="O57" s="104">
        <v>1</v>
      </c>
      <c r="P57" s="25" t="s">
        <v>534</v>
      </c>
      <c r="Y57" s="36"/>
      <c r="AA57" s="39" t="s">
        <v>100</v>
      </c>
      <c r="AB57" s="70"/>
      <c r="AD57" s="71"/>
      <c r="AH57" s="20">
        <v>32</v>
      </c>
      <c r="AI57" s="20">
        <v>50</v>
      </c>
      <c r="AJ57" s="75">
        <v>0</v>
      </c>
      <c r="AK57" s="20" t="s">
        <v>52</v>
      </c>
      <c r="AL57" s="20" t="s">
        <v>55</v>
      </c>
      <c r="AM57" s="20"/>
      <c r="AN57" s="20"/>
      <c r="AO57" s="20"/>
      <c r="AP57" s="20"/>
      <c r="AQ57" s="76"/>
    </row>
    <row r="58" spans="1:43" ht="14.1" customHeight="1">
      <c r="A58" s="21">
        <v>58</v>
      </c>
      <c r="B58" s="72"/>
      <c r="E58" s="73" t="s">
        <v>105</v>
      </c>
      <c r="L58" s="111" t="str">
        <f t="shared" si="4"/>
        <v>YES</v>
      </c>
      <c r="M58" s="112" t="str">
        <f t="shared" si="5"/>
        <v/>
      </c>
      <c r="O58" s="104">
        <v>1</v>
      </c>
      <c r="P58" s="25" t="s">
        <v>535</v>
      </c>
      <c r="Y58" s="36"/>
      <c r="AA58" s="47" t="s">
        <v>112</v>
      </c>
      <c r="AH58" s="20">
        <v>32</v>
      </c>
      <c r="AI58" s="20">
        <v>50</v>
      </c>
      <c r="AJ58" s="20">
        <v>0.6</v>
      </c>
      <c r="AK58" s="20" t="s">
        <v>52</v>
      </c>
      <c r="AL58" s="20" t="s">
        <v>55</v>
      </c>
      <c r="AM58" s="113"/>
      <c r="AN58" s="113"/>
      <c r="AO58" s="113"/>
      <c r="AP58" s="113"/>
      <c r="AQ58" s="16"/>
    </row>
    <row r="59" spans="1:43" ht="14.1" customHeight="1">
      <c r="A59" s="21">
        <v>59</v>
      </c>
      <c r="B59" s="72"/>
      <c r="E59" s="73" t="s">
        <v>106</v>
      </c>
      <c r="L59" s="111" t="str">
        <f t="shared" si="4"/>
        <v>YES</v>
      </c>
      <c r="M59" s="112" t="str">
        <f t="shared" si="5"/>
        <v/>
      </c>
      <c r="O59" s="104">
        <v>1</v>
      </c>
      <c r="P59" s="25" t="s">
        <v>536</v>
      </c>
      <c r="Y59" s="36"/>
      <c r="AA59" s="39" t="s">
        <v>95</v>
      </c>
      <c r="AB59" s="70"/>
      <c r="AD59" s="71" t="str">
        <f>IF(S124="","",S124)</f>
        <v/>
      </c>
      <c r="AH59" s="15">
        <v>32</v>
      </c>
      <c r="AI59" s="15">
        <v>50</v>
      </c>
      <c r="AJ59" s="15">
        <v>0.6</v>
      </c>
      <c r="AK59" s="15" t="s">
        <v>52</v>
      </c>
      <c r="AL59" s="15" t="s">
        <v>55</v>
      </c>
      <c r="AM59" s="113"/>
      <c r="AN59" s="113"/>
      <c r="AO59" s="113"/>
      <c r="AP59" s="113"/>
      <c r="AQ59" s="16"/>
    </row>
    <row r="60" spans="1:43" ht="14.1" customHeight="1">
      <c r="A60" s="21">
        <v>60</v>
      </c>
      <c r="B60" s="72"/>
      <c r="E60" s="73" t="s">
        <v>107</v>
      </c>
      <c r="L60" s="111" t="str">
        <f t="shared" si="4"/>
        <v>YES</v>
      </c>
      <c r="M60" s="112" t="str">
        <f t="shared" si="5"/>
        <v/>
      </c>
      <c r="O60" s="104">
        <v>1</v>
      </c>
      <c r="P60" s="25" t="s">
        <v>537</v>
      </c>
      <c r="Y60" s="36"/>
      <c r="AA60" s="39" t="s">
        <v>98</v>
      </c>
      <c r="AB60" s="70"/>
      <c r="AD60" s="71" t="str">
        <f>IF(T124="","",T124)</f>
        <v/>
      </c>
      <c r="AH60" s="15">
        <v>32</v>
      </c>
      <c r="AI60" s="15">
        <v>50</v>
      </c>
      <c r="AJ60" s="15">
        <v>0.7</v>
      </c>
      <c r="AK60" s="15" t="s">
        <v>52</v>
      </c>
      <c r="AL60" s="15" t="s">
        <v>55</v>
      </c>
      <c r="AM60" s="113"/>
      <c r="AN60" s="113"/>
      <c r="AO60" s="113"/>
      <c r="AP60" s="113"/>
      <c r="AQ60" s="16"/>
    </row>
    <row r="61" spans="1:43" ht="14.1" customHeight="1">
      <c r="A61" s="21">
        <v>61</v>
      </c>
      <c r="B61" s="72"/>
      <c r="E61" s="73" t="s">
        <v>108</v>
      </c>
      <c r="L61" s="111" t="str">
        <f t="shared" si="4"/>
        <v>YES</v>
      </c>
      <c r="M61" s="112" t="str">
        <f t="shared" si="5"/>
        <v/>
      </c>
      <c r="O61" s="104">
        <v>1</v>
      </c>
      <c r="P61" s="25" t="s">
        <v>538</v>
      </c>
      <c r="Y61" s="36"/>
      <c r="AA61" s="39" t="s">
        <v>100</v>
      </c>
      <c r="AB61" s="70"/>
      <c r="AD61" s="71" t="str">
        <f>IF(U124="","",U124)</f>
        <v/>
      </c>
      <c r="AH61" s="15">
        <v>32</v>
      </c>
      <c r="AI61" s="15">
        <v>50</v>
      </c>
      <c r="AJ61" s="15">
        <v>0.7</v>
      </c>
      <c r="AK61" s="15" t="s">
        <v>52</v>
      </c>
      <c r="AL61" s="15" t="s">
        <v>55</v>
      </c>
      <c r="AM61" s="113"/>
      <c r="AN61" s="113"/>
      <c r="AO61" s="113"/>
      <c r="AP61" s="113"/>
      <c r="AQ61" s="16"/>
    </row>
    <row r="62" spans="1:43" ht="14.1" customHeight="1">
      <c r="A62" s="21">
        <v>62</v>
      </c>
      <c r="B62" s="72"/>
      <c r="E62" s="73" t="s">
        <v>115</v>
      </c>
      <c r="L62" s="111" t="str">
        <f t="shared" si="4"/>
        <v>YES</v>
      </c>
      <c r="M62" s="112" t="str">
        <f t="shared" si="5"/>
        <v/>
      </c>
      <c r="O62" s="34"/>
      <c r="Y62" s="36"/>
      <c r="AA62" s="39" t="s">
        <v>95</v>
      </c>
      <c r="AB62" s="70"/>
      <c r="AD62" s="71" t="str">
        <f>IF(S125="","",S125)</f>
        <v/>
      </c>
      <c r="AH62" s="15">
        <v>34</v>
      </c>
      <c r="AI62" s="15">
        <v>50</v>
      </c>
      <c r="AJ62" s="114">
        <v>0</v>
      </c>
      <c r="AK62" s="15" t="s">
        <v>52</v>
      </c>
      <c r="AL62" s="15" t="s">
        <v>55</v>
      </c>
      <c r="AM62" s="113"/>
      <c r="AN62" s="113"/>
      <c r="AO62" s="113"/>
      <c r="AP62" s="113"/>
      <c r="AQ62" s="16"/>
    </row>
    <row r="63" spans="1:43" ht="14.1" customHeight="1">
      <c r="A63" s="21">
        <v>63</v>
      </c>
      <c r="B63" s="72"/>
      <c r="E63" s="25" t="s">
        <v>117</v>
      </c>
      <c r="L63" s="111" t="str">
        <f t="shared" si="4"/>
        <v>YES</v>
      </c>
      <c r="M63" s="112" t="str">
        <f t="shared" si="5"/>
        <v/>
      </c>
      <c r="O63" s="34"/>
      <c r="T63" s="58" t="s">
        <v>92</v>
      </c>
      <c r="Y63" s="36"/>
      <c r="AA63" s="39" t="s">
        <v>98</v>
      </c>
      <c r="AB63" s="70"/>
      <c r="AD63" s="71" t="str">
        <f>IF(T125="","",T125)</f>
        <v/>
      </c>
    </row>
    <row r="64" spans="1:43" ht="14.1" customHeight="1">
      <c r="A64" s="21">
        <v>64</v>
      </c>
      <c r="B64" s="72"/>
      <c r="C64" s="73"/>
      <c r="D64" s="73"/>
      <c r="E64" s="73"/>
      <c r="F64" s="73"/>
      <c r="G64" s="73"/>
      <c r="H64" s="73"/>
      <c r="I64" s="73"/>
      <c r="J64" s="73"/>
      <c r="K64" s="73"/>
      <c r="L64" s="73"/>
      <c r="M64" s="74"/>
      <c r="O64" s="104">
        <v>1</v>
      </c>
      <c r="P64" s="73" t="s">
        <v>94</v>
      </c>
      <c r="Y64" s="36"/>
      <c r="AA64" s="39" t="s">
        <v>100</v>
      </c>
      <c r="AB64" s="70"/>
      <c r="AD64" s="71" t="str">
        <f>IF(U125="","",U125)</f>
        <v/>
      </c>
    </row>
    <row r="65" spans="1:43" ht="14.1" customHeight="1">
      <c r="A65" s="21">
        <v>65</v>
      </c>
      <c r="B65" s="72"/>
      <c r="C65" s="73"/>
      <c r="D65" s="73"/>
      <c r="E65" s="73"/>
      <c r="F65" s="73"/>
      <c r="G65" s="73"/>
      <c r="H65" s="73"/>
      <c r="I65" s="73"/>
      <c r="J65" s="73"/>
      <c r="K65" s="73"/>
      <c r="L65" s="73"/>
      <c r="M65" s="74"/>
      <c r="O65" s="104">
        <v>1</v>
      </c>
      <c r="P65" s="73" t="s">
        <v>97</v>
      </c>
      <c r="Y65" s="36"/>
      <c r="AA65" s="39" t="s">
        <v>95</v>
      </c>
      <c r="AB65" s="70"/>
      <c r="AD65" s="71" t="str">
        <f>IF(S126="","",S126)</f>
        <v/>
      </c>
    </row>
    <row r="66" spans="1:43" ht="14.1" customHeight="1">
      <c r="A66" s="21">
        <v>66</v>
      </c>
      <c r="B66" s="72"/>
      <c r="C66" s="73"/>
      <c r="D66" s="73"/>
      <c r="E66" s="73"/>
      <c r="F66" s="73"/>
      <c r="G66" s="73"/>
      <c r="H66" s="73"/>
      <c r="I66" s="73"/>
      <c r="J66" s="73"/>
      <c r="K66" s="73"/>
      <c r="L66" s="73"/>
      <c r="M66" s="74"/>
      <c r="O66" s="104">
        <v>1</v>
      </c>
      <c r="P66" s="73" t="s">
        <v>99</v>
      </c>
      <c r="Y66" s="36"/>
      <c r="AA66" s="39" t="s">
        <v>98</v>
      </c>
      <c r="AB66" s="70"/>
      <c r="AD66" s="71" t="str">
        <f>IF(T126="","",T126)</f>
        <v/>
      </c>
    </row>
    <row r="67" spans="1:43" ht="14.1" customHeight="1">
      <c r="A67" s="21">
        <v>67</v>
      </c>
      <c r="B67" s="72"/>
      <c r="C67" s="73"/>
      <c r="D67" s="73"/>
      <c r="E67" s="73"/>
      <c r="F67" s="73"/>
      <c r="G67" s="73"/>
      <c r="H67" s="73"/>
      <c r="I67" s="73"/>
      <c r="J67" s="73"/>
      <c r="K67" s="73"/>
      <c r="L67" s="73"/>
      <c r="M67" s="74"/>
      <c r="O67" s="104">
        <v>1</v>
      </c>
      <c r="P67" s="73" t="s">
        <v>101</v>
      </c>
      <c r="Y67" s="36"/>
      <c r="AA67" s="39" t="s">
        <v>100</v>
      </c>
      <c r="AB67" s="70"/>
      <c r="AD67" s="71" t="str">
        <f>IF(U126="","",U126)</f>
        <v/>
      </c>
    </row>
    <row r="68" spans="1:43" ht="14.1" customHeight="1">
      <c r="A68" s="21">
        <v>68</v>
      </c>
      <c r="B68" s="72"/>
      <c r="C68" s="73"/>
      <c r="D68" s="73"/>
      <c r="E68" s="73"/>
      <c r="F68" s="73"/>
      <c r="G68" s="73"/>
      <c r="H68" s="73"/>
      <c r="I68" s="73"/>
      <c r="J68" s="73"/>
      <c r="K68" s="73"/>
      <c r="L68" s="73"/>
      <c r="M68" s="74"/>
      <c r="O68" s="104">
        <v>3</v>
      </c>
      <c r="P68" s="73" t="s">
        <v>102</v>
      </c>
      <c r="Y68" s="36"/>
      <c r="AA68" s="39" t="s">
        <v>95</v>
      </c>
      <c r="AB68" s="70"/>
      <c r="AD68" s="71" t="str">
        <f>IF(S127="","",S127)</f>
        <v/>
      </c>
    </row>
    <row r="69" spans="1:43" ht="14.1" customHeight="1">
      <c r="A69" s="21">
        <v>69</v>
      </c>
      <c r="B69" s="72"/>
      <c r="C69" s="73"/>
      <c r="D69" s="73"/>
      <c r="E69" s="73"/>
      <c r="F69" s="73"/>
      <c r="G69" s="73"/>
      <c r="H69" s="73"/>
      <c r="I69" s="73"/>
      <c r="J69" s="73"/>
      <c r="K69" s="73"/>
      <c r="L69" s="73"/>
      <c r="M69" s="74"/>
      <c r="O69" s="104">
        <v>3</v>
      </c>
      <c r="P69" s="73" t="s">
        <v>103</v>
      </c>
      <c r="Y69" s="36"/>
      <c r="AA69" s="39" t="s">
        <v>98</v>
      </c>
      <c r="AB69" s="70"/>
      <c r="AD69" s="71" t="str">
        <f>IF(T127="","",T127)</f>
        <v/>
      </c>
    </row>
    <row r="70" spans="1:43" ht="14.1" customHeight="1" thickBot="1">
      <c r="A70" s="21">
        <v>70</v>
      </c>
      <c r="B70" s="85"/>
      <c r="C70" s="86"/>
      <c r="D70" s="86"/>
      <c r="E70" s="86"/>
      <c r="F70" s="86"/>
      <c r="G70" s="86"/>
      <c r="H70" s="86"/>
      <c r="I70" s="86"/>
      <c r="J70" s="86"/>
      <c r="K70" s="86"/>
      <c r="L70" s="86"/>
      <c r="M70" s="87"/>
      <c r="O70" s="104">
        <v>1</v>
      </c>
      <c r="P70" s="73" t="s">
        <v>104</v>
      </c>
      <c r="Y70" s="36"/>
      <c r="AA70" s="39" t="s">
        <v>100</v>
      </c>
      <c r="AB70" s="70"/>
      <c r="AD70" s="71" t="str">
        <f>IF(U127="","",U127)</f>
        <v/>
      </c>
    </row>
    <row r="71" spans="1:43" ht="14.1" customHeight="1" thickTop="1">
      <c r="A71" s="21">
        <v>71</v>
      </c>
      <c r="C71" s="117" t="s">
        <v>11</v>
      </c>
      <c r="D71" s="422" t="str">
        <f>IF($P$7="","",$P$7)</f>
        <v/>
      </c>
      <c r="E71" s="31"/>
      <c r="F71" s="31"/>
      <c r="G71" s="31"/>
      <c r="H71" s="31"/>
      <c r="I71" s="31"/>
      <c r="J71" s="31"/>
      <c r="K71" s="31"/>
      <c r="L71" s="117" t="s">
        <v>12</v>
      </c>
      <c r="M71" s="423" t="str">
        <f>IF($X$7="","",$X$7)</f>
        <v>Eugene Mah</v>
      </c>
      <c r="O71" s="104">
        <v>1</v>
      </c>
      <c r="P71" s="73" t="s">
        <v>105</v>
      </c>
      <c r="Y71" s="36"/>
      <c r="AA71" s="47" t="s">
        <v>67</v>
      </c>
    </row>
    <row r="72" spans="1:43" ht="14.1" customHeight="1">
      <c r="A72" s="21">
        <v>72</v>
      </c>
      <c r="C72" s="117" t="s">
        <v>121</v>
      </c>
      <c r="D72" s="423" t="str">
        <f>IF($R$14="","",$R$14)</f>
        <v/>
      </c>
      <c r="E72" s="31"/>
      <c r="F72" s="31"/>
      <c r="G72" s="31"/>
      <c r="H72" s="31"/>
      <c r="I72" s="31"/>
      <c r="J72" s="31"/>
      <c r="K72" s="31"/>
      <c r="L72" s="117" t="s">
        <v>37</v>
      </c>
      <c r="M72" s="423" t="str">
        <f>IF($R$13="","",$R$13)</f>
        <v/>
      </c>
      <c r="O72" s="104">
        <v>1</v>
      </c>
      <c r="P72" s="73" t="s">
        <v>106</v>
      </c>
      <c r="Y72" s="36"/>
      <c r="AA72" s="39" t="s">
        <v>95</v>
      </c>
      <c r="AB72" s="70"/>
      <c r="AD72" s="71" t="str">
        <f>IF(V124="","",V124)</f>
        <v/>
      </c>
    </row>
    <row r="73" spans="1:43" ht="14.1" customHeight="1">
      <c r="A73" s="21">
        <v>1</v>
      </c>
      <c r="M73" s="120" t="str">
        <f>$H$2</f>
        <v>Medical University of South Carolina</v>
      </c>
      <c r="O73" s="104">
        <v>1</v>
      </c>
      <c r="P73" s="73" t="s">
        <v>107</v>
      </c>
      <c r="Y73" s="36"/>
      <c r="AA73" s="39" t="s">
        <v>98</v>
      </c>
      <c r="AB73" s="70"/>
      <c r="AD73" s="71" t="str">
        <f>IF(W124="","",W124)</f>
        <v/>
      </c>
      <c r="AH73" s="6"/>
      <c r="AI73" s="6"/>
      <c r="AJ73" s="6"/>
      <c r="AK73" s="6"/>
      <c r="AL73" s="6"/>
      <c r="AM73" s="6"/>
      <c r="AN73" s="6"/>
      <c r="AO73" s="6"/>
      <c r="AP73" s="6"/>
      <c r="AQ73" s="6"/>
    </row>
    <row r="74" spans="1:43" ht="14.1" customHeight="1" thickBot="1">
      <c r="A74" s="21">
        <v>2</v>
      </c>
      <c r="H74" s="55" t="s">
        <v>73</v>
      </c>
      <c r="M74" s="121" t="str">
        <f>$H$5</f>
        <v>Mammography System Compliance Inspection</v>
      </c>
      <c r="O74" s="104">
        <v>1</v>
      </c>
      <c r="P74" s="73" t="s">
        <v>108</v>
      </c>
      <c r="Y74" s="36"/>
      <c r="AA74" s="39" t="s">
        <v>100</v>
      </c>
      <c r="AB74" s="70"/>
      <c r="AD74" s="71" t="str">
        <f>IF(X124="","",X124)</f>
        <v/>
      </c>
    </row>
    <row r="75" spans="1:43" ht="14.1" customHeight="1" thickTop="1">
      <c r="A75" s="21">
        <v>3</v>
      </c>
      <c r="B75" s="63"/>
      <c r="C75" s="122" t="s">
        <v>89</v>
      </c>
      <c r="D75" s="64"/>
      <c r="E75" s="64"/>
      <c r="F75" s="64"/>
      <c r="G75" s="64"/>
      <c r="H75" s="123" t="s">
        <v>113</v>
      </c>
      <c r="I75" s="64"/>
      <c r="J75" s="64"/>
      <c r="K75" s="64"/>
      <c r="L75" s="64"/>
      <c r="M75" s="66"/>
      <c r="O75" s="104">
        <v>1</v>
      </c>
      <c r="P75" s="73" t="s">
        <v>110</v>
      </c>
      <c r="Y75" s="36"/>
      <c r="AA75" s="39" t="s">
        <v>95</v>
      </c>
      <c r="AB75" s="70"/>
      <c r="AD75" s="71" t="str">
        <f>IF(V125="","",V125)</f>
        <v/>
      </c>
    </row>
    <row r="76" spans="1:43" ht="14.1" customHeight="1">
      <c r="A76" s="21">
        <v>4</v>
      </c>
      <c r="B76" s="72"/>
      <c r="C76" s="73" t="s">
        <v>126</v>
      </c>
      <c r="D76" s="73"/>
      <c r="E76" s="73" t="s">
        <v>127</v>
      </c>
      <c r="F76" s="73"/>
      <c r="G76" s="73"/>
      <c r="H76" s="73"/>
      <c r="I76" s="73"/>
      <c r="J76" s="73"/>
      <c r="K76" s="73"/>
      <c r="L76" s="156" t="str">
        <f t="shared" ref="L76:L107" si="6">IF(O79="","TBD",IF(O79=1,"YES",IF(O79=3,"NA","")))</f>
        <v>YES</v>
      </c>
      <c r="M76" s="112" t="str">
        <f t="shared" ref="M76:M107" si="7">IF(O79=2,"NO","")</f>
        <v/>
      </c>
      <c r="O76" s="104">
        <v>1</v>
      </c>
      <c r="P76" s="25" t="s">
        <v>111</v>
      </c>
      <c r="Y76" s="36"/>
      <c r="AA76" s="39" t="s">
        <v>98</v>
      </c>
      <c r="AB76" s="70"/>
      <c r="AD76" s="71" t="str">
        <f>IF(W125="","",W125)</f>
        <v/>
      </c>
    </row>
    <row r="77" spans="1:43" ht="14.1" customHeight="1">
      <c r="A77" s="21">
        <v>5</v>
      </c>
      <c r="B77" s="72"/>
      <c r="C77" s="73" t="s">
        <v>129</v>
      </c>
      <c r="D77" s="73"/>
      <c r="E77" s="73" t="s">
        <v>130</v>
      </c>
      <c r="F77" s="73"/>
      <c r="G77" s="73"/>
      <c r="H77" s="73"/>
      <c r="I77" s="73"/>
      <c r="J77" s="73"/>
      <c r="K77" s="73"/>
      <c r="L77" s="156" t="str">
        <f t="shared" si="6"/>
        <v>YES</v>
      </c>
      <c r="M77" s="112" t="str">
        <f t="shared" si="7"/>
        <v/>
      </c>
      <c r="O77" s="34"/>
      <c r="Y77" s="36"/>
      <c r="AA77" s="39" t="s">
        <v>100</v>
      </c>
      <c r="AB77" s="70"/>
      <c r="AD77" s="71" t="str">
        <f>IF(X125="","",X125)</f>
        <v/>
      </c>
    </row>
    <row r="78" spans="1:43" ht="14.1" customHeight="1">
      <c r="A78" s="21">
        <v>6</v>
      </c>
      <c r="B78" s="72"/>
      <c r="C78" s="73" t="s">
        <v>132</v>
      </c>
      <c r="D78" s="73"/>
      <c r="E78" s="73" t="s">
        <v>118</v>
      </c>
      <c r="F78" s="73"/>
      <c r="G78" s="73"/>
      <c r="H78" s="73"/>
      <c r="I78" s="73"/>
      <c r="J78" s="73"/>
      <c r="K78" s="73"/>
      <c r="L78" s="156" t="str">
        <f t="shared" si="6"/>
        <v>YES</v>
      </c>
      <c r="M78" s="112" t="str">
        <f t="shared" si="7"/>
        <v/>
      </c>
      <c r="O78" s="34"/>
      <c r="T78" s="58" t="s">
        <v>113</v>
      </c>
      <c r="Y78" s="36"/>
      <c r="AA78" s="39" t="s">
        <v>95</v>
      </c>
      <c r="AB78" s="70"/>
      <c r="AD78" s="71" t="str">
        <f>IF(V126="","",V126)</f>
        <v/>
      </c>
    </row>
    <row r="79" spans="1:43" ht="14.1" customHeight="1">
      <c r="A79" s="21">
        <v>7</v>
      </c>
      <c r="B79" s="72"/>
      <c r="C79" s="73" t="s">
        <v>134</v>
      </c>
      <c r="D79" s="73"/>
      <c r="E79" s="73" t="s">
        <v>135</v>
      </c>
      <c r="F79" s="73"/>
      <c r="G79" s="73"/>
      <c r="H79" s="73"/>
      <c r="I79" s="73"/>
      <c r="J79" s="73"/>
      <c r="K79" s="73"/>
      <c r="L79" s="156" t="str">
        <f t="shared" si="6"/>
        <v>YES</v>
      </c>
      <c r="M79" s="112" t="str">
        <f t="shared" si="7"/>
        <v/>
      </c>
      <c r="O79" s="104">
        <v>1</v>
      </c>
      <c r="P79" s="25" t="s">
        <v>114</v>
      </c>
      <c r="Y79" s="36"/>
      <c r="AA79" s="39" t="s">
        <v>98</v>
      </c>
      <c r="AB79" s="70"/>
      <c r="AD79" s="71" t="str">
        <f>IF(W126="","",W126)</f>
        <v/>
      </c>
    </row>
    <row r="80" spans="1:43" ht="14.1" customHeight="1">
      <c r="A80" s="21">
        <v>8</v>
      </c>
      <c r="B80" s="72"/>
      <c r="C80" s="73" t="s">
        <v>137</v>
      </c>
      <c r="D80" s="73"/>
      <c r="E80" s="73" t="s">
        <v>120</v>
      </c>
      <c r="F80" s="73"/>
      <c r="G80" s="73"/>
      <c r="H80" s="73"/>
      <c r="I80" s="73"/>
      <c r="J80" s="73"/>
      <c r="K80" s="73"/>
      <c r="L80" s="156" t="str">
        <f t="shared" si="6"/>
        <v>YES</v>
      </c>
      <c r="M80" s="112" t="str">
        <f t="shared" si="7"/>
        <v/>
      </c>
      <c r="O80" s="104">
        <v>1</v>
      </c>
      <c r="P80" s="25" t="s">
        <v>116</v>
      </c>
      <c r="Y80" s="36"/>
      <c r="AA80" s="39" t="s">
        <v>100</v>
      </c>
      <c r="AB80" s="70"/>
      <c r="AD80" s="71" t="str">
        <f>IF(X126="","",X126)</f>
        <v/>
      </c>
    </row>
    <row r="81" spans="1:30" ht="14.1" customHeight="1">
      <c r="A81" s="21">
        <v>9</v>
      </c>
      <c r="B81" s="72"/>
      <c r="C81" s="73" t="s">
        <v>139</v>
      </c>
      <c r="D81" s="73"/>
      <c r="E81" s="73" t="s">
        <v>140</v>
      </c>
      <c r="F81" s="73"/>
      <c r="G81" s="73"/>
      <c r="H81" s="73"/>
      <c r="I81" s="73"/>
      <c r="J81" s="73"/>
      <c r="K81" s="73"/>
      <c r="L81" s="156" t="str">
        <f t="shared" si="6"/>
        <v>YES</v>
      </c>
      <c r="M81" s="112" t="str">
        <f t="shared" si="7"/>
        <v/>
      </c>
      <c r="O81" s="104">
        <v>1</v>
      </c>
      <c r="P81" s="25" t="s">
        <v>118</v>
      </c>
      <c r="Y81" s="36"/>
      <c r="AA81" s="39" t="s">
        <v>95</v>
      </c>
      <c r="AB81" s="70"/>
      <c r="AD81" s="71" t="str">
        <f>IF(V127="","",V127)</f>
        <v/>
      </c>
    </row>
    <row r="82" spans="1:30" ht="14.1" customHeight="1">
      <c r="A82" s="21">
        <v>10</v>
      </c>
      <c r="B82" s="72"/>
      <c r="C82" s="73" t="s">
        <v>142</v>
      </c>
      <c r="D82" s="73"/>
      <c r="E82" s="73" t="s">
        <v>123</v>
      </c>
      <c r="F82" s="73"/>
      <c r="G82" s="73"/>
      <c r="H82" s="73"/>
      <c r="I82" s="73"/>
      <c r="J82" s="73"/>
      <c r="K82" s="73"/>
      <c r="L82" s="156" t="str">
        <f t="shared" si="6"/>
        <v>YES</v>
      </c>
      <c r="M82" s="112" t="str">
        <f t="shared" si="7"/>
        <v/>
      </c>
      <c r="O82" s="104">
        <v>1</v>
      </c>
      <c r="P82" s="25" t="s">
        <v>119</v>
      </c>
      <c r="Y82" s="36"/>
      <c r="AA82" s="39" t="s">
        <v>98</v>
      </c>
      <c r="AB82" s="70"/>
      <c r="AD82" s="71" t="str">
        <f>IF(W127="","",W127)</f>
        <v/>
      </c>
    </row>
    <row r="83" spans="1:30" ht="14.1" customHeight="1">
      <c r="A83" s="21">
        <v>11</v>
      </c>
      <c r="B83" s="72"/>
      <c r="C83" s="73" t="s">
        <v>144</v>
      </c>
      <c r="D83" s="73"/>
      <c r="E83" s="73" t="s">
        <v>145</v>
      </c>
      <c r="F83" s="73"/>
      <c r="G83" s="73"/>
      <c r="H83" s="73"/>
      <c r="I83" s="73"/>
      <c r="J83" s="73"/>
      <c r="K83" s="73"/>
      <c r="L83" s="156" t="str">
        <f t="shared" si="6"/>
        <v>YES</v>
      </c>
      <c r="M83" s="112" t="str">
        <f t="shared" si="7"/>
        <v/>
      </c>
      <c r="O83" s="104">
        <v>1</v>
      </c>
      <c r="P83" s="25" t="s">
        <v>120</v>
      </c>
      <c r="Y83" s="36"/>
      <c r="AA83" s="39" t="s">
        <v>100</v>
      </c>
      <c r="AB83" s="70"/>
      <c r="AD83" s="71" t="str">
        <f>IF(X127="","",X127)</f>
        <v/>
      </c>
    </row>
    <row r="84" spans="1:30" ht="14.1" customHeight="1">
      <c r="A84" s="21">
        <v>12</v>
      </c>
      <c r="B84" s="72"/>
      <c r="C84" s="73" t="s">
        <v>147</v>
      </c>
      <c r="D84" s="73"/>
      <c r="E84" s="73" t="s">
        <v>125</v>
      </c>
      <c r="F84" s="73"/>
      <c r="G84" s="73"/>
      <c r="H84" s="73"/>
      <c r="I84" s="73"/>
      <c r="J84" s="73"/>
      <c r="K84" s="73"/>
      <c r="L84" s="156" t="str">
        <f t="shared" si="6"/>
        <v>YES</v>
      </c>
      <c r="M84" s="112" t="str">
        <f t="shared" si="7"/>
        <v/>
      </c>
      <c r="O84" s="104">
        <v>1</v>
      </c>
      <c r="P84" s="25" t="s">
        <v>122</v>
      </c>
      <c r="Y84" s="36"/>
    </row>
    <row r="85" spans="1:30" ht="14.1" customHeight="1">
      <c r="A85" s="21">
        <v>13</v>
      </c>
      <c r="B85" s="72"/>
      <c r="C85" s="73" t="s">
        <v>149</v>
      </c>
      <c r="D85" s="73"/>
      <c r="E85" s="73" t="s">
        <v>128</v>
      </c>
      <c r="F85" s="73"/>
      <c r="G85" s="73"/>
      <c r="H85" s="73"/>
      <c r="I85" s="73"/>
      <c r="J85" s="73"/>
      <c r="K85" s="73"/>
      <c r="L85" s="156" t="str">
        <f t="shared" si="6"/>
        <v>YES</v>
      </c>
      <c r="M85" s="112" t="str">
        <f t="shared" si="7"/>
        <v/>
      </c>
      <c r="O85" s="104">
        <v>1</v>
      </c>
      <c r="P85" s="25" t="s">
        <v>123</v>
      </c>
      <c r="Y85" s="36"/>
      <c r="AA85" s="39" t="s">
        <v>161</v>
      </c>
      <c r="AB85" s="70"/>
      <c r="AD85" s="124" t="str">
        <f>IF(X271="","",X271)</f>
        <v/>
      </c>
    </row>
    <row r="86" spans="1:30" ht="14.1" customHeight="1">
      <c r="A86" s="21">
        <v>14</v>
      </c>
      <c r="B86" s="72"/>
      <c r="C86" s="73" t="s">
        <v>149</v>
      </c>
      <c r="D86" s="73"/>
      <c r="E86" s="73" t="s">
        <v>131</v>
      </c>
      <c r="F86" s="73"/>
      <c r="G86" s="73"/>
      <c r="H86" s="73"/>
      <c r="I86" s="73"/>
      <c r="J86" s="73"/>
      <c r="K86" s="73"/>
      <c r="L86" s="156" t="str">
        <f t="shared" si="6"/>
        <v>YES</v>
      </c>
      <c r="M86" s="112" t="str">
        <f t="shared" si="7"/>
        <v/>
      </c>
      <c r="O86" s="104">
        <v>1</v>
      </c>
      <c r="P86" s="25" t="s">
        <v>124</v>
      </c>
      <c r="Y86" s="36"/>
      <c r="AA86" s="39" t="s">
        <v>540</v>
      </c>
      <c r="AB86" s="70"/>
      <c r="AD86" s="125" t="str">
        <f>IF(S312="","",S312)</f>
        <v/>
      </c>
    </row>
    <row r="87" spans="1:30" ht="14.1" customHeight="1">
      <c r="A87" s="21">
        <v>15</v>
      </c>
      <c r="B87" s="72"/>
      <c r="C87" s="73" t="s">
        <v>152</v>
      </c>
      <c r="D87" s="73"/>
      <c r="E87" s="73" t="s">
        <v>133</v>
      </c>
      <c r="F87" s="73"/>
      <c r="G87" s="73"/>
      <c r="H87" s="73"/>
      <c r="I87" s="73"/>
      <c r="J87" s="73"/>
      <c r="K87" s="73"/>
      <c r="L87" s="156" t="str">
        <f t="shared" si="6"/>
        <v>YES</v>
      </c>
      <c r="M87" s="112" t="str">
        <f t="shared" si="7"/>
        <v/>
      </c>
      <c r="O87" s="104">
        <v>1</v>
      </c>
      <c r="P87" s="25" t="s">
        <v>125</v>
      </c>
      <c r="Y87" s="36"/>
      <c r="AA87" s="39" t="s">
        <v>541</v>
      </c>
      <c r="AB87" s="70"/>
      <c r="AD87" s="124" t="str">
        <f>IF(T312="","",T312)</f>
        <v/>
      </c>
    </row>
    <row r="88" spans="1:30" ht="14.1" customHeight="1">
      <c r="A88" s="21">
        <v>16</v>
      </c>
      <c r="B88" s="72"/>
      <c r="C88" s="73" t="s">
        <v>154</v>
      </c>
      <c r="D88" s="73"/>
      <c r="E88" s="73" t="s">
        <v>136</v>
      </c>
      <c r="F88" s="73"/>
      <c r="G88" s="73"/>
      <c r="H88" s="73"/>
      <c r="I88" s="73"/>
      <c r="J88" s="73"/>
      <c r="K88" s="73"/>
      <c r="L88" s="156" t="str">
        <f t="shared" si="6"/>
        <v>YES</v>
      </c>
      <c r="M88" s="112" t="str">
        <f t="shared" si="7"/>
        <v/>
      </c>
      <c r="O88" s="104">
        <v>1</v>
      </c>
      <c r="P88" s="25" t="s">
        <v>128</v>
      </c>
      <c r="Y88" s="36"/>
      <c r="AA88" s="39" t="s">
        <v>542</v>
      </c>
      <c r="AB88" s="70"/>
      <c r="AD88" s="125" t="str">
        <f>IF(X312="","",X312)</f>
        <v/>
      </c>
    </row>
    <row r="89" spans="1:30" ht="14.1" customHeight="1">
      <c r="A89" s="21">
        <v>17</v>
      </c>
      <c r="B89" s="72"/>
      <c r="C89" s="378"/>
      <c r="D89" s="73"/>
      <c r="E89" s="73" t="s">
        <v>138</v>
      </c>
      <c r="F89" s="73"/>
      <c r="G89" s="73"/>
      <c r="H89" s="73"/>
      <c r="I89" s="73"/>
      <c r="J89" s="73"/>
      <c r="K89" s="73"/>
      <c r="L89" s="156" t="str">
        <f t="shared" si="6"/>
        <v>YES</v>
      </c>
      <c r="M89" s="112" t="str">
        <f t="shared" si="7"/>
        <v/>
      </c>
      <c r="O89" s="104">
        <v>1</v>
      </c>
      <c r="P89" s="25" t="s">
        <v>131</v>
      </c>
      <c r="Y89" s="36"/>
      <c r="AA89" s="39" t="s">
        <v>543</v>
      </c>
      <c r="AB89" s="70"/>
      <c r="AD89" s="124" t="str">
        <f>IF(Y312="","",Y312)</f>
        <v/>
      </c>
    </row>
    <row r="90" spans="1:30" ht="14.1" customHeight="1">
      <c r="A90" s="21">
        <v>18</v>
      </c>
      <c r="B90" s="72"/>
      <c r="C90" s="73" t="s">
        <v>157</v>
      </c>
      <c r="D90" s="73"/>
      <c r="E90" s="73" t="s">
        <v>141</v>
      </c>
      <c r="F90" s="73"/>
      <c r="G90" s="73"/>
      <c r="H90" s="73"/>
      <c r="I90" s="73"/>
      <c r="J90" s="73"/>
      <c r="K90" s="73"/>
      <c r="L90" s="156" t="str">
        <f t="shared" si="6"/>
        <v>YES</v>
      </c>
      <c r="M90" s="112" t="str">
        <f t="shared" si="7"/>
        <v/>
      </c>
      <c r="O90" s="104">
        <v>1</v>
      </c>
      <c r="P90" s="25" t="s">
        <v>133</v>
      </c>
      <c r="Y90" s="36"/>
      <c r="AA90" s="80" t="s">
        <v>170</v>
      </c>
    </row>
    <row r="91" spans="1:30" ht="14.1" customHeight="1">
      <c r="A91" s="21">
        <v>19</v>
      </c>
      <c r="B91" s="72"/>
      <c r="C91" s="73" t="s">
        <v>159</v>
      </c>
      <c r="D91" s="73"/>
      <c r="E91" s="73" t="s">
        <v>143</v>
      </c>
      <c r="F91" s="73"/>
      <c r="G91" s="73"/>
      <c r="H91" s="73"/>
      <c r="I91" s="73"/>
      <c r="J91" s="73"/>
      <c r="K91" s="73"/>
      <c r="L91" s="156" t="str">
        <f t="shared" si="6"/>
        <v>YES</v>
      </c>
      <c r="M91" s="112" t="str">
        <f t="shared" si="7"/>
        <v/>
      </c>
      <c r="O91" s="104">
        <v>1</v>
      </c>
      <c r="P91" s="25" t="s">
        <v>136</v>
      </c>
      <c r="Y91" s="36"/>
      <c r="AA91" s="39" t="s">
        <v>173</v>
      </c>
      <c r="AB91" s="70"/>
      <c r="AD91" s="71" t="str">
        <f t="shared" ref="AD91:AD96" si="8">IF(Q351="","",Q351)</f>
        <v/>
      </c>
    </row>
    <row r="92" spans="1:30" ht="14.1" customHeight="1">
      <c r="A92" s="21">
        <v>20</v>
      </c>
      <c r="B92" s="72"/>
      <c r="C92" s="73" t="s">
        <v>162</v>
      </c>
      <c r="D92" s="73"/>
      <c r="E92" s="73" t="s">
        <v>146</v>
      </c>
      <c r="F92" s="73"/>
      <c r="G92" s="73"/>
      <c r="H92" s="73"/>
      <c r="I92" s="73"/>
      <c r="J92" s="73"/>
      <c r="K92" s="73"/>
      <c r="L92" s="156" t="str">
        <f t="shared" si="6"/>
        <v>YES</v>
      </c>
      <c r="M92" s="112" t="str">
        <f t="shared" si="7"/>
        <v/>
      </c>
      <c r="O92" s="104">
        <v>1</v>
      </c>
      <c r="P92" s="25" t="s">
        <v>138</v>
      </c>
      <c r="Y92" s="36"/>
      <c r="AA92" s="39" t="s">
        <v>176</v>
      </c>
      <c r="AB92" s="70"/>
      <c r="AD92" s="71" t="str">
        <f t="shared" si="8"/>
        <v/>
      </c>
    </row>
    <row r="93" spans="1:30" ht="14.1" customHeight="1">
      <c r="A93" s="21">
        <v>21</v>
      </c>
      <c r="B93" s="72"/>
      <c r="C93" s="73" t="s">
        <v>164</v>
      </c>
      <c r="D93" s="73"/>
      <c r="E93" s="73" t="s">
        <v>165</v>
      </c>
      <c r="F93" s="73"/>
      <c r="G93" s="73"/>
      <c r="H93" s="73"/>
      <c r="I93" s="73"/>
      <c r="J93" s="73"/>
      <c r="K93" s="73"/>
      <c r="L93" s="156" t="str">
        <f t="shared" si="6"/>
        <v>YES</v>
      </c>
      <c r="M93" s="112" t="str">
        <f t="shared" si="7"/>
        <v/>
      </c>
      <c r="O93" s="104">
        <v>1</v>
      </c>
      <c r="P93" s="25" t="s">
        <v>141</v>
      </c>
      <c r="Y93" s="36"/>
      <c r="AA93" s="39" t="s">
        <v>179</v>
      </c>
      <c r="AB93" s="70"/>
      <c r="AD93" s="71" t="str">
        <f t="shared" si="8"/>
        <v/>
      </c>
    </row>
    <row r="94" spans="1:30" ht="14.1" customHeight="1">
      <c r="A94" s="21">
        <v>22</v>
      </c>
      <c r="B94" s="72"/>
      <c r="C94" s="73" t="s">
        <v>167</v>
      </c>
      <c r="D94" s="73"/>
      <c r="E94" s="73" t="s">
        <v>168</v>
      </c>
      <c r="F94" s="73"/>
      <c r="G94" s="73"/>
      <c r="H94" s="73"/>
      <c r="I94" s="73"/>
      <c r="J94" s="73"/>
      <c r="K94" s="73"/>
      <c r="L94" s="156" t="str">
        <f t="shared" si="6"/>
        <v>YES</v>
      </c>
      <c r="M94" s="112" t="str">
        <f t="shared" si="7"/>
        <v/>
      </c>
      <c r="O94" s="104">
        <v>1</v>
      </c>
      <c r="P94" s="25" t="s">
        <v>143</v>
      </c>
      <c r="Y94" s="36"/>
      <c r="AA94" s="39" t="s">
        <v>182</v>
      </c>
      <c r="AB94" s="70"/>
      <c r="AD94" s="71" t="str">
        <f t="shared" si="8"/>
        <v/>
      </c>
    </row>
    <row r="95" spans="1:30" ht="14.1" customHeight="1">
      <c r="A95" s="21">
        <v>23</v>
      </c>
      <c r="B95" s="72"/>
      <c r="C95" s="73" t="s">
        <v>171</v>
      </c>
      <c r="D95" s="73"/>
      <c r="E95" s="73" t="s">
        <v>151</v>
      </c>
      <c r="F95" s="73"/>
      <c r="G95" s="73"/>
      <c r="H95" s="73"/>
      <c r="I95" s="73"/>
      <c r="J95" s="73"/>
      <c r="K95" s="73"/>
      <c r="L95" s="156" t="str">
        <f t="shared" si="6"/>
        <v>YES</v>
      </c>
      <c r="M95" s="112" t="str">
        <f t="shared" si="7"/>
        <v/>
      </c>
      <c r="O95" s="104">
        <v>1</v>
      </c>
      <c r="P95" s="25" t="s">
        <v>146</v>
      </c>
      <c r="Y95" s="36"/>
      <c r="AA95" s="39" t="s">
        <v>184</v>
      </c>
      <c r="AB95" s="70"/>
      <c r="AD95" s="71" t="str">
        <f t="shared" si="8"/>
        <v/>
      </c>
    </row>
    <row r="96" spans="1:30" ht="14.1" customHeight="1">
      <c r="A96" s="21">
        <v>24</v>
      </c>
      <c r="B96" s="72"/>
      <c r="C96" s="73" t="s">
        <v>174</v>
      </c>
      <c r="D96" s="73"/>
      <c r="E96" s="73" t="s">
        <v>153</v>
      </c>
      <c r="F96" s="73"/>
      <c r="G96" s="73"/>
      <c r="H96" s="73"/>
      <c r="I96" s="73"/>
      <c r="J96" s="73"/>
      <c r="K96" s="73"/>
      <c r="L96" s="156" t="str">
        <f t="shared" si="6"/>
        <v>YES</v>
      </c>
      <c r="M96" s="112" t="str">
        <f t="shared" si="7"/>
        <v/>
      </c>
      <c r="O96" s="104">
        <v>1</v>
      </c>
      <c r="P96" s="25" t="s">
        <v>148</v>
      </c>
      <c r="Y96" s="36"/>
      <c r="AA96" s="39" t="s">
        <v>185</v>
      </c>
      <c r="AB96" s="70"/>
      <c r="AD96" s="71" t="str">
        <f t="shared" si="8"/>
        <v/>
      </c>
    </row>
    <row r="97" spans="1:30" ht="14.1" customHeight="1">
      <c r="A97" s="21">
        <v>25</v>
      </c>
      <c r="B97" s="72"/>
      <c r="C97" s="73" t="s">
        <v>177</v>
      </c>
      <c r="D97" s="73"/>
      <c r="E97" s="73" t="s">
        <v>155</v>
      </c>
      <c r="F97" s="73"/>
      <c r="G97" s="73"/>
      <c r="H97" s="73"/>
      <c r="I97" s="73"/>
      <c r="J97" s="73"/>
      <c r="K97" s="73"/>
      <c r="L97" s="156" t="str">
        <f t="shared" si="6"/>
        <v>YES</v>
      </c>
      <c r="M97" s="112" t="str">
        <f t="shared" si="7"/>
        <v/>
      </c>
      <c r="O97" s="104">
        <v>1</v>
      </c>
      <c r="P97" s="25" t="s">
        <v>150</v>
      </c>
      <c r="Y97" s="36"/>
      <c r="AA97" s="39" t="s">
        <v>187</v>
      </c>
      <c r="AB97" s="70"/>
      <c r="AD97" s="71" t="str">
        <f>IF(U351="","",U351)</f>
        <v/>
      </c>
    </row>
    <row r="98" spans="1:30" ht="14.1" customHeight="1">
      <c r="A98" s="21">
        <v>26</v>
      </c>
      <c r="B98" s="72"/>
      <c r="C98" s="73" t="s">
        <v>180</v>
      </c>
      <c r="D98" s="73"/>
      <c r="E98" s="73" t="s">
        <v>156</v>
      </c>
      <c r="F98" s="73"/>
      <c r="G98" s="73"/>
      <c r="H98" s="73"/>
      <c r="I98" s="73"/>
      <c r="J98" s="73"/>
      <c r="K98" s="73"/>
      <c r="L98" s="156" t="str">
        <f t="shared" si="6"/>
        <v>YES</v>
      </c>
      <c r="M98" s="112" t="str">
        <f t="shared" si="7"/>
        <v/>
      </c>
      <c r="O98" s="104">
        <v>1</v>
      </c>
      <c r="P98" s="25" t="s">
        <v>151</v>
      </c>
      <c r="Y98" s="36"/>
      <c r="AA98" s="39" t="s">
        <v>189</v>
      </c>
      <c r="AB98" s="70"/>
      <c r="AD98" s="71" t="str">
        <f>IF(U352="","",U352)</f>
        <v/>
      </c>
    </row>
    <row r="99" spans="1:30" ht="14.1" customHeight="1">
      <c r="A99" s="21">
        <v>27</v>
      </c>
      <c r="B99" s="72"/>
      <c r="C99" s="73" t="s">
        <v>183</v>
      </c>
      <c r="D99" s="73"/>
      <c r="E99" s="73" t="s">
        <v>158</v>
      </c>
      <c r="F99" s="73"/>
      <c r="G99" s="73"/>
      <c r="H99" s="73"/>
      <c r="I99" s="73"/>
      <c r="J99" s="73"/>
      <c r="K99" s="73"/>
      <c r="L99" s="156" t="str">
        <f t="shared" si="6"/>
        <v>YES</v>
      </c>
      <c r="M99" s="112" t="str">
        <f t="shared" si="7"/>
        <v/>
      </c>
      <c r="O99" s="104">
        <v>1</v>
      </c>
      <c r="P99" s="25" t="s">
        <v>153</v>
      </c>
      <c r="Y99" s="36"/>
      <c r="AA99" s="39" t="s">
        <v>191</v>
      </c>
      <c r="AB99" s="70"/>
      <c r="AD99" s="71" t="str">
        <f>IF(U353="","",U353)</f>
        <v/>
      </c>
    </row>
    <row r="100" spans="1:30" ht="14.1" customHeight="1">
      <c r="A100" s="21">
        <v>28</v>
      </c>
      <c r="B100" s="72"/>
      <c r="C100" s="378"/>
      <c r="D100" s="73"/>
      <c r="E100" s="73" t="s">
        <v>160</v>
      </c>
      <c r="F100" s="73"/>
      <c r="G100" s="73"/>
      <c r="H100" s="73"/>
      <c r="I100" s="73"/>
      <c r="J100" s="73"/>
      <c r="K100" s="73"/>
      <c r="L100" s="156" t="str">
        <f t="shared" si="6"/>
        <v>YES</v>
      </c>
      <c r="M100" s="112" t="str">
        <f t="shared" si="7"/>
        <v/>
      </c>
      <c r="O100" s="104">
        <v>1</v>
      </c>
      <c r="P100" s="25" t="s">
        <v>155</v>
      </c>
      <c r="Y100" s="36"/>
      <c r="AA100" s="80" t="s">
        <v>194</v>
      </c>
    </row>
    <row r="101" spans="1:30" ht="14.1" customHeight="1">
      <c r="A101" s="21">
        <v>29</v>
      </c>
      <c r="B101" s="72"/>
      <c r="C101" s="73"/>
      <c r="D101" s="73"/>
      <c r="E101" s="73" t="s">
        <v>163</v>
      </c>
      <c r="F101" s="73"/>
      <c r="G101" s="73"/>
      <c r="H101" s="73"/>
      <c r="I101" s="73"/>
      <c r="J101" s="73"/>
      <c r="K101" s="73"/>
      <c r="L101" s="156" t="str">
        <f t="shared" si="6"/>
        <v>YES</v>
      </c>
      <c r="M101" s="112" t="str">
        <f t="shared" si="7"/>
        <v/>
      </c>
      <c r="O101" s="104">
        <v>1</v>
      </c>
      <c r="P101" s="25" t="s">
        <v>156</v>
      </c>
      <c r="Y101" s="36"/>
      <c r="AA101" s="39" t="s">
        <v>173</v>
      </c>
      <c r="AB101" s="70"/>
      <c r="AD101" s="71" t="str">
        <f>IF(Q367="","",Q367)</f>
        <v/>
      </c>
    </row>
    <row r="102" spans="1:30" ht="14.1" customHeight="1">
      <c r="A102" s="21">
        <v>30</v>
      </c>
      <c r="B102" s="72"/>
      <c r="C102" s="73" t="s">
        <v>188</v>
      </c>
      <c r="D102" s="73"/>
      <c r="E102" s="73" t="s">
        <v>166</v>
      </c>
      <c r="F102" s="73"/>
      <c r="G102" s="73"/>
      <c r="H102" s="73"/>
      <c r="I102" s="73"/>
      <c r="J102" s="73"/>
      <c r="K102" s="73"/>
      <c r="L102" s="156" t="str">
        <f t="shared" si="6"/>
        <v>YES</v>
      </c>
      <c r="M102" s="112" t="str">
        <f t="shared" si="7"/>
        <v/>
      </c>
      <c r="O102" s="104">
        <v>1</v>
      </c>
      <c r="P102" s="25" t="s">
        <v>158</v>
      </c>
      <c r="Y102" s="36"/>
      <c r="AA102" s="39" t="s">
        <v>176</v>
      </c>
      <c r="AB102" s="70"/>
      <c r="AD102" s="71" t="str">
        <f>IF(Q368="","",Q368)</f>
        <v/>
      </c>
    </row>
    <row r="103" spans="1:30" ht="14.1" customHeight="1">
      <c r="A103" s="21">
        <v>31</v>
      </c>
      <c r="B103" s="72"/>
      <c r="C103" s="73" t="s">
        <v>190</v>
      </c>
      <c r="D103" s="73"/>
      <c r="E103" s="73" t="s">
        <v>169</v>
      </c>
      <c r="F103" s="73"/>
      <c r="G103" s="73"/>
      <c r="H103" s="73"/>
      <c r="I103" s="73"/>
      <c r="J103" s="73"/>
      <c r="K103" s="73"/>
      <c r="L103" s="156" t="str">
        <f t="shared" si="6"/>
        <v>NA</v>
      </c>
      <c r="M103" s="112" t="str">
        <f t="shared" si="7"/>
        <v/>
      </c>
      <c r="O103" s="104">
        <v>1</v>
      </c>
      <c r="P103" s="25" t="s">
        <v>160</v>
      </c>
      <c r="Y103" s="36"/>
      <c r="AA103" s="39" t="s">
        <v>187</v>
      </c>
      <c r="AB103" s="70"/>
      <c r="AD103" s="71" t="str">
        <f>IF(Q369="","",Q369)</f>
        <v/>
      </c>
    </row>
    <row r="104" spans="1:30" ht="14.1" customHeight="1">
      <c r="A104" s="21">
        <v>32</v>
      </c>
      <c r="B104" s="72"/>
      <c r="C104" s="73" t="s">
        <v>192</v>
      </c>
      <c r="D104" s="73"/>
      <c r="E104" s="73" t="s">
        <v>193</v>
      </c>
      <c r="F104" s="73"/>
      <c r="G104" s="73"/>
      <c r="H104" s="73"/>
      <c r="I104" s="73"/>
      <c r="J104" s="73"/>
      <c r="K104" s="73"/>
      <c r="L104" s="156" t="str">
        <f t="shared" si="6"/>
        <v>NA</v>
      </c>
      <c r="M104" s="112" t="str">
        <f t="shared" si="7"/>
        <v/>
      </c>
      <c r="O104" s="104">
        <v>1</v>
      </c>
      <c r="P104" s="25" t="s">
        <v>163</v>
      </c>
      <c r="Y104" s="36"/>
      <c r="AA104" s="39" t="s">
        <v>189</v>
      </c>
      <c r="AB104" s="70"/>
      <c r="AD104" s="71" t="str">
        <f>IF(Q370="","",Q370)</f>
        <v/>
      </c>
    </row>
    <row r="105" spans="1:30" ht="14.1" customHeight="1">
      <c r="A105" s="21">
        <v>33</v>
      </c>
      <c r="B105" s="72"/>
      <c r="C105" s="73" t="s">
        <v>195</v>
      </c>
      <c r="D105" s="73"/>
      <c r="E105" s="73" t="s">
        <v>175</v>
      </c>
      <c r="F105" s="73"/>
      <c r="G105" s="73"/>
      <c r="H105" s="73"/>
      <c r="I105" s="73"/>
      <c r="J105" s="73"/>
      <c r="K105" s="73"/>
      <c r="L105" s="156" t="str">
        <f t="shared" si="6"/>
        <v>NA</v>
      </c>
      <c r="M105" s="112" t="str">
        <f t="shared" si="7"/>
        <v/>
      </c>
      <c r="O105" s="104">
        <v>1</v>
      </c>
      <c r="P105" s="25" t="s">
        <v>166</v>
      </c>
      <c r="Y105" s="36"/>
      <c r="AA105" s="39" t="s">
        <v>191</v>
      </c>
      <c r="AB105" s="70"/>
      <c r="AD105" s="71" t="str">
        <f>IF(Q371="","",Q371)</f>
        <v/>
      </c>
    </row>
    <row r="106" spans="1:30" ht="14.1" customHeight="1">
      <c r="A106" s="21">
        <v>34</v>
      </c>
      <c r="B106" s="72"/>
      <c r="C106" s="73" t="s">
        <v>196</v>
      </c>
      <c r="D106" s="73"/>
      <c r="E106" s="73" t="s">
        <v>178</v>
      </c>
      <c r="F106" s="73"/>
      <c r="G106" s="73"/>
      <c r="H106" s="73"/>
      <c r="I106" s="73"/>
      <c r="J106" s="73"/>
      <c r="K106" s="73"/>
      <c r="L106" s="156" t="str">
        <f t="shared" si="6"/>
        <v>YES</v>
      </c>
      <c r="M106" s="112" t="str">
        <f t="shared" si="7"/>
        <v/>
      </c>
      <c r="O106" s="104">
        <v>3</v>
      </c>
      <c r="P106" s="25" t="s">
        <v>169</v>
      </c>
      <c r="Y106" s="36"/>
      <c r="AA106" s="39" t="s">
        <v>173</v>
      </c>
      <c r="AB106" s="70"/>
      <c r="AD106" s="71" t="str">
        <f>IF(R367="","",R367)</f>
        <v/>
      </c>
    </row>
    <row r="107" spans="1:30" ht="14.1" customHeight="1">
      <c r="A107" s="21">
        <v>35</v>
      </c>
      <c r="B107" s="72"/>
      <c r="C107" s="73" t="s">
        <v>197</v>
      </c>
      <c r="D107" s="73"/>
      <c r="E107" s="73" t="s">
        <v>181</v>
      </c>
      <c r="F107" s="73"/>
      <c r="G107" s="73"/>
      <c r="H107" s="73"/>
      <c r="I107" s="73"/>
      <c r="J107" s="73"/>
      <c r="K107" s="73"/>
      <c r="L107" s="156" t="str">
        <f t="shared" si="6"/>
        <v>YES</v>
      </c>
      <c r="M107" s="112" t="str">
        <f t="shared" si="7"/>
        <v/>
      </c>
      <c r="O107" s="104">
        <v>3</v>
      </c>
      <c r="P107" s="25" t="s">
        <v>172</v>
      </c>
      <c r="Y107" s="36"/>
      <c r="AA107" s="39" t="s">
        <v>176</v>
      </c>
      <c r="AB107" s="70"/>
      <c r="AD107" s="71" t="str">
        <f>IF(R368="","",R368)</f>
        <v/>
      </c>
    </row>
    <row r="108" spans="1:30" ht="14.1" customHeight="1">
      <c r="A108" s="21">
        <v>36</v>
      </c>
      <c r="B108" s="72"/>
      <c r="C108" s="73"/>
      <c r="D108" s="73"/>
      <c r="E108" s="73"/>
      <c r="F108" s="73"/>
      <c r="G108" s="73"/>
      <c r="H108" s="73"/>
      <c r="I108" s="73"/>
      <c r="J108" s="73"/>
      <c r="K108" s="73"/>
      <c r="L108" s="73"/>
      <c r="M108" s="74"/>
      <c r="O108" s="104">
        <v>3</v>
      </c>
      <c r="P108" s="25" t="s">
        <v>175</v>
      </c>
      <c r="Y108" s="36"/>
      <c r="AA108" s="39" t="s">
        <v>187</v>
      </c>
      <c r="AB108" s="70"/>
      <c r="AD108" s="71" t="str">
        <f>IF(R369="","",R369)</f>
        <v/>
      </c>
    </row>
    <row r="109" spans="1:30" ht="14.1" customHeight="1">
      <c r="A109" s="21">
        <v>37</v>
      </c>
      <c r="B109" s="72"/>
      <c r="C109" s="73"/>
      <c r="D109" s="73"/>
      <c r="E109" s="73" t="s">
        <v>522</v>
      </c>
      <c r="F109" s="73"/>
      <c r="G109" s="73"/>
      <c r="H109" s="73"/>
      <c r="I109" s="73"/>
      <c r="J109" s="73"/>
      <c r="K109" s="73"/>
      <c r="L109" s="156" t="str">
        <f t="shared" ref="L109:L125" si="9">IF(O45="","TBD",IF(O45=1,"YES",IF(O45=3,"NA","")))</f>
        <v>YES</v>
      </c>
      <c r="M109" s="112" t="str">
        <f t="shared" ref="M109:M125" si="10">IF(O45=2,"NO","")</f>
        <v/>
      </c>
      <c r="O109" s="104">
        <v>1</v>
      </c>
      <c r="P109" s="25" t="s">
        <v>178</v>
      </c>
      <c r="Y109" s="36"/>
      <c r="AA109" s="39" t="s">
        <v>189</v>
      </c>
      <c r="AB109" s="70"/>
      <c r="AD109" s="71" t="str">
        <f>IF(R370="","",R370)</f>
        <v/>
      </c>
    </row>
    <row r="110" spans="1:30" ht="14.1" customHeight="1">
      <c r="A110" s="21">
        <v>38</v>
      </c>
      <c r="B110" s="72"/>
      <c r="C110" s="73"/>
      <c r="D110" s="73"/>
      <c r="E110" s="73" t="s">
        <v>523</v>
      </c>
      <c r="F110" s="73"/>
      <c r="G110" s="73"/>
      <c r="H110" s="73"/>
      <c r="I110" s="73"/>
      <c r="J110" s="73"/>
      <c r="K110" s="73"/>
      <c r="L110" s="156" t="str">
        <f t="shared" si="9"/>
        <v>YES</v>
      </c>
      <c r="M110" s="112" t="str">
        <f t="shared" si="10"/>
        <v/>
      </c>
      <c r="O110" s="104">
        <v>1</v>
      </c>
      <c r="P110" s="25" t="s">
        <v>181</v>
      </c>
      <c r="Y110" s="36"/>
      <c r="AA110" s="39" t="s">
        <v>191</v>
      </c>
      <c r="AB110" s="70"/>
      <c r="AD110" s="71" t="str">
        <f>IF(R371="","",R371)</f>
        <v/>
      </c>
    </row>
    <row r="111" spans="1:30" ht="14.1" customHeight="1">
      <c r="A111" s="21">
        <v>39</v>
      </c>
      <c r="B111" s="72"/>
      <c r="C111" s="73"/>
      <c r="D111" s="73"/>
      <c r="E111" s="73" t="s">
        <v>524</v>
      </c>
      <c r="F111" s="73"/>
      <c r="G111" s="73"/>
      <c r="H111" s="73"/>
      <c r="I111" s="73"/>
      <c r="J111" s="73"/>
      <c r="K111" s="73"/>
      <c r="L111" s="156" t="str">
        <f t="shared" si="9"/>
        <v>YES</v>
      </c>
      <c r="M111" s="112" t="str">
        <f t="shared" si="10"/>
        <v/>
      </c>
      <c r="O111" s="545"/>
      <c r="T111" s="80" t="s">
        <v>552</v>
      </c>
      <c r="Y111" s="36"/>
      <c r="AA111" s="39" t="s">
        <v>173</v>
      </c>
      <c r="AB111" s="70"/>
      <c r="AD111" s="71" t="str">
        <f>IF(S367="","",S367)</f>
        <v/>
      </c>
    </row>
    <row r="112" spans="1:30" ht="14.1" customHeight="1">
      <c r="A112" s="21">
        <v>40</v>
      </c>
      <c r="B112" s="72"/>
      <c r="C112" s="73"/>
      <c r="D112" s="73"/>
      <c r="E112" s="73" t="s">
        <v>525</v>
      </c>
      <c r="F112" s="73"/>
      <c r="G112" s="73"/>
      <c r="H112" s="73"/>
      <c r="I112" s="73"/>
      <c r="J112" s="73"/>
      <c r="K112" s="73"/>
      <c r="L112" s="156" t="str">
        <f t="shared" si="9"/>
        <v>YES</v>
      </c>
      <c r="M112" s="112" t="str">
        <f t="shared" si="10"/>
        <v/>
      </c>
      <c r="O112" s="104">
        <v>1</v>
      </c>
      <c r="P112" s="73" t="s">
        <v>553</v>
      </c>
      <c r="Y112" s="36"/>
      <c r="AA112" s="39" t="s">
        <v>176</v>
      </c>
      <c r="AB112" s="70"/>
      <c r="AD112" s="71" t="str">
        <f>IF(S368="","",S368)</f>
        <v/>
      </c>
    </row>
    <row r="113" spans="1:30" ht="14.1" customHeight="1">
      <c r="A113" s="21">
        <v>41</v>
      </c>
      <c r="B113" s="72"/>
      <c r="C113" s="73"/>
      <c r="D113" s="73"/>
      <c r="E113" s="73" t="s">
        <v>526</v>
      </c>
      <c r="F113" s="73"/>
      <c r="G113" s="73"/>
      <c r="H113" s="73"/>
      <c r="I113" s="73"/>
      <c r="J113" s="73"/>
      <c r="K113" s="73"/>
      <c r="L113" s="156" t="str">
        <f t="shared" si="9"/>
        <v>YES</v>
      </c>
      <c r="M113" s="112" t="str">
        <f t="shared" si="10"/>
        <v/>
      </c>
      <c r="O113" s="104">
        <v>1</v>
      </c>
      <c r="P113" s="73" t="s">
        <v>554</v>
      </c>
      <c r="Y113" s="36"/>
      <c r="AA113" s="39" t="s">
        <v>187</v>
      </c>
      <c r="AB113" s="70"/>
      <c r="AD113" s="71" t="str">
        <f>IF(S369="","",S369)</f>
        <v/>
      </c>
    </row>
    <row r="114" spans="1:30" ht="14.1" customHeight="1">
      <c r="A114" s="21">
        <v>42</v>
      </c>
      <c r="B114" s="72"/>
      <c r="C114" s="73"/>
      <c r="D114" s="73"/>
      <c r="E114" s="73" t="s">
        <v>527</v>
      </c>
      <c r="F114" s="73"/>
      <c r="G114" s="73"/>
      <c r="H114" s="73"/>
      <c r="I114" s="73"/>
      <c r="J114" s="73"/>
      <c r="K114" s="73"/>
      <c r="L114" s="156" t="str">
        <f t="shared" si="9"/>
        <v>YES</v>
      </c>
      <c r="M114" s="112" t="str">
        <f t="shared" si="10"/>
        <v/>
      </c>
      <c r="O114" s="104">
        <v>1</v>
      </c>
      <c r="P114" s="73" t="s">
        <v>555</v>
      </c>
      <c r="Y114" s="36"/>
      <c r="AA114" s="39" t="s">
        <v>189</v>
      </c>
      <c r="AB114" s="70"/>
      <c r="AD114" s="71" t="str">
        <f>IF(S370="","",S370)</f>
        <v/>
      </c>
    </row>
    <row r="115" spans="1:30" ht="14.1" customHeight="1">
      <c r="A115" s="21">
        <v>43</v>
      </c>
      <c r="B115" s="72"/>
      <c r="C115" s="73"/>
      <c r="D115" s="73"/>
      <c r="E115" s="73" t="s">
        <v>528</v>
      </c>
      <c r="F115" s="73"/>
      <c r="G115" s="73"/>
      <c r="H115" s="73"/>
      <c r="I115" s="73"/>
      <c r="J115" s="73"/>
      <c r="K115" s="73"/>
      <c r="L115" s="156" t="str">
        <f t="shared" si="9"/>
        <v>YES</v>
      </c>
      <c r="M115" s="112" t="str">
        <f t="shared" si="10"/>
        <v/>
      </c>
      <c r="O115" s="104">
        <v>1</v>
      </c>
      <c r="P115" s="73" t="s">
        <v>556</v>
      </c>
      <c r="Y115" s="36"/>
      <c r="AA115" s="39" t="s">
        <v>191</v>
      </c>
      <c r="AB115" s="70"/>
      <c r="AD115" s="71" t="str">
        <f>IF(S371="","",S371)</f>
        <v/>
      </c>
    </row>
    <row r="116" spans="1:30" ht="14.1" customHeight="1">
      <c r="A116" s="21">
        <v>44</v>
      </c>
      <c r="B116" s="72"/>
      <c r="C116" s="73"/>
      <c r="D116" s="73"/>
      <c r="E116" s="73" t="s">
        <v>529</v>
      </c>
      <c r="F116" s="73"/>
      <c r="G116" s="73"/>
      <c r="H116" s="73"/>
      <c r="I116" s="73"/>
      <c r="J116" s="73"/>
      <c r="K116" s="73"/>
      <c r="L116" s="156" t="str">
        <f t="shared" si="9"/>
        <v>YES</v>
      </c>
      <c r="M116" s="112" t="str">
        <f t="shared" si="10"/>
        <v/>
      </c>
      <c r="O116" s="104">
        <v>1</v>
      </c>
      <c r="P116" s="73" t="s">
        <v>557</v>
      </c>
      <c r="Y116" s="36"/>
      <c r="AA116" s="39" t="s">
        <v>198</v>
      </c>
      <c r="AB116" s="70"/>
      <c r="AD116" s="71" t="str">
        <f>IF(U380="","",U380)</f>
        <v/>
      </c>
    </row>
    <row r="117" spans="1:30" ht="14.1" customHeight="1" thickBot="1">
      <c r="A117" s="21">
        <v>45</v>
      </c>
      <c r="B117" s="72"/>
      <c r="C117" s="73"/>
      <c r="D117" s="73"/>
      <c r="E117" s="73" t="s">
        <v>530</v>
      </c>
      <c r="F117" s="73"/>
      <c r="G117" s="73"/>
      <c r="H117" s="73"/>
      <c r="I117" s="73"/>
      <c r="J117" s="73"/>
      <c r="K117" s="73"/>
      <c r="L117" s="156" t="str">
        <f t="shared" si="9"/>
        <v>YES</v>
      </c>
      <c r="M117" s="112" t="str">
        <f t="shared" si="10"/>
        <v/>
      </c>
      <c r="O117" s="44"/>
      <c r="P117" s="45"/>
      <c r="Q117" s="45"/>
      <c r="R117" s="45"/>
      <c r="S117" s="45"/>
      <c r="T117" s="45"/>
      <c r="U117" s="45"/>
      <c r="V117" s="45"/>
      <c r="W117" s="45"/>
      <c r="X117" s="45"/>
      <c r="Y117" s="46"/>
      <c r="AA117" s="39" t="s">
        <v>199</v>
      </c>
      <c r="AB117" s="70"/>
      <c r="AD117" s="71" t="str">
        <f>IF(U381="","",U381)</f>
        <v/>
      </c>
    </row>
    <row r="118" spans="1:30" ht="14.1" customHeight="1">
      <c r="A118" s="21">
        <v>46</v>
      </c>
      <c r="B118" s="72"/>
      <c r="C118" s="73"/>
      <c r="D118" s="73"/>
      <c r="E118" s="73" t="s">
        <v>531</v>
      </c>
      <c r="F118" s="73"/>
      <c r="G118" s="73"/>
      <c r="H118" s="73"/>
      <c r="I118" s="73"/>
      <c r="J118" s="73"/>
      <c r="K118" s="73"/>
      <c r="L118" s="156" t="str">
        <f t="shared" si="9"/>
        <v>YES</v>
      </c>
      <c r="M118" s="112" t="str">
        <f t="shared" si="10"/>
        <v/>
      </c>
    </row>
    <row r="119" spans="1:30" ht="14.1" customHeight="1" thickBot="1">
      <c r="A119" s="21">
        <v>47</v>
      </c>
      <c r="B119" s="72"/>
      <c r="C119" s="73"/>
      <c r="D119" s="73"/>
      <c r="E119" s="73" t="s">
        <v>532</v>
      </c>
      <c r="F119" s="73"/>
      <c r="G119" s="73"/>
      <c r="H119" s="73"/>
      <c r="I119" s="73"/>
      <c r="J119" s="73"/>
      <c r="K119" s="73"/>
      <c r="L119" s="156" t="str">
        <f t="shared" si="9"/>
        <v>YES</v>
      </c>
      <c r="M119" s="112" t="str">
        <f t="shared" si="10"/>
        <v/>
      </c>
      <c r="T119" s="58" t="s">
        <v>186</v>
      </c>
    </row>
    <row r="120" spans="1:30" ht="14.1" customHeight="1" thickBot="1">
      <c r="A120" s="21">
        <v>48</v>
      </c>
      <c r="B120" s="72"/>
      <c r="C120" s="73"/>
      <c r="D120" s="73"/>
      <c r="E120" s="73" t="s">
        <v>533</v>
      </c>
      <c r="F120" s="73"/>
      <c r="G120" s="73"/>
      <c r="H120" s="73"/>
      <c r="I120" s="73"/>
      <c r="J120" s="73"/>
      <c r="K120" s="73"/>
      <c r="L120" s="156" t="str">
        <f t="shared" si="9"/>
        <v>YES</v>
      </c>
      <c r="M120" s="112" t="str">
        <f t="shared" si="10"/>
        <v/>
      </c>
      <c r="O120" s="67"/>
      <c r="P120" s="27"/>
      <c r="Q120" s="27"/>
      <c r="R120" s="27"/>
      <c r="S120" s="27"/>
      <c r="T120" s="27"/>
      <c r="U120" s="27"/>
      <c r="V120" s="27"/>
      <c r="W120" s="27"/>
      <c r="X120" s="27"/>
      <c r="Y120" s="28"/>
    </row>
    <row r="121" spans="1:30" ht="14.1" customHeight="1">
      <c r="A121" s="21">
        <v>49</v>
      </c>
      <c r="B121" s="72"/>
      <c r="C121" s="73"/>
      <c r="D121" s="73"/>
      <c r="E121" s="73" t="s">
        <v>534</v>
      </c>
      <c r="F121" s="73"/>
      <c r="G121" s="73"/>
      <c r="H121" s="73"/>
      <c r="I121" s="73"/>
      <c r="J121" s="73"/>
      <c r="K121" s="73"/>
      <c r="L121" s="156" t="str">
        <f t="shared" si="9"/>
        <v>YES</v>
      </c>
      <c r="M121" s="112" t="str">
        <f t="shared" si="10"/>
        <v/>
      </c>
      <c r="O121" s="88" t="s">
        <v>64</v>
      </c>
      <c r="P121" s="766" t="s">
        <v>65</v>
      </c>
      <c r="Q121" s="767"/>
      <c r="R121" s="768"/>
      <c r="S121" s="766" t="s">
        <v>539</v>
      </c>
      <c r="T121" s="767"/>
      <c r="U121" s="768"/>
      <c r="V121" s="766" t="s">
        <v>67</v>
      </c>
      <c r="W121" s="767"/>
      <c r="X121" s="772"/>
      <c r="Y121" s="36"/>
    </row>
    <row r="122" spans="1:30" ht="14.1" customHeight="1">
      <c r="A122" s="21">
        <v>50</v>
      </c>
      <c r="B122" s="72"/>
      <c r="C122" s="73"/>
      <c r="D122" s="73"/>
      <c r="E122" s="73" t="s">
        <v>535</v>
      </c>
      <c r="F122" s="73"/>
      <c r="G122" s="73"/>
      <c r="H122" s="73"/>
      <c r="I122" s="73"/>
      <c r="J122" s="73"/>
      <c r="K122" s="73"/>
      <c r="L122" s="156" t="str">
        <f t="shared" si="9"/>
        <v>YES</v>
      </c>
      <c r="M122" s="112" t="str">
        <f t="shared" si="10"/>
        <v/>
      </c>
      <c r="O122" s="89" t="s">
        <v>68</v>
      </c>
      <c r="P122" s="769"/>
      <c r="Q122" s="770"/>
      <c r="R122" s="771"/>
      <c r="S122" s="769"/>
      <c r="T122" s="770"/>
      <c r="U122" s="771"/>
      <c r="V122" s="769"/>
      <c r="W122" s="770"/>
      <c r="X122" s="773"/>
      <c r="Y122" s="36"/>
    </row>
    <row r="123" spans="1:30" ht="14.1" customHeight="1" thickBot="1">
      <c r="A123" s="21">
        <v>51</v>
      </c>
      <c r="B123" s="72"/>
      <c r="C123" s="73"/>
      <c r="D123" s="73"/>
      <c r="E123" s="73" t="s">
        <v>536</v>
      </c>
      <c r="F123" s="73"/>
      <c r="G123" s="73"/>
      <c r="H123" s="73"/>
      <c r="I123" s="73"/>
      <c r="J123" s="73"/>
      <c r="K123" s="73"/>
      <c r="L123" s="156" t="str">
        <f t="shared" si="9"/>
        <v>YES</v>
      </c>
      <c r="M123" s="112" t="str">
        <f t="shared" si="10"/>
        <v/>
      </c>
      <c r="O123" s="89" t="s">
        <v>70</v>
      </c>
      <c r="P123" s="93" t="s">
        <v>71</v>
      </c>
      <c r="Q123" s="94" t="s">
        <v>25</v>
      </c>
      <c r="R123" s="95" t="s">
        <v>72</v>
      </c>
      <c r="S123" s="93" t="s">
        <v>71</v>
      </c>
      <c r="T123" s="94" t="s">
        <v>25</v>
      </c>
      <c r="U123" s="95" t="s">
        <v>72</v>
      </c>
      <c r="V123" s="93" t="s">
        <v>71</v>
      </c>
      <c r="W123" s="94" t="s">
        <v>25</v>
      </c>
      <c r="X123" s="95" t="s">
        <v>72</v>
      </c>
      <c r="Y123" s="36"/>
    </row>
    <row r="124" spans="1:30" ht="14.1" customHeight="1" thickTop="1">
      <c r="A124" s="21">
        <v>52</v>
      </c>
      <c r="B124" s="72"/>
      <c r="C124" s="73"/>
      <c r="D124" s="73"/>
      <c r="E124" s="73" t="s">
        <v>537</v>
      </c>
      <c r="F124" s="73"/>
      <c r="G124" s="73"/>
      <c r="H124" s="73"/>
      <c r="I124" s="73"/>
      <c r="J124" s="73"/>
      <c r="K124" s="73"/>
      <c r="L124" s="156" t="str">
        <f t="shared" si="9"/>
        <v>YES</v>
      </c>
      <c r="M124" s="112" t="str">
        <f t="shared" si="10"/>
        <v/>
      </c>
      <c r="O124" s="96" t="s">
        <v>74</v>
      </c>
      <c r="P124" s="126" t="str">
        <f>IF(P132&lt;&gt;"",P132,IF(AB46="","",AB46))</f>
        <v/>
      </c>
      <c r="Q124" s="127" t="str">
        <f>IF(Q132&lt;&gt;"",Q132,IF(AB47="","",AB47))</f>
        <v/>
      </c>
      <c r="R124" s="128" t="str">
        <f>IF(R132&lt;&gt;"",R132,IF(AB48="","",AB48))</f>
        <v/>
      </c>
      <c r="S124" s="126" t="str">
        <f>IF(S132&lt;&gt;"",S132,IF(AB59="","",AB59))</f>
        <v/>
      </c>
      <c r="T124" s="127" t="str">
        <f>IF(T132&lt;&gt;"",T132,IF(AB60="","",AB60))</f>
        <v/>
      </c>
      <c r="U124" s="128" t="str">
        <f>IF(U132&lt;&gt;"",U132,IF(AB61="","",AB61))</f>
        <v/>
      </c>
      <c r="V124" s="126" t="str">
        <f>IF(V132&lt;&gt;"",V132,IF(AB72="","",AB72))</f>
        <v/>
      </c>
      <c r="W124" s="127" t="str">
        <f>IF(W132&lt;&gt;"",W132,IF(AB73="","",AB73))</f>
        <v/>
      </c>
      <c r="X124" s="128" t="str">
        <f>IF(X132&lt;&gt;"",X132,IF(AB74="","",AB74))</f>
        <v/>
      </c>
      <c r="Y124" s="36"/>
    </row>
    <row r="125" spans="1:30" ht="14.1" customHeight="1">
      <c r="A125" s="21">
        <v>53</v>
      </c>
      <c r="B125" s="72"/>
      <c r="C125" s="73"/>
      <c r="D125" s="73"/>
      <c r="E125" s="73" t="s">
        <v>538</v>
      </c>
      <c r="F125" s="73"/>
      <c r="G125" s="73"/>
      <c r="H125" s="73"/>
      <c r="I125" s="73"/>
      <c r="J125" s="73"/>
      <c r="K125" s="73"/>
      <c r="L125" s="156" t="str">
        <f t="shared" si="9"/>
        <v>YES</v>
      </c>
      <c r="M125" s="112" t="str">
        <f t="shared" si="10"/>
        <v/>
      </c>
      <c r="O125" s="101" t="s">
        <v>77</v>
      </c>
      <c r="P125" s="129" t="str">
        <f>IF(P133&lt;&gt;"",P133,IF(AB49="","",AB49))</f>
        <v/>
      </c>
      <c r="Q125" s="130" t="str">
        <f>IF(Q133&lt;&gt;"",Q133,IF(AB50="","",AB50))</f>
        <v/>
      </c>
      <c r="R125" s="131" t="str">
        <f>IF(R133&lt;&gt;"",R133,IF(AB51="","",AB51))</f>
        <v/>
      </c>
      <c r="S125" s="129" t="str">
        <f>IF(S133&lt;&gt;"",S133,IF(AB60="","",AB60))</f>
        <v/>
      </c>
      <c r="T125" s="130" t="str">
        <f>IF(T133&lt;&gt;"",T133,IF(AB63="","",AB63))</f>
        <v/>
      </c>
      <c r="U125" s="131" t="str">
        <f>IF(U133&lt;&gt;"",U133,IF(AB64="","",AB64))</f>
        <v/>
      </c>
      <c r="V125" s="129" t="str">
        <f>IF(V133&lt;&gt;"",V133,IF(AB75="","",AB75))</f>
        <v/>
      </c>
      <c r="W125" s="130" t="str">
        <f>IF(W133&lt;&gt;"",W133,IF(AB76="","",AB76))</f>
        <v/>
      </c>
      <c r="X125" s="131" t="str">
        <f>IF(X133&lt;&gt;"",X133,IF(AB77="","",AB77))</f>
        <v/>
      </c>
      <c r="Y125" s="36"/>
    </row>
    <row r="126" spans="1:30" ht="14.1" customHeight="1">
      <c r="A126" s="21">
        <v>54</v>
      </c>
      <c r="B126" s="72"/>
      <c r="C126" s="73"/>
      <c r="D126" s="73"/>
      <c r="E126" s="73"/>
      <c r="F126" s="73"/>
      <c r="G126" s="73"/>
      <c r="H126" s="73"/>
      <c r="I126" s="73"/>
      <c r="J126" s="73"/>
      <c r="K126" s="73"/>
      <c r="L126" s="73"/>
      <c r="M126" s="74"/>
      <c r="O126" s="101" t="s">
        <v>80</v>
      </c>
      <c r="P126" s="129" t="str">
        <f>IF(P134&lt;&gt;"",P134,IF(AB52="","",AB52))</f>
        <v/>
      </c>
      <c r="Q126" s="130" t="str">
        <f>IF(Q134&lt;&gt;"",Q134,IF(AB53="","",AB53))</f>
        <v/>
      </c>
      <c r="R126" s="131" t="str">
        <f>IF(R134&lt;&gt;"",R134,IF(AB54="","",AB54))</f>
        <v/>
      </c>
      <c r="S126" s="129" t="str">
        <f>IF(S134&lt;&gt;"",S134,IF(AB61="","",AB61))</f>
        <v/>
      </c>
      <c r="T126" s="130" t="str">
        <f>IF(T134&lt;&gt;"",T134,IF(AB66="","",AB66))</f>
        <v/>
      </c>
      <c r="U126" s="131" t="str">
        <f>IF(U134&lt;&gt;"",U134,IF(AB67="","",AB67))</f>
        <v/>
      </c>
      <c r="V126" s="129" t="str">
        <f>IF(V134&lt;&gt;"",V134,IF(AB78="","",AB78))</f>
        <v/>
      </c>
      <c r="W126" s="130" t="str">
        <f>IF(W134&lt;&gt;"",W134,IF(AB79="","",AB79))</f>
        <v/>
      </c>
      <c r="X126" s="131" t="str">
        <f>IF(X134&lt;&gt;"",X134,IF(AB80="","",AB80))</f>
        <v/>
      </c>
      <c r="Y126" s="36"/>
    </row>
    <row r="127" spans="1:30" ht="14.1" customHeight="1" thickBot="1">
      <c r="A127" s="21">
        <v>55</v>
      </c>
      <c r="B127" s="72"/>
      <c r="C127" s="73"/>
      <c r="D127" s="73"/>
      <c r="E127" s="378"/>
      <c r="F127" s="73"/>
      <c r="G127" s="73"/>
      <c r="H127" s="549" t="s">
        <v>552</v>
      </c>
      <c r="I127" s="73"/>
      <c r="J127" s="73"/>
      <c r="K127" s="73"/>
      <c r="L127" s="73"/>
      <c r="M127" s="74"/>
      <c r="O127" s="105" t="s">
        <v>83</v>
      </c>
      <c r="P127" s="132" t="str">
        <f>IF(P135&lt;&gt;"",P135,IF(AB55="","",AB55))</f>
        <v/>
      </c>
      <c r="Q127" s="133" t="str">
        <f>IF(Q135&lt;&gt;"",Q135,IF(AB56="","",AB56))</f>
        <v/>
      </c>
      <c r="R127" s="134" t="str">
        <f>IF(R135&lt;&gt;"",R135,IF(AB57="","",AB57))</f>
        <v/>
      </c>
      <c r="S127" s="132" t="str">
        <f>IF(S135&lt;&gt;"",S135,IF(AB62="","",AB62))</f>
        <v/>
      </c>
      <c r="T127" s="133" t="str">
        <f>IF(T135&lt;&gt;"",T135,IF(AB69="","",AB69))</f>
        <v/>
      </c>
      <c r="U127" s="134" t="str">
        <f>IF(U135&lt;&gt;"",U135,IF(AB70="","",AB70))</f>
        <v/>
      </c>
      <c r="V127" s="132" t="str">
        <f>IF(V135&lt;&gt;"",V135,IF(AB81="","",AB81))</f>
        <v/>
      </c>
      <c r="W127" s="133" t="str">
        <f>IF(W135&lt;&gt;"",W135,IF(AB82="","",AB82))</f>
        <v/>
      </c>
      <c r="X127" s="134" t="str">
        <f>IF(X135&lt;&gt;"",X135,IF(AB83="","",AB83))</f>
        <v/>
      </c>
      <c r="Y127" s="36"/>
    </row>
    <row r="128" spans="1:30" ht="14.1" customHeight="1" thickBot="1">
      <c r="A128" s="21">
        <v>56</v>
      </c>
      <c r="B128" s="72"/>
      <c r="C128" s="73"/>
      <c r="D128" s="73"/>
      <c r="E128" s="73" t="s">
        <v>553</v>
      </c>
      <c r="F128" s="73"/>
      <c r="G128" s="73"/>
      <c r="H128" s="73"/>
      <c r="I128" s="73"/>
      <c r="J128" s="73"/>
      <c r="K128" s="73"/>
      <c r="L128" s="156" t="str">
        <f>IF(O112="","TBD",IF(O112=1,"YES",IF(O112=3,"NA","")))</f>
        <v>YES</v>
      </c>
      <c r="M128" s="112" t="str">
        <f>IF(O112=2,"NO","")</f>
        <v/>
      </c>
      <c r="O128" s="34"/>
      <c r="Y128" s="36"/>
    </row>
    <row r="129" spans="1:25" ht="14.1" customHeight="1">
      <c r="A129" s="21">
        <v>57</v>
      </c>
      <c r="B129" s="72"/>
      <c r="C129" s="73"/>
      <c r="D129" s="73"/>
      <c r="E129" s="73" t="s">
        <v>554</v>
      </c>
      <c r="F129" s="73"/>
      <c r="G129" s="73"/>
      <c r="H129" s="73"/>
      <c r="I129" s="73"/>
      <c r="J129" s="73"/>
      <c r="K129" s="73"/>
      <c r="L129" s="156" t="str">
        <f>IF(O113="","TBD",IF(O113=1,"YES",IF(O113=3,"NA","")))</f>
        <v>YES</v>
      </c>
      <c r="M129" s="112" t="str">
        <f>IF(O113=2,"NO","")</f>
        <v/>
      </c>
      <c r="O129" s="88" t="s">
        <v>64</v>
      </c>
      <c r="P129" s="766" t="s">
        <v>65</v>
      </c>
      <c r="Q129" s="767"/>
      <c r="R129" s="768"/>
      <c r="S129" s="766" t="s">
        <v>539</v>
      </c>
      <c r="T129" s="767"/>
      <c r="U129" s="768"/>
      <c r="V129" s="775" t="s">
        <v>67</v>
      </c>
      <c r="W129" s="776"/>
      <c r="X129" s="777"/>
      <c r="Y129" s="36"/>
    </row>
    <row r="130" spans="1:25" ht="14.1" customHeight="1">
      <c r="A130" s="21">
        <v>58</v>
      </c>
      <c r="B130" s="72"/>
      <c r="C130" s="73"/>
      <c r="D130" s="73"/>
      <c r="E130" s="73" t="s">
        <v>555</v>
      </c>
      <c r="F130" s="73"/>
      <c r="G130" s="73"/>
      <c r="H130" s="73"/>
      <c r="I130" s="73"/>
      <c r="J130" s="73"/>
      <c r="K130" s="73"/>
      <c r="L130" s="156" t="str">
        <f>IF(O114="","TBD",IF(O114=1,"YES",IF(O114=3,"NA","")))</f>
        <v>YES</v>
      </c>
      <c r="M130" s="112" t="str">
        <f>IF(O114=2,"NO","")</f>
        <v/>
      </c>
      <c r="O130" s="89" t="s">
        <v>68</v>
      </c>
      <c r="P130" s="769"/>
      <c r="Q130" s="770"/>
      <c r="R130" s="771"/>
      <c r="S130" s="769"/>
      <c r="T130" s="770"/>
      <c r="U130" s="771"/>
      <c r="V130" s="778"/>
      <c r="W130" s="754"/>
      <c r="X130" s="779"/>
      <c r="Y130" s="36"/>
    </row>
    <row r="131" spans="1:25" ht="14.1" customHeight="1" thickBot="1">
      <c r="A131" s="21">
        <v>59</v>
      </c>
      <c r="B131" s="72"/>
      <c r="C131" s="73"/>
      <c r="D131" s="73"/>
      <c r="E131" s="73" t="s">
        <v>556</v>
      </c>
      <c r="F131" s="73"/>
      <c r="G131" s="73"/>
      <c r="H131" s="73"/>
      <c r="I131" s="73"/>
      <c r="J131" s="73"/>
      <c r="K131" s="73"/>
      <c r="L131" s="156" t="str">
        <f>IF(O115="","TBD",IF(O115=1,"YES",IF(O115=3,"NA","")))</f>
        <v>YES</v>
      </c>
      <c r="M131" s="112" t="str">
        <f>IF(O115=2,"NO","")</f>
        <v/>
      </c>
      <c r="O131" s="89" t="s">
        <v>70</v>
      </c>
      <c r="P131" s="93" t="s">
        <v>71</v>
      </c>
      <c r="Q131" s="94" t="s">
        <v>25</v>
      </c>
      <c r="R131" s="95" t="s">
        <v>72</v>
      </c>
      <c r="S131" s="93" t="s">
        <v>71</v>
      </c>
      <c r="T131" s="94" t="s">
        <v>25</v>
      </c>
      <c r="U131" s="95" t="s">
        <v>72</v>
      </c>
      <c r="V131" s="93" t="s">
        <v>71</v>
      </c>
      <c r="W131" s="94" t="s">
        <v>25</v>
      </c>
      <c r="X131" s="95" t="s">
        <v>72</v>
      </c>
      <c r="Y131" s="36"/>
    </row>
    <row r="132" spans="1:25" ht="14.1" customHeight="1" thickTop="1">
      <c r="A132" s="21">
        <v>60</v>
      </c>
      <c r="B132" s="72"/>
      <c r="C132" s="73"/>
      <c r="D132" s="73"/>
      <c r="E132" s="73" t="s">
        <v>557</v>
      </c>
      <c r="F132" s="73"/>
      <c r="G132" s="73"/>
      <c r="H132" s="73"/>
      <c r="I132" s="73"/>
      <c r="J132" s="73"/>
      <c r="K132" s="73"/>
      <c r="L132" s="156" t="str">
        <f>IF(O116="","TBD",IF(O116=1,"YES",IF(O116=3,"NA","")))</f>
        <v>YES</v>
      </c>
      <c r="M132" s="112" t="str">
        <f>IF(O116=2,"NO","")</f>
        <v/>
      </c>
      <c r="O132" s="96" t="s">
        <v>74</v>
      </c>
      <c r="P132" s="135"/>
      <c r="Q132" s="136"/>
      <c r="R132" s="137"/>
      <c r="S132" s="135"/>
      <c r="T132" s="136"/>
      <c r="U132" s="137"/>
      <c r="V132" s="135"/>
      <c r="W132" s="136"/>
      <c r="X132" s="137"/>
      <c r="Y132" s="36"/>
    </row>
    <row r="133" spans="1:25" ht="14.1" customHeight="1">
      <c r="A133" s="21">
        <v>61</v>
      </c>
      <c r="B133" s="72"/>
      <c r="C133" s="73"/>
      <c r="D133" s="73"/>
      <c r="E133" s="73"/>
      <c r="F133" s="73"/>
      <c r="G133" s="73"/>
      <c r="H133" s="73"/>
      <c r="I133" s="73"/>
      <c r="J133" s="73"/>
      <c r="K133" s="73"/>
      <c r="L133" s="73"/>
      <c r="M133" s="74"/>
      <c r="O133" s="101" t="s">
        <v>77</v>
      </c>
      <c r="P133" s="138"/>
      <c r="Q133" s="139"/>
      <c r="R133" s="140"/>
      <c r="S133" s="138"/>
      <c r="T133" s="139"/>
      <c r="U133" s="140"/>
      <c r="V133" s="138"/>
      <c r="W133" s="139"/>
      <c r="X133" s="140"/>
      <c r="Y133" s="36"/>
    </row>
    <row r="134" spans="1:25" ht="14.1" customHeight="1">
      <c r="A134" s="21">
        <v>62</v>
      </c>
      <c r="B134" s="72"/>
      <c r="C134" s="73"/>
      <c r="D134" s="73"/>
      <c r="E134" s="73"/>
      <c r="F134" s="73"/>
      <c r="G134" s="73"/>
      <c r="H134" s="73"/>
      <c r="I134" s="73"/>
      <c r="J134" s="73"/>
      <c r="K134" s="73"/>
      <c r="L134" s="73"/>
      <c r="M134" s="74"/>
      <c r="O134" s="101" t="s">
        <v>80</v>
      </c>
      <c r="P134" s="138"/>
      <c r="Q134" s="139"/>
      <c r="R134" s="140"/>
      <c r="S134" s="138"/>
      <c r="T134" s="139"/>
      <c r="U134" s="140"/>
      <c r="V134" s="138"/>
      <c r="W134" s="139"/>
      <c r="X134" s="140"/>
      <c r="Y134" s="36"/>
    </row>
    <row r="135" spans="1:25" ht="14.1" customHeight="1" thickBot="1">
      <c r="A135" s="21">
        <v>63</v>
      </c>
      <c r="B135" s="72"/>
      <c r="C135" s="73"/>
      <c r="D135" s="73"/>
      <c r="E135" s="73"/>
      <c r="F135" s="73"/>
      <c r="G135" s="73"/>
      <c r="H135" s="73"/>
      <c r="I135" s="73"/>
      <c r="J135" s="73"/>
      <c r="K135" s="73"/>
      <c r="L135" s="73"/>
      <c r="M135" s="74"/>
      <c r="O135" s="105" t="s">
        <v>83</v>
      </c>
      <c r="P135" s="141"/>
      <c r="Q135" s="142"/>
      <c r="R135" s="143"/>
      <c r="S135" s="141"/>
      <c r="T135" s="142"/>
      <c r="U135" s="143"/>
      <c r="V135" s="141"/>
      <c r="W135" s="142"/>
      <c r="X135" s="143"/>
      <c r="Y135" s="46"/>
    </row>
    <row r="136" spans="1:25" ht="14.1" customHeight="1">
      <c r="A136" s="21">
        <v>64</v>
      </c>
      <c r="B136" s="72"/>
      <c r="C136" s="73"/>
      <c r="D136" s="73"/>
      <c r="E136" s="73"/>
      <c r="F136" s="73"/>
      <c r="G136" s="73"/>
      <c r="H136" s="73"/>
      <c r="I136" s="73"/>
      <c r="J136" s="73"/>
      <c r="K136" s="73"/>
      <c r="L136" s="73"/>
      <c r="M136" s="74"/>
      <c r="O136" s="6"/>
      <c r="P136" s="6"/>
      <c r="Q136" s="6"/>
      <c r="R136" s="6"/>
      <c r="S136" s="6"/>
      <c r="T136" s="6"/>
      <c r="U136" s="6"/>
      <c r="V136" s="6"/>
      <c r="W136" s="6"/>
      <c r="X136" s="6"/>
    </row>
    <row r="137" spans="1:25" ht="14.1" customHeight="1" thickBot="1">
      <c r="A137" s="21">
        <v>65</v>
      </c>
      <c r="B137" s="72"/>
      <c r="C137" s="73"/>
      <c r="D137" s="73"/>
      <c r="E137" s="73"/>
      <c r="F137" s="73"/>
      <c r="G137" s="73"/>
      <c r="H137" s="73"/>
      <c r="I137" s="73"/>
      <c r="J137" s="73"/>
      <c r="K137" s="73"/>
      <c r="L137" s="73"/>
      <c r="M137" s="74"/>
      <c r="T137" s="273" t="s">
        <v>73</v>
      </c>
    </row>
    <row r="138" spans="1:25" ht="14.1" customHeight="1">
      <c r="A138" s="21">
        <v>66</v>
      </c>
      <c r="B138" s="72"/>
      <c r="C138" s="73"/>
      <c r="D138" s="73"/>
      <c r="E138" s="73"/>
      <c r="F138" s="73"/>
      <c r="G138" s="73"/>
      <c r="H138" s="73"/>
      <c r="I138" s="73"/>
      <c r="J138" s="73"/>
      <c r="K138" s="73"/>
      <c r="L138" s="73"/>
      <c r="M138" s="74"/>
      <c r="O138" s="144" t="s">
        <v>200</v>
      </c>
      <c r="P138" s="27"/>
      <c r="Q138" s="27"/>
      <c r="R138" s="27"/>
      <c r="S138" s="27"/>
      <c r="T138" s="27"/>
      <c r="U138" s="27"/>
      <c r="V138" s="27"/>
      <c r="W138" s="27"/>
      <c r="X138" s="27"/>
      <c r="Y138" s="28"/>
    </row>
    <row r="139" spans="1:25" ht="14.1" customHeight="1">
      <c r="A139" s="21">
        <v>67</v>
      </c>
      <c r="B139" s="72"/>
      <c r="C139" s="73"/>
      <c r="D139" s="73"/>
      <c r="E139" s="73"/>
      <c r="F139" s="73"/>
      <c r="G139" s="73"/>
      <c r="H139" s="73"/>
      <c r="I139" s="73"/>
      <c r="J139" s="73"/>
      <c r="K139" s="73"/>
      <c r="L139" s="73"/>
      <c r="M139" s="74"/>
      <c r="O139" s="34"/>
      <c r="P139" s="6"/>
      <c r="Q139" s="39" t="s">
        <v>201</v>
      </c>
      <c r="R139" s="145"/>
      <c r="S139" s="6"/>
      <c r="T139" s="6"/>
      <c r="Y139" s="36"/>
    </row>
    <row r="140" spans="1:25" ht="14.1" customHeight="1">
      <c r="A140" s="21">
        <v>68</v>
      </c>
      <c r="B140" s="72"/>
      <c r="C140" s="73"/>
      <c r="D140" s="73"/>
      <c r="E140" s="73"/>
      <c r="F140" s="73"/>
      <c r="G140" s="73"/>
      <c r="H140" s="73"/>
      <c r="I140" s="73"/>
      <c r="J140" s="73"/>
      <c r="K140" s="73"/>
      <c r="L140" s="73"/>
      <c r="M140" s="74"/>
      <c r="O140" s="34"/>
      <c r="P140" s="6"/>
      <c r="Q140" s="39" t="s">
        <v>202</v>
      </c>
      <c r="R140" s="145"/>
      <c r="S140" s="6"/>
      <c r="T140" s="6"/>
      <c r="Y140" s="36"/>
    </row>
    <row r="141" spans="1:25" ht="14.1" customHeight="1">
      <c r="A141" s="21">
        <v>69</v>
      </c>
      <c r="B141" s="72"/>
      <c r="C141" s="73"/>
      <c r="D141" s="73"/>
      <c r="E141" s="73"/>
      <c r="F141" s="73"/>
      <c r="G141" s="73"/>
      <c r="H141" s="73"/>
      <c r="I141" s="73"/>
      <c r="J141" s="73"/>
      <c r="K141" s="73"/>
      <c r="L141" s="73"/>
      <c r="M141" s="74"/>
      <c r="O141" s="34"/>
      <c r="P141" s="6"/>
      <c r="Q141" s="39" t="s">
        <v>203</v>
      </c>
      <c r="R141" s="145"/>
      <c r="S141" s="6"/>
      <c r="T141" s="6"/>
      <c r="Y141" s="36"/>
    </row>
    <row r="142" spans="1:25" ht="14.1" customHeight="1" thickBot="1">
      <c r="A142" s="21">
        <v>70</v>
      </c>
      <c r="B142" s="85"/>
      <c r="C142" s="86"/>
      <c r="D142" s="86"/>
      <c r="E142" s="376"/>
      <c r="F142" s="86"/>
      <c r="G142" s="86"/>
      <c r="H142" s="86"/>
      <c r="I142" s="86"/>
      <c r="J142" s="86"/>
      <c r="K142" s="86"/>
      <c r="L142" s="86"/>
      <c r="M142" s="87"/>
      <c r="O142" s="34"/>
      <c r="P142" s="6"/>
      <c r="Q142" s="6"/>
      <c r="R142" s="4" t="str">
        <f>IF(R140="","",IF(AND(R140&gt;=120,R140&lt;=200),"Pass","Fail"))</f>
        <v/>
      </c>
      <c r="Y142" s="36"/>
    </row>
    <row r="143" spans="1:25" ht="14.1" customHeight="1" thickTop="1">
      <c r="A143" s="21">
        <v>71</v>
      </c>
      <c r="C143" s="117" t="s">
        <v>11</v>
      </c>
      <c r="D143" s="422" t="str">
        <f>IF($P$7="","",$P$7)</f>
        <v/>
      </c>
      <c r="E143" s="31"/>
      <c r="F143" s="31"/>
      <c r="G143" s="31"/>
      <c r="H143" s="31"/>
      <c r="I143" s="31"/>
      <c r="J143" s="31"/>
      <c r="K143" s="31"/>
      <c r="L143" s="117" t="s">
        <v>12</v>
      </c>
      <c r="M143" s="423" t="str">
        <f>IF($X$7="","",$X$7)</f>
        <v>Eugene Mah</v>
      </c>
      <c r="O143" s="34"/>
      <c r="P143" s="121" t="s">
        <v>204</v>
      </c>
      <c r="Q143" s="146" t="s">
        <v>205</v>
      </c>
      <c r="Y143" s="36"/>
    </row>
    <row r="144" spans="1:25" ht="14.1" customHeight="1">
      <c r="A144" s="21">
        <v>72</v>
      </c>
      <c r="C144" s="117" t="s">
        <v>121</v>
      </c>
      <c r="D144" s="423" t="str">
        <f>IF($R$14="","",$R$14)</f>
        <v/>
      </c>
      <c r="E144" s="31"/>
      <c r="F144" s="31"/>
      <c r="G144" s="31"/>
      <c r="H144" s="31"/>
      <c r="I144" s="31"/>
      <c r="J144" s="31"/>
      <c r="K144" s="31"/>
      <c r="L144" s="117" t="s">
        <v>37</v>
      </c>
      <c r="M144" s="423" t="str">
        <f>IF($R$13="","",$R$13)</f>
        <v/>
      </c>
      <c r="O144" s="34"/>
      <c r="Y144" s="36"/>
    </row>
    <row r="145" spans="1:25" ht="14.1" customHeight="1">
      <c r="A145" s="21">
        <v>1</v>
      </c>
      <c r="M145" s="120" t="str">
        <f>$H$2</f>
        <v>Medical University of South Carolina</v>
      </c>
      <c r="O145" s="147" t="s">
        <v>206</v>
      </c>
      <c r="Y145" s="36"/>
    </row>
    <row r="146" spans="1:25" ht="14.1" customHeight="1" thickBot="1">
      <c r="A146" s="21">
        <v>2</v>
      </c>
      <c r="H146" s="55" t="s">
        <v>73</v>
      </c>
      <c r="M146" s="121" t="str">
        <f>$H$5</f>
        <v>Mammography System Compliance Inspection</v>
      </c>
      <c r="O146" s="34"/>
      <c r="P146" s="25" t="s">
        <v>207</v>
      </c>
      <c r="Q146" s="14" t="s">
        <v>208</v>
      </c>
      <c r="R146" s="14" t="s">
        <v>209</v>
      </c>
      <c r="Y146" s="36"/>
    </row>
    <row r="147" spans="1:25" ht="14.1" customHeight="1" thickTop="1" thickBot="1">
      <c r="A147" s="21">
        <v>3</v>
      </c>
      <c r="B147" s="63"/>
      <c r="C147" s="65" t="s">
        <v>200</v>
      </c>
      <c r="D147" s="64"/>
      <c r="E147" s="64"/>
      <c r="F147" s="64"/>
      <c r="G147" s="64"/>
      <c r="H147" s="64"/>
      <c r="I147" s="64"/>
      <c r="J147" s="64"/>
      <c r="K147" s="64"/>
      <c r="L147" s="64"/>
      <c r="M147" s="66"/>
      <c r="O147" s="34"/>
      <c r="P147" s="14">
        <v>1</v>
      </c>
      <c r="Q147" s="145"/>
      <c r="R147" s="148" t="str">
        <f t="shared" ref="R147:R154" si="11">IF(Q147="","",ABS(Q147-P147))</f>
        <v/>
      </c>
      <c r="Y147" s="36"/>
    </row>
    <row r="148" spans="1:25" ht="14.1" customHeight="1" thickBot="1">
      <c r="A148" s="21">
        <v>4</v>
      </c>
      <c r="B148" s="72"/>
      <c r="C148" s="73"/>
      <c r="D148" s="73"/>
      <c r="E148" s="171" t="s">
        <v>201</v>
      </c>
      <c r="F148" s="380" t="str">
        <f>IF(R139="","",R139)</f>
        <v/>
      </c>
      <c r="G148" s="73"/>
      <c r="H148" s="171" t="s">
        <v>218</v>
      </c>
      <c r="I148" s="152" t="str">
        <f>IF(R142="","",R142)</f>
        <v/>
      </c>
      <c r="J148" s="73"/>
      <c r="K148" s="73"/>
      <c r="L148" s="73"/>
      <c r="M148" s="74"/>
      <c r="O148" s="34"/>
      <c r="P148" s="14">
        <v>2</v>
      </c>
      <c r="Q148" s="145"/>
      <c r="R148" s="148" t="str">
        <f t="shared" si="11"/>
        <v/>
      </c>
      <c r="Y148" s="36"/>
    </row>
    <row r="149" spans="1:25" ht="14.1" customHeight="1" thickBot="1">
      <c r="A149" s="21">
        <v>5</v>
      </c>
      <c r="B149" s="72"/>
      <c r="C149" s="73"/>
      <c r="D149" s="73"/>
      <c r="E149" s="171" t="s">
        <v>202</v>
      </c>
      <c r="F149" s="482" t="str">
        <f>IF(R140="","",R140)</f>
        <v/>
      </c>
      <c r="G149" s="354"/>
      <c r="H149" s="354"/>
      <c r="I149" s="73"/>
      <c r="J149" s="73"/>
      <c r="K149" s="73"/>
      <c r="L149" s="73"/>
      <c r="M149" s="74"/>
      <c r="O149" s="34"/>
      <c r="P149" s="14">
        <v>4</v>
      </c>
      <c r="Q149" s="145"/>
      <c r="R149" s="148" t="str">
        <f t="shared" si="11"/>
        <v/>
      </c>
      <c r="S149" s="39" t="s">
        <v>210</v>
      </c>
      <c r="T149" s="149" t="str">
        <f>IF(OR(Q149="",Q150="",Q151="",Q152=""),"",AVERAGE(Q149:Q152))</f>
        <v/>
      </c>
      <c r="Y149" s="36"/>
    </row>
    <row r="150" spans="1:25" ht="14.1" customHeight="1" thickBot="1">
      <c r="A150" s="21">
        <v>6</v>
      </c>
      <c r="B150" s="72"/>
      <c r="C150" s="73"/>
      <c r="D150" s="73"/>
      <c r="E150" s="171" t="s">
        <v>203</v>
      </c>
      <c r="F150" s="483" t="str">
        <f>IF(R141="","",IF(R141=1,"Pass","Fail"))</f>
        <v/>
      </c>
      <c r="G150" s="354"/>
      <c r="H150" s="73"/>
      <c r="I150" s="73"/>
      <c r="J150" s="73"/>
      <c r="K150" s="73"/>
      <c r="L150" s="73"/>
      <c r="M150" s="74"/>
      <c r="O150" s="34"/>
      <c r="P150" s="14">
        <v>4</v>
      </c>
      <c r="Q150" s="145"/>
      <c r="R150" s="148" t="str">
        <f t="shared" si="11"/>
        <v/>
      </c>
      <c r="S150" s="39" t="s">
        <v>211</v>
      </c>
      <c r="T150" s="150" t="str">
        <f>IF(OR(Q149="",Q150="",Q151="",Q152=""),"",_xlfn.STDEV.S(Q149:Q152))</f>
        <v/>
      </c>
      <c r="Y150" s="36"/>
    </row>
    <row r="151" spans="1:25" ht="14.1" customHeight="1">
      <c r="A151" s="21">
        <v>7</v>
      </c>
      <c r="B151" s="72"/>
      <c r="C151" s="73"/>
      <c r="D151" s="5" t="s">
        <v>204</v>
      </c>
      <c r="E151" s="109" t="s">
        <v>205</v>
      </c>
      <c r="F151" s="73"/>
      <c r="G151" s="73"/>
      <c r="H151" s="73"/>
      <c r="I151" s="73"/>
      <c r="J151" s="73"/>
      <c r="K151" s="73"/>
      <c r="L151" s="73"/>
      <c r="M151" s="74"/>
      <c r="O151" s="34"/>
      <c r="P151" s="14">
        <v>4</v>
      </c>
      <c r="Q151" s="145"/>
      <c r="R151" s="148" t="str">
        <f t="shared" si="11"/>
        <v/>
      </c>
      <c r="Y151" s="36"/>
    </row>
    <row r="152" spans="1:25" ht="14.1" customHeight="1">
      <c r="A152" s="21">
        <v>8</v>
      </c>
      <c r="B152" s="72"/>
      <c r="C152" s="73"/>
      <c r="D152" s="202"/>
      <c r="E152" s="202"/>
      <c r="F152" s="73"/>
      <c r="G152" s="73"/>
      <c r="H152" s="73"/>
      <c r="I152" s="73"/>
      <c r="J152" s="73"/>
      <c r="K152" s="73"/>
      <c r="L152" s="73"/>
      <c r="M152" s="74"/>
      <c r="O152" s="34"/>
      <c r="P152" s="14">
        <v>4</v>
      </c>
      <c r="Q152" s="145"/>
      <c r="R152" s="148" t="str">
        <f t="shared" si="11"/>
        <v/>
      </c>
      <c r="T152" s="117" t="s">
        <v>204</v>
      </c>
      <c r="U152" s="31" t="s">
        <v>212</v>
      </c>
      <c r="Y152" s="36"/>
    </row>
    <row r="153" spans="1:25" ht="14.1" customHeight="1" thickBot="1">
      <c r="A153" s="21">
        <v>9</v>
      </c>
      <c r="B153" s="72"/>
      <c r="C153" s="154" t="s">
        <v>206</v>
      </c>
      <c r="D153" s="73"/>
      <c r="E153" s="73"/>
      <c r="F153" s="73"/>
      <c r="G153" s="73"/>
      <c r="H153" s="73"/>
      <c r="I153" s="73"/>
      <c r="J153" s="73"/>
      <c r="K153" s="73"/>
      <c r="L153" s="73"/>
      <c r="M153" s="74"/>
      <c r="O153" s="34"/>
      <c r="P153" s="14">
        <v>6</v>
      </c>
      <c r="Q153" s="145"/>
      <c r="R153" s="148" t="str">
        <f t="shared" si="11"/>
        <v/>
      </c>
      <c r="U153" s="31" t="s">
        <v>213</v>
      </c>
      <c r="Y153" s="36"/>
    </row>
    <row r="154" spans="1:25" ht="14.1" customHeight="1" thickBot="1">
      <c r="A154" s="21">
        <v>10</v>
      </c>
      <c r="B154" s="72"/>
      <c r="C154" s="433" t="s">
        <v>207</v>
      </c>
      <c r="D154" s="467" t="s">
        <v>208</v>
      </c>
      <c r="E154" s="468" t="s">
        <v>209</v>
      </c>
      <c r="F154" s="73"/>
      <c r="G154" s="73"/>
      <c r="H154" s="378"/>
      <c r="I154" s="171" t="s">
        <v>222</v>
      </c>
      <c r="J154" s="424" t="str">
        <f>IF(O156="","TBD",IF(O156=1,"YES",IF(O156=3,"NA","")))</f>
        <v>TBD</v>
      </c>
      <c r="K154" s="73"/>
      <c r="L154" s="156" t="str">
        <f>IF(O156=2,"NO","")</f>
        <v/>
      </c>
      <c r="M154" s="74"/>
      <c r="O154" s="34"/>
      <c r="P154" s="14">
        <v>8</v>
      </c>
      <c r="Q154" s="145"/>
      <c r="R154" s="148" t="str">
        <f t="shared" si="11"/>
        <v/>
      </c>
      <c r="Y154" s="36"/>
    </row>
    <row r="155" spans="1:25" ht="14.1" customHeight="1" thickBot="1">
      <c r="A155" s="21">
        <v>11</v>
      </c>
      <c r="B155" s="72"/>
      <c r="C155" s="384">
        <v>1</v>
      </c>
      <c r="D155" s="352" t="str">
        <f t="shared" ref="D155:E162" si="12">IF(Q147="","",Q147)</f>
        <v/>
      </c>
      <c r="E155" s="385" t="str">
        <f t="shared" si="12"/>
        <v/>
      </c>
      <c r="F155" s="73"/>
      <c r="G155" s="73"/>
      <c r="H155" s="378"/>
      <c r="I155" s="171" t="s">
        <v>223</v>
      </c>
      <c r="J155" s="424" t="str">
        <f>IF(O157="","TBD",IF(O157=1,"YES",IF(O157=3,"NA","")))</f>
        <v>TBD</v>
      </c>
      <c r="K155" s="73"/>
      <c r="L155" s="156" t="str">
        <f>IF(O157=2,"NO","")</f>
        <v/>
      </c>
      <c r="M155" s="74"/>
      <c r="O155" s="34"/>
      <c r="Y155" s="36"/>
    </row>
    <row r="156" spans="1:25" ht="14.1" customHeight="1" thickBot="1">
      <c r="A156" s="21">
        <v>12</v>
      </c>
      <c r="B156" s="72"/>
      <c r="C156" s="384">
        <v>2</v>
      </c>
      <c r="D156" s="352" t="str">
        <f t="shared" si="12"/>
        <v/>
      </c>
      <c r="E156" s="385" t="str">
        <f t="shared" si="12"/>
        <v/>
      </c>
      <c r="F156" s="73"/>
      <c r="G156" s="73"/>
      <c r="H156" s="73"/>
      <c r="I156" s="171" t="s">
        <v>215</v>
      </c>
      <c r="J156" s="424" t="str">
        <f>IF(S156="","TBD",S156)</f>
        <v>TBD</v>
      </c>
      <c r="K156" s="73"/>
      <c r="L156" s="73"/>
      <c r="M156" s="74"/>
      <c r="O156" s="104"/>
      <c r="P156" s="25" t="s">
        <v>214</v>
      </c>
      <c r="S156" s="148" t="str">
        <f>IF(R147="","",IF(OR(R147&gt;0.5,R148&gt;0.5,R149&gt;0.5,R150&gt;0.5,R151&gt;0.5,R152&gt;0.5,R153&gt;0.5,R154&gt;0.5),"Fail","Pass"))</f>
        <v/>
      </c>
      <c r="T156" s="40" t="s">
        <v>215</v>
      </c>
      <c r="Y156" s="36"/>
    </row>
    <row r="157" spans="1:25" ht="14.1" customHeight="1">
      <c r="A157" s="21">
        <v>13</v>
      </c>
      <c r="B157" s="72"/>
      <c r="C157" s="384">
        <v>4</v>
      </c>
      <c r="D157" s="352" t="str">
        <f t="shared" si="12"/>
        <v/>
      </c>
      <c r="E157" s="385" t="str">
        <f t="shared" si="12"/>
        <v/>
      </c>
      <c r="F157" s="73"/>
      <c r="G157" s="73"/>
      <c r="H157" s="73"/>
      <c r="I157" s="171" t="s">
        <v>210</v>
      </c>
      <c r="J157" s="149" t="str">
        <f>IF(T149="","",T149)</f>
        <v/>
      </c>
      <c r="K157" s="73"/>
      <c r="L157" s="73"/>
      <c r="M157" s="74"/>
      <c r="O157" s="104"/>
      <c r="P157" s="25" t="s">
        <v>216</v>
      </c>
      <c r="Y157" s="36"/>
    </row>
    <row r="158" spans="1:25" ht="14.1" customHeight="1">
      <c r="A158" s="21">
        <v>14</v>
      </c>
      <c r="B158" s="72"/>
      <c r="C158" s="384">
        <v>4</v>
      </c>
      <c r="D158" s="352" t="str">
        <f t="shared" si="12"/>
        <v/>
      </c>
      <c r="E158" s="385" t="str">
        <f t="shared" si="12"/>
        <v/>
      </c>
      <c r="F158" s="73"/>
      <c r="G158" s="73"/>
      <c r="H158" s="73"/>
      <c r="I158" s="171" t="s">
        <v>211</v>
      </c>
      <c r="J158" s="150" t="str">
        <f>IF(T150="","",T150)</f>
        <v/>
      </c>
      <c r="K158" s="73"/>
      <c r="L158" s="73"/>
      <c r="M158" s="74"/>
      <c r="O158" s="34"/>
      <c r="Y158" s="36"/>
    </row>
    <row r="159" spans="1:25" ht="14.1" customHeight="1">
      <c r="A159" s="21">
        <v>15</v>
      </c>
      <c r="B159" s="72"/>
      <c r="C159" s="384">
        <v>4</v>
      </c>
      <c r="D159" s="352" t="str">
        <f t="shared" si="12"/>
        <v/>
      </c>
      <c r="E159" s="385" t="str">
        <f t="shared" si="12"/>
        <v/>
      </c>
      <c r="F159" s="73"/>
      <c r="G159" s="73"/>
      <c r="H159" s="73"/>
      <c r="I159" s="73"/>
      <c r="J159" s="73"/>
      <c r="K159" s="73"/>
      <c r="L159" s="73"/>
      <c r="M159" s="74"/>
      <c r="O159" s="147" t="s">
        <v>217</v>
      </c>
      <c r="Y159" s="36"/>
    </row>
    <row r="160" spans="1:25" ht="14.1" customHeight="1">
      <c r="A160" s="21">
        <v>16</v>
      </c>
      <c r="B160" s="72"/>
      <c r="C160" s="384">
        <v>4</v>
      </c>
      <c r="D160" s="352" t="str">
        <f t="shared" si="12"/>
        <v/>
      </c>
      <c r="E160" s="385" t="str">
        <f t="shared" si="12"/>
        <v/>
      </c>
      <c r="F160" s="5" t="s">
        <v>204</v>
      </c>
      <c r="G160" s="109" t="s">
        <v>212</v>
      </c>
      <c r="H160" s="73"/>
      <c r="I160" s="73"/>
      <c r="J160" s="73"/>
      <c r="K160" s="73"/>
      <c r="L160" s="73"/>
      <c r="M160" s="74"/>
      <c r="O160" s="34"/>
      <c r="P160" s="39" t="s">
        <v>51</v>
      </c>
      <c r="Q160" s="20" t="s">
        <v>32</v>
      </c>
      <c r="R160" s="20" t="s">
        <v>32</v>
      </c>
      <c r="S160" s="20" t="s">
        <v>52</v>
      </c>
      <c r="T160" s="151"/>
      <c r="Y160" s="36"/>
    </row>
    <row r="161" spans="1:25" ht="14.1" customHeight="1">
      <c r="A161" s="21">
        <v>17</v>
      </c>
      <c r="B161" s="72"/>
      <c r="C161" s="384">
        <v>6</v>
      </c>
      <c r="D161" s="352" t="str">
        <f t="shared" si="12"/>
        <v/>
      </c>
      <c r="E161" s="385" t="str">
        <f t="shared" si="12"/>
        <v/>
      </c>
      <c r="F161" s="154"/>
      <c r="G161" s="109" t="s">
        <v>213</v>
      </c>
      <c r="H161" s="73"/>
      <c r="I161" s="73"/>
      <c r="J161" s="73"/>
      <c r="K161" s="73"/>
      <c r="L161" s="73"/>
      <c r="M161" s="74"/>
      <c r="O161" s="34"/>
      <c r="P161" s="39" t="s">
        <v>54</v>
      </c>
      <c r="Q161" s="20" t="s">
        <v>32</v>
      </c>
      <c r="R161" s="20" t="s">
        <v>55</v>
      </c>
      <c r="S161" s="20" t="s">
        <v>55</v>
      </c>
      <c r="T161" s="151"/>
      <c r="Y161" s="36"/>
    </row>
    <row r="162" spans="1:25" ht="14.1" customHeight="1" thickBot="1">
      <c r="A162" s="21">
        <v>18</v>
      </c>
      <c r="B162" s="72"/>
      <c r="C162" s="434">
        <v>8</v>
      </c>
      <c r="D162" s="398" t="str">
        <f t="shared" si="12"/>
        <v/>
      </c>
      <c r="E162" s="435" t="str">
        <f t="shared" si="12"/>
        <v/>
      </c>
      <c r="F162" s="73"/>
      <c r="G162" s="73"/>
      <c r="H162" s="73"/>
      <c r="I162" s="73"/>
      <c r="J162" s="73"/>
      <c r="K162" s="73"/>
      <c r="L162" s="73"/>
      <c r="M162" s="74"/>
      <c r="O162" s="34"/>
      <c r="P162" s="39" t="s">
        <v>173</v>
      </c>
      <c r="Q162" s="153"/>
      <c r="R162" s="153"/>
      <c r="S162" s="153"/>
      <c r="T162" s="151"/>
      <c r="Y162" s="36"/>
    </row>
    <row r="163" spans="1:25" ht="14.1" customHeight="1" thickBot="1">
      <c r="A163" s="21">
        <v>19</v>
      </c>
      <c r="B163" s="168"/>
      <c r="C163" s="45"/>
      <c r="D163" s="45"/>
      <c r="E163" s="45"/>
      <c r="F163" s="45"/>
      <c r="G163" s="45"/>
      <c r="H163" s="45"/>
      <c r="I163" s="45"/>
      <c r="J163" s="45"/>
      <c r="K163" s="45"/>
      <c r="L163" s="45"/>
      <c r="M163" s="169"/>
      <c r="O163" s="34"/>
      <c r="P163" s="39" t="s">
        <v>219</v>
      </c>
      <c r="Q163" s="153"/>
      <c r="R163" s="153"/>
      <c r="S163" s="153"/>
      <c r="T163" s="151"/>
      <c r="Y163" s="36"/>
    </row>
    <row r="164" spans="1:25" ht="14.1" customHeight="1" thickBot="1">
      <c r="A164" s="21">
        <v>20</v>
      </c>
      <c r="B164" s="72"/>
      <c r="C164" s="154" t="s">
        <v>217</v>
      </c>
      <c r="D164" s="73"/>
      <c r="E164" s="73"/>
      <c r="F164" s="73"/>
      <c r="G164" s="73"/>
      <c r="H164" s="73"/>
      <c r="I164" s="73"/>
      <c r="J164" s="73"/>
      <c r="K164" s="73"/>
      <c r="L164" s="73"/>
      <c r="M164" s="74"/>
      <c r="O164" s="34"/>
      <c r="P164" s="39" t="s">
        <v>220</v>
      </c>
      <c r="Q164" s="153"/>
      <c r="R164" s="153"/>
      <c r="S164" s="153"/>
      <c r="T164" s="151"/>
      <c r="Y164" s="36"/>
    </row>
    <row r="165" spans="1:25" ht="14.1" customHeight="1">
      <c r="A165" s="21">
        <v>21</v>
      </c>
      <c r="B165" s="72"/>
      <c r="C165" s="171" t="s">
        <v>51</v>
      </c>
      <c r="D165" s="425" t="str">
        <f t="shared" ref="D165:F167" si="13">IF(Q160="","",Q160)</f>
        <v>Mo</v>
      </c>
      <c r="E165" s="426" t="str">
        <f t="shared" si="13"/>
        <v>Mo</v>
      </c>
      <c r="F165" s="427" t="str">
        <f t="shared" si="13"/>
        <v>W</v>
      </c>
      <c r="G165" s="73"/>
      <c r="H165" s="354" t="str">
        <f>IF(T160="","",T160)</f>
        <v/>
      </c>
      <c r="I165" s="73"/>
      <c r="J165" s="73"/>
      <c r="K165" s="73"/>
      <c r="L165" s="73"/>
      <c r="M165" s="74"/>
      <c r="O165" s="34"/>
      <c r="P165" s="39" t="s">
        <v>218</v>
      </c>
      <c r="Q165" s="153"/>
      <c r="R165" s="153"/>
      <c r="S165" s="153"/>
      <c r="T165" s="151"/>
      <c r="Y165" s="36"/>
    </row>
    <row r="166" spans="1:25" ht="14.1" customHeight="1">
      <c r="A166" s="21">
        <v>22</v>
      </c>
      <c r="B166" s="72"/>
      <c r="C166" s="171" t="s">
        <v>54</v>
      </c>
      <c r="D166" s="428" t="str">
        <f t="shared" si="13"/>
        <v>Mo</v>
      </c>
      <c r="E166" s="20" t="str">
        <f t="shared" si="13"/>
        <v>Rh</v>
      </c>
      <c r="F166" s="429" t="str">
        <f t="shared" si="13"/>
        <v>Rh</v>
      </c>
      <c r="G166" s="73"/>
      <c r="H166" s="354" t="str">
        <f>IF(T160="","",T160)</f>
        <v/>
      </c>
      <c r="I166" s="73"/>
      <c r="J166" s="73"/>
      <c r="K166" s="73"/>
      <c r="L166" s="73"/>
      <c r="M166" s="74"/>
      <c r="O166" s="34"/>
      <c r="P166" s="5" t="s">
        <v>204</v>
      </c>
      <c r="Q166" s="12" t="s">
        <v>221</v>
      </c>
      <c r="R166" s="6"/>
      <c r="S166" s="6"/>
      <c r="T166" s="155"/>
      <c r="Y166" s="36"/>
    </row>
    <row r="167" spans="1:25" ht="14.1" customHeight="1">
      <c r="A167" s="21">
        <v>23</v>
      </c>
      <c r="B167" s="72"/>
      <c r="C167" s="171" t="s">
        <v>239</v>
      </c>
      <c r="D167" s="428" t="str">
        <f t="shared" si="13"/>
        <v/>
      </c>
      <c r="E167" s="20" t="str">
        <f t="shared" si="13"/>
        <v/>
      </c>
      <c r="F167" s="429" t="str">
        <f t="shared" si="13"/>
        <v/>
      </c>
      <c r="G167" s="73"/>
      <c r="H167" s="354" t="str">
        <f>IF(T161="","",T161)</f>
        <v/>
      </c>
      <c r="I167" s="73"/>
      <c r="J167" s="73"/>
      <c r="K167" s="73"/>
      <c r="L167" s="73"/>
      <c r="M167" s="74"/>
      <c r="O167" s="34"/>
      <c r="P167" s="6"/>
      <c r="Q167" s="6"/>
      <c r="R167" s="6"/>
      <c r="S167" s="6"/>
      <c r="T167" s="6"/>
      <c r="Y167" s="36"/>
    </row>
    <row r="168" spans="1:25" ht="14.1" customHeight="1">
      <c r="A168" s="21">
        <v>24</v>
      </c>
      <c r="B168" s="72"/>
      <c r="C168" s="171" t="s">
        <v>173</v>
      </c>
      <c r="D168" s="428" t="str">
        <f t="shared" ref="D168:F171" si="14">IF(Q162="","",Q162)</f>
        <v/>
      </c>
      <c r="E168" s="20" t="str">
        <f t="shared" si="14"/>
        <v/>
      </c>
      <c r="F168" s="429" t="str">
        <f t="shared" si="14"/>
        <v/>
      </c>
      <c r="G168" s="73"/>
      <c r="H168" s="354" t="str">
        <f>IF(T162="","",T162)</f>
        <v/>
      </c>
      <c r="I168" s="73"/>
      <c r="J168" s="73"/>
      <c r="K168" s="73"/>
      <c r="L168" s="73"/>
      <c r="M168" s="74"/>
      <c r="O168" s="34"/>
      <c r="P168" s="117" t="s">
        <v>224</v>
      </c>
      <c r="Q168" s="158" t="str">
        <f>IF(Q170&lt;&gt;"",Q170,IF(AB190="","",AB190))</f>
        <v/>
      </c>
      <c r="R168" s="159"/>
      <c r="S168" s="159"/>
      <c r="T168" s="159"/>
      <c r="U168" s="159"/>
      <c r="V168" s="159"/>
      <c r="W168" s="159"/>
      <c r="X168" s="159"/>
      <c r="Y168" s="36"/>
    </row>
    <row r="169" spans="1:25" ht="14.1" customHeight="1">
      <c r="A169" s="21">
        <v>25</v>
      </c>
      <c r="B169" s="72"/>
      <c r="C169" s="171" t="s">
        <v>219</v>
      </c>
      <c r="D169" s="428" t="str">
        <f t="shared" si="14"/>
        <v/>
      </c>
      <c r="E169" s="20" t="str">
        <f t="shared" si="14"/>
        <v/>
      </c>
      <c r="F169" s="429" t="str">
        <f t="shared" si="14"/>
        <v/>
      </c>
      <c r="G169" s="73"/>
      <c r="H169" s="354" t="str">
        <f>IF(T162="","",T162)</f>
        <v/>
      </c>
      <c r="I169" s="73"/>
      <c r="J169" s="73"/>
      <c r="K169" s="73"/>
      <c r="L169" s="73"/>
      <c r="M169" s="74"/>
      <c r="O169" s="34"/>
      <c r="P169" s="160" t="s">
        <v>225</v>
      </c>
      <c r="Q169" s="161"/>
      <c r="R169" s="162"/>
      <c r="S169" s="162"/>
      <c r="T169" s="162"/>
      <c r="U169" s="162"/>
      <c r="V169" s="162"/>
      <c r="W169" s="162"/>
      <c r="X169" s="162"/>
      <c r="Y169" s="36"/>
    </row>
    <row r="170" spans="1:25" ht="14.1" customHeight="1">
      <c r="A170" s="21">
        <v>26</v>
      </c>
      <c r="B170" s="72"/>
      <c r="C170" s="171" t="s">
        <v>220</v>
      </c>
      <c r="D170" s="428" t="str">
        <f t="shared" si="14"/>
        <v/>
      </c>
      <c r="E170" s="20" t="str">
        <f t="shared" si="14"/>
        <v/>
      </c>
      <c r="F170" s="429" t="str">
        <f t="shared" si="14"/>
        <v/>
      </c>
      <c r="G170" s="73"/>
      <c r="H170" s="354" t="str">
        <f>IF(T163="","",T163)</f>
        <v/>
      </c>
      <c r="I170" s="73"/>
      <c r="J170" s="73"/>
      <c r="K170" s="73"/>
      <c r="L170" s="73"/>
      <c r="M170" s="74"/>
      <c r="O170" s="34"/>
      <c r="P170" s="117" t="s">
        <v>226</v>
      </c>
      <c r="Q170" s="163"/>
      <c r="R170" s="162"/>
      <c r="S170" s="162"/>
      <c r="T170" s="162"/>
      <c r="U170" s="162"/>
      <c r="V170" s="162"/>
      <c r="W170" s="162"/>
      <c r="X170" s="162"/>
      <c r="Y170" s="36"/>
    </row>
    <row r="171" spans="1:25" ht="14.1" customHeight="1" thickBot="1">
      <c r="A171" s="21">
        <v>27</v>
      </c>
      <c r="B171" s="72"/>
      <c r="C171" s="171" t="s">
        <v>218</v>
      </c>
      <c r="D171" s="430" t="str">
        <f t="shared" si="14"/>
        <v/>
      </c>
      <c r="E171" s="431" t="str">
        <f t="shared" si="14"/>
        <v/>
      </c>
      <c r="F171" s="432" t="str">
        <f t="shared" si="14"/>
        <v/>
      </c>
      <c r="G171" s="73"/>
      <c r="H171" s="354" t="str">
        <f>IF(T164="","",T164)</f>
        <v/>
      </c>
      <c r="I171" s="73"/>
      <c r="J171" s="73"/>
      <c r="K171" s="73"/>
      <c r="L171" s="73"/>
      <c r="M171" s="74"/>
      <c r="O171" s="44"/>
      <c r="P171" s="45"/>
      <c r="Q171" s="45"/>
      <c r="R171" s="45"/>
      <c r="S171" s="45"/>
      <c r="T171" s="45"/>
      <c r="U171" s="45"/>
      <c r="V171" s="45"/>
      <c r="W171" s="45"/>
      <c r="X171" s="45"/>
      <c r="Y171" s="46"/>
    </row>
    <row r="172" spans="1:25" ht="14.1" customHeight="1">
      <c r="A172" s="21">
        <v>28</v>
      </c>
      <c r="B172" s="72"/>
      <c r="C172" s="73"/>
      <c r="D172" s="73"/>
      <c r="E172" s="73"/>
      <c r="F172" s="73"/>
      <c r="G172" s="73"/>
      <c r="H172" s="354" t="str">
        <f>IF(T165="","",T165)</f>
        <v/>
      </c>
      <c r="I172" s="73"/>
      <c r="J172" s="73"/>
      <c r="K172" s="73"/>
      <c r="L172" s="73"/>
      <c r="M172" s="74"/>
      <c r="O172" s="147" t="s">
        <v>227</v>
      </c>
      <c r="R172" s="145"/>
      <c r="S172" s="80" t="s">
        <v>75</v>
      </c>
      <c r="Y172" s="36"/>
    </row>
    <row r="173" spans="1:25" ht="14.1" customHeight="1">
      <c r="A173" s="21">
        <v>29</v>
      </c>
      <c r="B173" s="72"/>
      <c r="C173" s="5" t="s">
        <v>204</v>
      </c>
      <c r="D173" s="12" t="s">
        <v>221</v>
      </c>
      <c r="E173" s="73"/>
      <c r="F173" s="73"/>
      <c r="G173" s="73"/>
      <c r="H173" s="73"/>
      <c r="I173" s="73"/>
      <c r="J173" s="73"/>
      <c r="K173" s="73"/>
      <c r="L173" s="73"/>
      <c r="M173" s="74"/>
      <c r="O173" s="34"/>
      <c r="P173" s="758" t="s">
        <v>228</v>
      </c>
      <c r="Q173" s="758"/>
      <c r="R173" s="758"/>
      <c r="S173" s="758"/>
      <c r="U173" s="218" t="s">
        <v>229</v>
      </c>
      <c r="V173" s="218"/>
      <c r="Y173" s="36"/>
    </row>
    <row r="174" spans="1:25" ht="14.1" customHeight="1">
      <c r="A174" s="21">
        <v>30</v>
      </c>
      <c r="B174" s="72"/>
      <c r="C174" s="73"/>
      <c r="D174" s="611" t="str">
        <f>P168</f>
        <v>Comments:</v>
      </c>
      <c r="E174" s="119" t="str">
        <f>IF(Q168="","",IF(LEN(Q168)&lt;=135,Q168,IF(LEN(Q168)&lt;=260,LEFT(Q168,SEARCH(" ",Q168,125)),LEFT(Q168,SEARCH(" ",Q168,130)))))</f>
        <v/>
      </c>
      <c r="F174" s="118"/>
      <c r="G174" s="118"/>
      <c r="H174" s="118"/>
      <c r="I174" s="118"/>
      <c r="J174" s="118"/>
      <c r="K174" s="118"/>
      <c r="L174" s="118"/>
      <c r="M174" s="178"/>
      <c r="O174" s="34"/>
      <c r="P174" s="164" t="s">
        <v>230</v>
      </c>
      <c r="Q174" s="164" t="s">
        <v>231</v>
      </c>
      <c r="R174" s="164" t="s">
        <v>232</v>
      </c>
      <c r="S174" s="165" t="s">
        <v>233</v>
      </c>
      <c r="U174" s="359" t="s">
        <v>234</v>
      </c>
      <c r="V174" s="218"/>
      <c r="Y174" s="36"/>
    </row>
    <row r="175" spans="1:25" ht="14.1" customHeight="1">
      <c r="A175" s="21">
        <v>31</v>
      </c>
      <c r="B175" s="72"/>
      <c r="C175" s="73"/>
      <c r="D175" s="202"/>
      <c r="E175" s="182" t="str">
        <f>IF(LEN(Q168)&lt;=135,"",IF(LEN(Q168)&lt;=260,RIGHT(Q168,LEN(Q168)-SEARCH(" ",Q168,125)),MID(Q168,SEARCH(" ",Q168,130),IF(LEN(Q168)&lt;=265,LEN(Q168),SEARCH(" ",Q168,255)-SEARCH(" ",Q168,130)))))</f>
        <v/>
      </c>
      <c r="F175" s="183"/>
      <c r="G175" s="183"/>
      <c r="H175" s="183"/>
      <c r="I175" s="183"/>
      <c r="J175" s="183"/>
      <c r="K175" s="183"/>
      <c r="L175" s="183"/>
      <c r="M175" s="184"/>
      <c r="O175" s="34"/>
      <c r="P175" s="166"/>
      <c r="Q175" s="166"/>
      <c r="R175" s="166"/>
      <c r="S175" s="167"/>
      <c r="U175" s="358" t="str">
        <f>IF(OR(R172=2,R172=3),"NA",IF(OR(P175="",Q175="",R175="",S175=""),"TBD",AVERAGE(P175:S175)))</f>
        <v>TBD</v>
      </c>
      <c r="V175" s="357"/>
      <c r="Y175" s="36"/>
    </row>
    <row r="176" spans="1:25" ht="14.1" customHeight="1">
      <c r="A176" s="21">
        <v>32</v>
      </c>
      <c r="B176" s="72"/>
      <c r="C176" s="73"/>
      <c r="D176" s="202"/>
      <c r="E176" s="182" t="str">
        <f>IF(LEN(Q168)&lt;=265,"",RIGHT(Q168,LEN(Q168)-SEARCH(" ",Q168,255)))</f>
        <v/>
      </c>
      <c r="F176" s="183"/>
      <c r="G176" s="183"/>
      <c r="H176" s="183"/>
      <c r="I176" s="183"/>
      <c r="J176" s="183"/>
      <c r="K176" s="183"/>
      <c r="L176" s="183"/>
      <c r="M176" s="184"/>
      <c r="O176" s="34"/>
      <c r="P176" s="121" t="s">
        <v>204</v>
      </c>
      <c r="Q176" s="146" t="s">
        <v>235</v>
      </c>
      <c r="Y176" s="36"/>
    </row>
    <row r="177" spans="1:25" ht="14.1" customHeight="1" thickBot="1">
      <c r="A177" s="21">
        <v>33</v>
      </c>
      <c r="B177" s="168"/>
      <c r="C177" s="45"/>
      <c r="D177" s="45"/>
      <c r="E177" s="45"/>
      <c r="F177" s="45"/>
      <c r="G177" s="45"/>
      <c r="H177" s="45"/>
      <c r="I177" s="45"/>
      <c r="J177" s="45"/>
      <c r="K177" s="45"/>
      <c r="L177" s="45"/>
      <c r="M177" s="169"/>
      <c r="O177" s="34"/>
      <c r="P177" s="6"/>
      <c r="Q177" s="6"/>
      <c r="R177" s="6"/>
      <c r="S177" s="6"/>
      <c r="T177" s="6"/>
      <c r="U177" s="6"/>
      <c r="V177" s="6"/>
      <c r="W177" s="6"/>
      <c r="Y177" s="36"/>
    </row>
    <row r="178" spans="1:25" ht="14.1" customHeight="1">
      <c r="A178" s="21">
        <v>34</v>
      </c>
      <c r="B178" s="72"/>
      <c r="C178" s="154" t="s">
        <v>227</v>
      </c>
      <c r="D178" s="73"/>
      <c r="E178" s="73"/>
      <c r="F178" s="73"/>
      <c r="G178" s="73"/>
      <c r="H178" s="73"/>
      <c r="I178" s="73"/>
      <c r="J178" s="73"/>
      <c r="K178" s="73"/>
      <c r="L178" s="73"/>
      <c r="M178" s="74"/>
      <c r="O178" s="147" t="s">
        <v>236</v>
      </c>
      <c r="Y178" s="36"/>
    </row>
    <row r="179" spans="1:25" ht="14.1" customHeight="1">
      <c r="A179" s="21">
        <v>35</v>
      </c>
      <c r="B179" s="72"/>
      <c r="C179" s="73"/>
      <c r="D179" s="758" t="s">
        <v>228</v>
      </c>
      <c r="E179" s="758"/>
      <c r="F179" s="758"/>
      <c r="G179" s="758"/>
      <c r="H179" s="73"/>
      <c r="I179" s="354" t="s">
        <v>229</v>
      </c>
      <c r="J179" s="354"/>
      <c r="K179" s="73"/>
      <c r="L179" s="73"/>
      <c r="M179" s="74"/>
      <c r="O179" s="170"/>
      <c r="P179" s="171" t="s">
        <v>95</v>
      </c>
      <c r="Q179" s="145" t="s">
        <v>237</v>
      </c>
      <c r="T179" s="171" t="s">
        <v>95</v>
      </c>
      <c r="U179" s="145" t="s">
        <v>238</v>
      </c>
      <c r="V179" s="6"/>
      <c r="X179" s="6"/>
      <c r="Y179" s="36"/>
    </row>
    <row r="180" spans="1:25" ht="14.1" customHeight="1">
      <c r="A180" s="21">
        <v>36</v>
      </c>
      <c r="B180" s="72"/>
      <c r="C180" s="73"/>
      <c r="D180" s="164" t="s">
        <v>230</v>
      </c>
      <c r="E180" s="164" t="s">
        <v>231</v>
      </c>
      <c r="F180" s="164" t="s">
        <v>232</v>
      </c>
      <c r="G180" s="165" t="s">
        <v>233</v>
      </c>
      <c r="H180" s="73"/>
      <c r="I180" s="351" t="s">
        <v>234</v>
      </c>
      <c r="J180" s="151"/>
      <c r="K180" s="73"/>
      <c r="L180" s="73"/>
      <c r="M180" s="74"/>
      <c r="O180" s="170"/>
      <c r="P180" s="171" t="s">
        <v>173</v>
      </c>
      <c r="Q180" s="145">
        <v>28</v>
      </c>
      <c r="R180" s="6"/>
      <c r="S180" s="6"/>
      <c r="T180" s="171" t="s">
        <v>173</v>
      </c>
      <c r="U180" s="145">
        <v>32</v>
      </c>
      <c r="V180" s="6"/>
      <c r="W180" s="6"/>
      <c r="X180" s="6"/>
      <c r="Y180" s="36"/>
    </row>
    <row r="181" spans="1:25" ht="14.1" customHeight="1">
      <c r="A181" s="21">
        <v>37</v>
      </c>
      <c r="B181" s="72"/>
      <c r="C181" s="73"/>
      <c r="D181" s="187" t="str">
        <f>IF(P175="","",P175)</f>
        <v/>
      </c>
      <c r="E181" s="187" t="str">
        <f>IF(Q175="","",Q175)</f>
        <v/>
      </c>
      <c r="F181" s="187" t="str">
        <f>IF(R175="","",R175)</f>
        <v/>
      </c>
      <c r="G181" s="188" t="str">
        <f>IF(S175="","",S175)</f>
        <v/>
      </c>
      <c r="H181" s="73"/>
      <c r="I181" s="189" t="str">
        <f>IF(U175="","",U175)</f>
        <v>TBD</v>
      </c>
      <c r="J181" s="417"/>
      <c r="K181" s="73"/>
      <c r="L181" s="73"/>
      <c r="M181" s="74"/>
      <c r="O181" s="170"/>
      <c r="P181" s="171" t="s">
        <v>219</v>
      </c>
      <c r="Q181" s="145">
        <v>50</v>
      </c>
      <c r="R181" s="6"/>
      <c r="S181" s="6"/>
      <c r="T181" s="171" t="s">
        <v>219</v>
      </c>
      <c r="U181" s="145">
        <v>71</v>
      </c>
      <c r="V181" s="6"/>
      <c r="W181" s="6"/>
      <c r="X181" s="6"/>
      <c r="Y181" s="36"/>
    </row>
    <row r="182" spans="1:25" ht="14.1" customHeight="1">
      <c r="A182" s="21">
        <v>38</v>
      </c>
      <c r="B182" s="72"/>
      <c r="C182" s="73"/>
      <c r="D182" s="5" t="s">
        <v>204</v>
      </c>
      <c r="E182" s="109" t="s">
        <v>253</v>
      </c>
      <c r="F182" s="73"/>
      <c r="G182" s="73"/>
      <c r="H182" s="73"/>
      <c r="I182" s="73"/>
      <c r="J182" s="73"/>
      <c r="K182" s="73"/>
      <c r="L182" s="73"/>
      <c r="M182" s="74"/>
      <c r="O182" s="34"/>
      <c r="P182" s="73"/>
      <c r="Q182" s="751" t="s">
        <v>240</v>
      </c>
      <c r="R182" s="751"/>
      <c r="S182" s="751"/>
      <c r="T182" s="6"/>
      <c r="U182" s="751" t="s">
        <v>240</v>
      </c>
      <c r="V182" s="751"/>
      <c r="W182" s="751"/>
      <c r="X182" s="6"/>
      <c r="Y182" s="36"/>
    </row>
    <row r="183" spans="1:25" ht="14.1" customHeight="1" thickBot="1">
      <c r="A183" s="21">
        <v>39</v>
      </c>
      <c r="B183" s="168"/>
      <c r="C183" s="45"/>
      <c r="D183" s="45"/>
      <c r="E183" s="45"/>
      <c r="F183" s="45"/>
      <c r="G183" s="45"/>
      <c r="H183" s="45"/>
      <c r="I183" s="45"/>
      <c r="J183" s="45"/>
      <c r="K183" s="45"/>
      <c r="L183" s="45"/>
      <c r="M183" s="169"/>
      <c r="O183" s="34"/>
      <c r="P183" s="73"/>
      <c r="Q183" s="14" t="s">
        <v>241</v>
      </c>
      <c r="R183" s="14" t="s">
        <v>242</v>
      </c>
      <c r="S183" s="115" t="s">
        <v>243</v>
      </c>
      <c r="T183" s="6"/>
      <c r="U183" s="14" t="s">
        <v>241</v>
      </c>
      <c r="V183" s="14" t="s">
        <v>242</v>
      </c>
      <c r="W183" s="115" t="s">
        <v>243</v>
      </c>
      <c r="X183" s="6"/>
      <c r="Y183" s="36"/>
    </row>
    <row r="184" spans="1:25" ht="14.1" customHeight="1">
      <c r="A184" s="21">
        <v>40</v>
      </c>
      <c r="B184" s="612"/>
      <c r="C184" s="68" t="s">
        <v>236</v>
      </c>
      <c r="D184" s="27"/>
      <c r="E184" s="27"/>
      <c r="F184" s="27"/>
      <c r="G184" s="68"/>
      <c r="H184" s="68" t="s">
        <v>252</v>
      </c>
      <c r="I184" s="27"/>
      <c r="J184" s="27"/>
      <c r="K184" s="27"/>
      <c r="L184" s="27"/>
      <c r="M184" s="527"/>
      <c r="O184" s="170"/>
      <c r="P184" s="171" t="s">
        <v>244</v>
      </c>
      <c r="Q184" s="172"/>
      <c r="R184" s="173"/>
      <c r="S184" s="174"/>
      <c r="T184" s="6"/>
      <c r="U184" s="172"/>
      <c r="V184" s="173"/>
      <c r="W184" s="174"/>
      <c r="X184" s="6"/>
      <c r="Y184" s="36"/>
    </row>
    <row r="185" spans="1:25" ht="14.1" customHeight="1" thickBot="1">
      <c r="A185" s="21">
        <v>41</v>
      </c>
      <c r="B185" s="72"/>
      <c r="C185" s="171" t="s">
        <v>95</v>
      </c>
      <c r="D185" s="115" t="str">
        <f>IF(Q179="","",Q179)</f>
        <v>Mo/Mo</v>
      </c>
      <c r="E185" s="73"/>
      <c r="F185" s="73"/>
      <c r="G185" s="73"/>
      <c r="H185" s="171" t="s">
        <v>95</v>
      </c>
      <c r="I185" s="115" t="str">
        <f>IF(Q194="","",Q194)</f>
        <v>Mo/Mo</v>
      </c>
      <c r="J185" s="73"/>
      <c r="K185" s="171" t="s">
        <v>95</v>
      </c>
      <c r="L185" s="115" t="str">
        <f>IF(U194="","",U194)</f>
        <v>W/Rh</v>
      </c>
      <c r="M185" s="74"/>
      <c r="O185" s="170"/>
      <c r="P185" s="171" t="s">
        <v>245</v>
      </c>
      <c r="Q185" s="175"/>
      <c r="R185" s="176"/>
      <c r="S185" s="177"/>
      <c r="T185" s="6"/>
      <c r="U185" s="175"/>
      <c r="V185" s="176"/>
      <c r="W185" s="177"/>
      <c r="X185" s="6"/>
      <c r="Y185" s="36"/>
    </row>
    <row r="186" spans="1:25" ht="14.1" customHeight="1">
      <c r="A186" s="21">
        <v>42</v>
      </c>
      <c r="B186" s="72"/>
      <c r="C186" s="115"/>
      <c r="D186" s="755" t="s">
        <v>240</v>
      </c>
      <c r="E186" s="756"/>
      <c r="F186" s="757"/>
      <c r="G186" s="171"/>
      <c r="H186" s="755" t="s">
        <v>240</v>
      </c>
      <c r="I186" s="756"/>
      <c r="J186" s="757"/>
      <c r="K186" s="755" t="s">
        <v>240</v>
      </c>
      <c r="L186" s="756"/>
      <c r="M186" s="759"/>
      <c r="O186" s="170"/>
      <c r="P186" s="171" t="s">
        <v>246</v>
      </c>
      <c r="Q186" s="175"/>
      <c r="R186" s="176"/>
      <c r="S186" s="177"/>
      <c r="T186" s="6"/>
      <c r="U186" s="175"/>
      <c r="V186" s="176"/>
      <c r="W186" s="177"/>
      <c r="X186" s="6"/>
      <c r="Y186" s="36"/>
    </row>
    <row r="187" spans="1:25" ht="14.1" customHeight="1" thickBot="1">
      <c r="A187" s="21">
        <v>43</v>
      </c>
      <c r="B187" s="72"/>
      <c r="C187" s="378"/>
      <c r="D187" s="384" t="s">
        <v>241</v>
      </c>
      <c r="E187" s="323" t="s">
        <v>242</v>
      </c>
      <c r="F187" s="385" t="s">
        <v>243</v>
      </c>
      <c r="G187" s="115"/>
      <c r="H187" s="384" t="s">
        <v>241</v>
      </c>
      <c r="I187" s="323" t="s">
        <v>242</v>
      </c>
      <c r="J187" s="385" t="s">
        <v>243</v>
      </c>
      <c r="K187" s="384" t="s">
        <v>241</v>
      </c>
      <c r="L187" s="323" t="s">
        <v>242</v>
      </c>
      <c r="M187" s="613" t="s">
        <v>243</v>
      </c>
      <c r="O187" s="170"/>
      <c r="P187" s="171" t="s">
        <v>247</v>
      </c>
      <c r="Q187" s="179"/>
      <c r="R187" s="180"/>
      <c r="S187" s="181"/>
      <c r="T187" s="6"/>
      <c r="U187" s="179"/>
      <c r="V187" s="180"/>
      <c r="W187" s="181"/>
      <c r="Y187" s="36"/>
    </row>
    <row r="188" spans="1:25" ht="14.1" customHeight="1">
      <c r="A188" s="21">
        <v>44</v>
      </c>
      <c r="B188" s="72"/>
      <c r="C188" s="171" t="s">
        <v>244</v>
      </c>
      <c r="D188" s="395" t="str">
        <f>IF(Q184="","",Q184)</f>
        <v/>
      </c>
      <c r="E188" s="352" t="str">
        <f t="shared" ref="E188:F188" si="15">IF(R184="","",R184)</f>
        <v/>
      </c>
      <c r="F188" s="396" t="str">
        <f t="shared" si="15"/>
        <v/>
      </c>
      <c r="G188" s="394" t="s">
        <v>244</v>
      </c>
      <c r="H188" s="386" t="str">
        <f>IF(Q199="","",Q199)</f>
        <v/>
      </c>
      <c r="I188" s="382" t="str">
        <f t="shared" ref="I188:J195" si="16">IF(R199="","",R199)</f>
        <v/>
      </c>
      <c r="J188" s="387" t="str">
        <f t="shared" si="16"/>
        <v/>
      </c>
      <c r="K188" s="391" t="str">
        <f>IF(U199="","",U199)</f>
        <v/>
      </c>
      <c r="L188" s="381" t="str">
        <f t="shared" ref="L188:M195" si="17">IF(V199="","",V199)</f>
        <v/>
      </c>
      <c r="M188" s="614" t="str">
        <f t="shared" si="17"/>
        <v/>
      </c>
      <c r="O188" s="170"/>
      <c r="P188" s="171" t="s">
        <v>248</v>
      </c>
      <c r="Q188" s="213" t="str">
        <f>IF(OR(Q184="",Q185=""),"",ABS(Q184)+ABS(Q185))</f>
        <v/>
      </c>
      <c r="R188" s="214" t="str">
        <f>IF(OR(R184="",R185=""),"",ABS(R184)+ABS(R185))</f>
        <v/>
      </c>
      <c r="S188" s="185" t="str">
        <f>IF(OR(S184="",S185=""),"",ABS(S184)+ABS(S185))</f>
        <v/>
      </c>
      <c r="U188" s="213" t="str">
        <f>IF(OR(U184="",U185=""),"",ABS(U184)+ABS(U185))</f>
        <v/>
      </c>
      <c r="V188" s="214" t="str">
        <f>IF(OR(V184="",V185=""),"",ABS(V184)+ABS(V185))</f>
        <v/>
      </c>
      <c r="W188" s="185" t="str">
        <f>IF(OR(W184="",W185=""),"",ABS(W184)+ABS(W185))</f>
        <v/>
      </c>
      <c r="Y188" s="36"/>
    </row>
    <row r="189" spans="1:25" ht="14.1" customHeight="1" thickBot="1">
      <c r="A189" s="21">
        <v>45</v>
      </c>
      <c r="B189" s="72"/>
      <c r="C189" s="171" t="s">
        <v>245</v>
      </c>
      <c r="D189" s="395" t="str">
        <f t="shared" ref="D189:F193" si="18">IF(Q185="","",Q185)</f>
        <v/>
      </c>
      <c r="E189" s="352" t="str">
        <f t="shared" si="18"/>
        <v/>
      </c>
      <c r="F189" s="396" t="str">
        <f t="shared" si="18"/>
        <v/>
      </c>
      <c r="G189" s="394" t="s">
        <v>245</v>
      </c>
      <c r="H189" s="386" t="str">
        <f t="shared" ref="H189:H195" si="19">IF(Q200="","",Q200)</f>
        <v/>
      </c>
      <c r="I189" s="382" t="str">
        <f t="shared" si="16"/>
        <v/>
      </c>
      <c r="J189" s="387" t="str">
        <f t="shared" si="16"/>
        <v/>
      </c>
      <c r="K189" s="391" t="str">
        <f t="shared" ref="K189:K195" si="20">IF(U200="","",U200)</f>
        <v/>
      </c>
      <c r="L189" s="381" t="str">
        <f t="shared" si="17"/>
        <v/>
      </c>
      <c r="M189" s="614" t="str">
        <f t="shared" si="17"/>
        <v/>
      </c>
      <c r="O189" s="170"/>
      <c r="P189" s="171" t="s">
        <v>249</v>
      </c>
      <c r="Q189" s="216" t="str">
        <f>IF(OR(Q186="",Q187=""),"",ABS(Q186)+ABS(Q187))</f>
        <v/>
      </c>
      <c r="R189" s="217" t="str">
        <f>IF(OR(R186="",R187=""),"",ABS(R186)+ABS(R187))</f>
        <v/>
      </c>
      <c r="S189" s="186" t="str">
        <f>IF(OR(S186="",S187=""),"",ABS(S186)+ABS(S187))</f>
        <v/>
      </c>
      <c r="U189" s="216" t="str">
        <f>IF(OR(U186="",U187=""),"",ABS(U186)+ABS(U187))</f>
        <v/>
      </c>
      <c r="V189" s="217" t="str">
        <f>IF(OR(V186="",V187=""),"",ABS(V186)+ABS(V187))</f>
        <v/>
      </c>
      <c r="W189" s="186" t="str">
        <f>IF(OR(W186="",W187=""),"",ABS(W186)+ABS(W187))</f>
        <v/>
      </c>
      <c r="Y189" s="36"/>
    </row>
    <row r="190" spans="1:25" ht="14.1" customHeight="1">
      <c r="A190" s="21">
        <v>46</v>
      </c>
      <c r="B190" s="72"/>
      <c r="C190" s="171" t="s">
        <v>246</v>
      </c>
      <c r="D190" s="395" t="str">
        <f t="shared" si="18"/>
        <v/>
      </c>
      <c r="E190" s="352" t="str">
        <f t="shared" si="18"/>
        <v/>
      </c>
      <c r="F190" s="396" t="str">
        <f t="shared" si="18"/>
        <v/>
      </c>
      <c r="G190" s="394" t="s">
        <v>246</v>
      </c>
      <c r="H190" s="386" t="str">
        <f t="shared" si="19"/>
        <v/>
      </c>
      <c r="I190" s="382" t="str">
        <f t="shared" si="16"/>
        <v/>
      </c>
      <c r="J190" s="387" t="str">
        <f t="shared" si="16"/>
        <v/>
      </c>
      <c r="K190" s="391" t="str">
        <f t="shared" si="20"/>
        <v/>
      </c>
      <c r="L190" s="381" t="str">
        <f t="shared" si="17"/>
        <v/>
      </c>
      <c r="M190" s="614" t="str">
        <f t="shared" si="17"/>
        <v/>
      </c>
      <c r="O190" s="34"/>
      <c r="P190" s="121" t="s">
        <v>204</v>
      </c>
      <c r="Q190" s="146" t="s">
        <v>250</v>
      </c>
      <c r="R190" s="6"/>
      <c r="X190" s="6"/>
      <c r="Y190" s="36"/>
    </row>
    <row r="191" spans="1:25" ht="14.1" customHeight="1" thickBot="1">
      <c r="A191" s="21">
        <v>47</v>
      </c>
      <c r="B191" s="72"/>
      <c r="C191" s="171" t="s">
        <v>247</v>
      </c>
      <c r="D191" s="397" t="str">
        <f t="shared" si="18"/>
        <v/>
      </c>
      <c r="E191" s="398" t="str">
        <f t="shared" si="18"/>
        <v/>
      </c>
      <c r="F191" s="399" t="str">
        <f t="shared" si="18"/>
        <v/>
      </c>
      <c r="G191" s="394" t="s">
        <v>247</v>
      </c>
      <c r="H191" s="388" t="str">
        <f t="shared" si="19"/>
        <v/>
      </c>
      <c r="I191" s="389" t="str">
        <f t="shared" si="16"/>
        <v/>
      </c>
      <c r="J191" s="390" t="str">
        <f t="shared" si="16"/>
        <v/>
      </c>
      <c r="K191" s="392" t="str">
        <f t="shared" si="20"/>
        <v/>
      </c>
      <c r="L191" s="393" t="str">
        <f t="shared" si="17"/>
        <v/>
      </c>
      <c r="M191" s="615" t="str">
        <f t="shared" si="17"/>
        <v/>
      </c>
      <c r="O191" s="34"/>
      <c r="P191" s="31"/>
      <c r="Q191" s="146" t="s">
        <v>251</v>
      </c>
      <c r="R191" s="6"/>
      <c r="S191" s="6"/>
      <c r="T191" s="6"/>
      <c r="U191" s="6"/>
      <c r="V191" s="6"/>
      <c r="W191" s="6"/>
      <c r="X191" s="6"/>
      <c r="Y191" s="36"/>
    </row>
    <row r="192" spans="1:25" ht="14.1" customHeight="1">
      <c r="A192" s="21">
        <v>48</v>
      </c>
      <c r="B192" s="72"/>
      <c r="C192" s="171" t="s">
        <v>248</v>
      </c>
      <c r="D192" s="405" t="str">
        <f t="shared" si="18"/>
        <v/>
      </c>
      <c r="E192" s="406" t="str">
        <f t="shared" si="18"/>
        <v/>
      </c>
      <c r="F192" s="407" t="str">
        <f t="shared" si="18"/>
        <v/>
      </c>
      <c r="G192" s="394" t="s">
        <v>248</v>
      </c>
      <c r="H192" s="411" t="str">
        <f t="shared" si="19"/>
        <v/>
      </c>
      <c r="I192" s="412" t="str">
        <f t="shared" si="16"/>
        <v/>
      </c>
      <c r="J192" s="413" t="str">
        <f t="shared" si="16"/>
        <v/>
      </c>
      <c r="K192" s="408" t="str">
        <f t="shared" si="20"/>
        <v/>
      </c>
      <c r="L192" s="409" t="str">
        <f t="shared" si="17"/>
        <v/>
      </c>
      <c r="M192" s="616" t="str">
        <f t="shared" si="17"/>
        <v/>
      </c>
      <c r="O192" s="34"/>
      <c r="P192" s="6"/>
      <c r="Q192" s="6"/>
      <c r="R192" s="6"/>
      <c r="S192" s="6"/>
      <c r="T192" s="6"/>
      <c r="U192" s="6"/>
      <c r="V192" s="6"/>
      <c r="W192" s="6"/>
      <c r="Y192" s="36"/>
    </row>
    <row r="193" spans="1:29" ht="14.1" customHeight="1" thickBot="1">
      <c r="A193" s="21">
        <v>49</v>
      </c>
      <c r="B193" s="72"/>
      <c r="C193" s="171" t="s">
        <v>249</v>
      </c>
      <c r="D193" s="397" t="str">
        <f t="shared" si="18"/>
        <v/>
      </c>
      <c r="E193" s="398" t="str">
        <f t="shared" si="18"/>
        <v/>
      </c>
      <c r="F193" s="399" t="str">
        <f t="shared" si="18"/>
        <v/>
      </c>
      <c r="G193" s="383" t="s">
        <v>249</v>
      </c>
      <c r="H193" s="388" t="str">
        <f t="shared" si="19"/>
        <v/>
      </c>
      <c r="I193" s="389" t="str">
        <f t="shared" si="16"/>
        <v/>
      </c>
      <c r="J193" s="390" t="str">
        <f t="shared" si="16"/>
        <v/>
      </c>
      <c r="K193" s="392" t="str">
        <f t="shared" si="20"/>
        <v/>
      </c>
      <c r="L193" s="393" t="str">
        <f t="shared" si="17"/>
        <v/>
      </c>
      <c r="M193" s="615" t="str">
        <f t="shared" si="17"/>
        <v/>
      </c>
      <c r="O193" s="147" t="s">
        <v>252</v>
      </c>
      <c r="Y193" s="36"/>
    </row>
    <row r="194" spans="1:29" ht="14.1" customHeight="1" thickBot="1">
      <c r="A194" s="21">
        <v>50</v>
      </c>
      <c r="B194" s="72"/>
      <c r="C194" s="171" t="s">
        <v>95</v>
      </c>
      <c r="D194" s="115" t="str">
        <f>IF(U179="","",U179)</f>
        <v>W/Rh</v>
      </c>
      <c r="E194" s="73"/>
      <c r="F194" s="73"/>
      <c r="G194" s="394" t="s">
        <v>257</v>
      </c>
      <c r="H194" s="411" t="str">
        <f t="shared" si="19"/>
        <v/>
      </c>
      <c r="I194" s="412" t="str">
        <f t="shared" si="16"/>
        <v/>
      </c>
      <c r="J194" s="413" t="str">
        <f t="shared" si="16"/>
        <v/>
      </c>
      <c r="K194" s="408" t="str">
        <f t="shared" si="20"/>
        <v/>
      </c>
      <c r="L194" s="409" t="str">
        <f t="shared" si="17"/>
        <v/>
      </c>
      <c r="M194" s="616" t="str">
        <f t="shared" si="17"/>
        <v/>
      </c>
      <c r="O194" s="170"/>
      <c r="P194" s="171" t="s">
        <v>95</v>
      </c>
      <c r="Q194" s="145" t="s">
        <v>237</v>
      </c>
      <c r="T194" s="171" t="s">
        <v>95</v>
      </c>
      <c r="U194" s="145" t="s">
        <v>238</v>
      </c>
      <c r="V194" s="6"/>
      <c r="X194" s="6"/>
      <c r="Y194" s="36"/>
    </row>
    <row r="195" spans="1:29" ht="14.1" customHeight="1" thickBot="1">
      <c r="A195" s="21">
        <v>51</v>
      </c>
      <c r="B195" s="72"/>
      <c r="C195" s="171" t="s">
        <v>244</v>
      </c>
      <c r="D195" s="400" t="str">
        <f>IF(U184="","",U184)</f>
        <v/>
      </c>
      <c r="E195" s="401" t="str">
        <f t="shared" ref="E195:F200" si="21">IF(V184="","",V184)</f>
        <v/>
      </c>
      <c r="F195" s="402" t="str">
        <f t="shared" si="21"/>
        <v/>
      </c>
      <c r="G195" s="394" t="s">
        <v>258</v>
      </c>
      <c r="H195" s="388" t="str">
        <f t="shared" si="19"/>
        <v/>
      </c>
      <c r="I195" s="389" t="str">
        <f t="shared" si="16"/>
        <v/>
      </c>
      <c r="J195" s="390" t="str">
        <f t="shared" si="16"/>
        <v/>
      </c>
      <c r="K195" s="392" t="str">
        <f t="shared" si="20"/>
        <v/>
      </c>
      <c r="L195" s="393" t="str">
        <f t="shared" si="17"/>
        <v/>
      </c>
      <c r="M195" s="615" t="str">
        <f t="shared" si="17"/>
        <v/>
      </c>
      <c r="O195" s="170"/>
      <c r="P195" s="171" t="s">
        <v>173</v>
      </c>
      <c r="Q195" s="145">
        <v>28</v>
      </c>
      <c r="R195" s="6"/>
      <c r="S195" s="6"/>
      <c r="T195" s="171" t="s">
        <v>173</v>
      </c>
      <c r="U195" s="145">
        <v>32</v>
      </c>
      <c r="V195" s="6"/>
      <c r="W195" s="6"/>
      <c r="X195" s="6"/>
      <c r="Y195" s="36"/>
    </row>
    <row r="196" spans="1:29" ht="14.1" customHeight="1">
      <c r="A196" s="21">
        <v>52</v>
      </c>
      <c r="B196" s="72"/>
      <c r="C196" s="171" t="s">
        <v>245</v>
      </c>
      <c r="D196" s="391" t="str">
        <f t="shared" ref="D196:D200" si="22">IF(U185="","",U185)</f>
        <v/>
      </c>
      <c r="E196" s="381" t="str">
        <f t="shared" si="21"/>
        <v/>
      </c>
      <c r="F196" s="403" t="str">
        <f t="shared" si="21"/>
        <v/>
      </c>
      <c r="G196" s="73"/>
      <c r="H196" s="380" t="str">
        <f>IF(MAX(D192:F193,D199:F200)&gt;13,"Fail","Pass")</f>
        <v>Pass</v>
      </c>
      <c r="I196" s="73" t="s">
        <v>544</v>
      </c>
      <c r="J196" s="73"/>
      <c r="K196" s="73"/>
      <c r="L196" s="73"/>
      <c r="M196" s="74"/>
      <c r="O196" s="170"/>
      <c r="P196" s="171" t="s">
        <v>219</v>
      </c>
      <c r="Q196" s="145">
        <v>50</v>
      </c>
      <c r="R196" s="6"/>
      <c r="S196" s="6"/>
      <c r="T196" s="171" t="s">
        <v>219</v>
      </c>
      <c r="U196" s="145">
        <v>71</v>
      </c>
      <c r="V196" s="6"/>
      <c r="W196" s="6"/>
      <c r="X196" s="6"/>
      <c r="Y196" s="36"/>
    </row>
    <row r="197" spans="1:29" ht="14.1" customHeight="1">
      <c r="A197" s="21">
        <v>53</v>
      </c>
      <c r="B197" s="72"/>
      <c r="C197" s="171" t="s">
        <v>246</v>
      </c>
      <c r="D197" s="391" t="str">
        <f t="shared" si="22"/>
        <v/>
      </c>
      <c r="E197" s="381" t="str">
        <f t="shared" si="21"/>
        <v/>
      </c>
      <c r="F197" s="403" t="str">
        <f t="shared" si="21"/>
        <v/>
      </c>
      <c r="G197" s="73"/>
      <c r="H197" s="380" t="str">
        <f>IF(MAX(H192:M193)&gt;13,"Fail","Pass")</f>
        <v>Pass</v>
      </c>
      <c r="I197" s="73" t="s">
        <v>545</v>
      </c>
      <c r="J197" s="73"/>
      <c r="K197" s="73"/>
      <c r="L197" s="73"/>
      <c r="M197" s="74"/>
      <c r="O197" s="34"/>
      <c r="P197" s="73"/>
      <c r="Q197" s="751" t="s">
        <v>240</v>
      </c>
      <c r="R197" s="751"/>
      <c r="S197" s="751"/>
      <c r="T197" s="6"/>
      <c r="U197" s="751" t="s">
        <v>240</v>
      </c>
      <c r="V197" s="751"/>
      <c r="W197" s="751"/>
      <c r="X197" s="6"/>
      <c r="Y197" s="36"/>
    </row>
    <row r="198" spans="1:29" ht="14.1" customHeight="1" thickBot="1">
      <c r="A198" s="21">
        <v>54</v>
      </c>
      <c r="B198" s="72"/>
      <c r="C198" s="171" t="s">
        <v>247</v>
      </c>
      <c r="D198" s="392" t="str">
        <f t="shared" si="22"/>
        <v/>
      </c>
      <c r="E198" s="393" t="str">
        <f t="shared" si="21"/>
        <v/>
      </c>
      <c r="F198" s="404" t="str">
        <f t="shared" si="21"/>
        <v/>
      </c>
      <c r="G198" s="73"/>
      <c r="H198" s="380" t="str">
        <f>IF(OR(MAX(H194:M194)&gt;6.5,MAX(H195:M195)&gt;5),"Fail","Pass")</f>
        <v>Pass</v>
      </c>
      <c r="I198" s="73" t="s">
        <v>546</v>
      </c>
      <c r="J198" s="73"/>
      <c r="K198" s="73"/>
      <c r="L198" s="73"/>
      <c r="M198" s="74"/>
      <c r="O198" s="34"/>
      <c r="P198" s="73"/>
      <c r="Q198" s="14" t="s">
        <v>241</v>
      </c>
      <c r="R198" s="14" t="s">
        <v>242</v>
      </c>
      <c r="S198" s="115" t="s">
        <v>243</v>
      </c>
      <c r="T198" s="6"/>
      <c r="U198" s="14" t="s">
        <v>241</v>
      </c>
      <c r="V198" s="14" t="s">
        <v>242</v>
      </c>
      <c r="W198" s="115" t="s">
        <v>243</v>
      </c>
      <c r="X198" s="6"/>
      <c r="Y198" s="36"/>
    </row>
    <row r="199" spans="1:29" ht="14.1" customHeight="1">
      <c r="A199" s="21">
        <v>55</v>
      </c>
      <c r="B199" s="72"/>
      <c r="C199" s="171" t="s">
        <v>248</v>
      </c>
      <c r="D199" s="408" t="str">
        <f t="shared" si="22"/>
        <v/>
      </c>
      <c r="E199" s="409" t="str">
        <f t="shared" si="21"/>
        <v/>
      </c>
      <c r="F199" s="410" t="str">
        <f t="shared" si="21"/>
        <v/>
      </c>
      <c r="G199" s="5" t="s">
        <v>204</v>
      </c>
      <c r="H199" s="109" t="s">
        <v>250</v>
      </c>
      <c r="I199" s="73"/>
      <c r="J199" s="73"/>
      <c r="K199" s="73"/>
      <c r="L199" s="73"/>
      <c r="M199" s="74"/>
      <c r="O199" s="170"/>
      <c r="P199" s="171" t="s">
        <v>244</v>
      </c>
      <c r="Q199" s="172"/>
      <c r="R199" s="173"/>
      <c r="S199" s="174"/>
      <c r="T199" s="6"/>
      <c r="U199" s="172"/>
      <c r="V199" s="173"/>
      <c r="W199" s="174"/>
      <c r="X199" s="6"/>
      <c r="Y199" s="36"/>
    </row>
    <row r="200" spans="1:29" ht="14.1" customHeight="1" thickBot="1">
      <c r="A200" s="21">
        <v>56</v>
      </c>
      <c r="B200" s="72"/>
      <c r="C200" s="171" t="s">
        <v>249</v>
      </c>
      <c r="D200" s="392" t="str">
        <f t="shared" si="22"/>
        <v/>
      </c>
      <c r="E200" s="393" t="str">
        <f t="shared" si="21"/>
        <v/>
      </c>
      <c r="F200" s="404" t="str">
        <f t="shared" si="21"/>
        <v/>
      </c>
      <c r="G200" s="418"/>
      <c r="H200" s="109" t="s">
        <v>251</v>
      </c>
      <c r="I200" s="73"/>
      <c r="J200" s="73"/>
      <c r="K200" s="73"/>
      <c r="L200" s="73"/>
      <c r="M200" s="74"/>
      <c r="O200" s="170"/>
      <c r="P200" s="171" t="s">
        <v>245</v>
      </c>
      <c r="Q200" s="175"/>
      <c r="R200" s="176"/>
      <c r="S200" s="177"/>
      <c r="T200" s="6"/>
      <c r="U200" s="175"/>
      <c r="V200" s="176"/>
      <c r="W200" s="177"/>
      <c r="X200" s="6"/>
      <c r="Y200" s="36"/>
    </row>
    <row r="201" spans="1:29" ht="14.1" customHeight="1">
      <c r="A201" s="21">
        <v>57</v>
      </c>
      <c r="B201" s="72"/>
      <c r="C201" s="73"/>
      <c r="D201" s="73"/>
      <c r="E201" s="202"/>
      <c r="F201" s="73"/>
      <c r="G201" s="5"/>
      <c r="H201" s="109" t="s">
        <v>259</v>
      </c>
      <c r="I201" s="73"/>
      <c r="J201" s="73"/>
      <c r="K201" s="73"/>
      <c r="L201" s="73"/>
      <c r="M201" s="74"/>
      <c r="O201" s="170"/>
      <c r="P201" s="171" t="s">
        <v>246</v>
      </c>
      <c r="Q201" s="175"/>
      <c r="R201" s="176"/>
      <c r="S201" s="177"/>
      <c r="T201" s="6"/>
      <c r="U201" s="175"/>
      <c r="V201" s="176"/>
      <c r="W201" s="177"/>
      <c r="X201" s="73"/>
      <c r="Y201" s="36"/>
    </row>
    <row r="202" spans="1:29" ht="14.1" customHeight="1" thickBot="1">
      <c r="A202" s="21">
        <v>58</v>
      </c>
      <c r="B202" s="419"/>
      <c r="C202" s="420"/>
      <c r="D202" s="420"/>
      <c r="E202" s="420"/>
      <c r="F202" s="420"/>
      <c r="G202" s="414"/>
      <c r="H202" s="415" t="s">
        <v>260</v>
      </c>
      <c r="I202" s="420"/>
      <c r="J202" s="420"/>
      <c r="K202" s="420"/>
      <c r="L202" s="420"/>
      <c r="M202" s="421"/>
      <c r="O202" s="170"/>
      <c r="P202" s="171" t="s">
        <v>247</v>
      </c>
      <c r="Q202" s="179"/>
      <c r="R202" s="180"/>
      <c r="S202" s="181"/>
      <c r="T202" s="6"/>
      <c r="U202" s="179"/>
      <c r="V202" s="180"/>
      <c r="W202" s="181"/>
      <c r="X202" s="73"/>
      <c r="Y202" s="36"/>
    </row>
    <row r="203" spans="1:29" ht="14.1" customHeight="1" thickBot="1">
      <c r="A203" s="21">
        <v>59</v>
      </c>
      <c r="B203" s="72"/>
      <c r="C203" s="154" t="s">
        <v>261</v>
      </c>
      <c r="D203" s="73"/>
      <c r="E203" s="73"/>
      <c r="F203" s="73"/>
      <c r="G203" s="73"/>
      <c r="H203" s="73"/>
      <c r="I203" s="73"/>
      <c r="J203" s="73"/>
      <c r="K203" s="73"/>
      <c r="L203" s="73"/>
      <c r="M203" s="74"/>
      <c r="O203" s="170"/>
      <c r="P203" s="171" t="s">
        <v>248</v>
      </c>
      <c r="Q203" s="213" t="str">
        <f>IF(OR(Q199="",Q200=""),"",ABS(Q199)+ABS(Q200))</f>
        <v/>
      </c>
      <c r="R203" s="214" t="str">
        <f>IF(OR(R199="",R200=""),"",ABS(R199)+ABS(R200))</f>
        <v/>
      </c>
      <c r="S203" s="185" t="str">
        <f>IF(OR(S199="",S200=""),"",ABS(S199)+ABS(S200))</f>
        <v/>
      </c>
      <c r="U203" s="213" t="str">
        <f>IF(OR(U199="",U200=""),"",ABS(U199)+ABS(U200))</f>
        <v/>
      </c>
      <c r="V203" s="214" t="str">
        <f>IF(OR(V199="",V200=""),"",ABS(V199)+ABS(V200))</f>
        <v/>
      </c>
      <c r="W203" s="185" t="str">
        <f>IF(OR(W199="",W200=""),"",ABS(W199)+ABS(W200))</f>
        <v/>
      </c>
      <c r="Y203" s="36"/>
    </row>
    <row r="204" spans="1:29" ht="14.1" customHeight="1" thickBot="1">
      <c r="A204" s="21">
        <v>60</v>
      </c>
      <c r="B204" s="72"/>
      <c r="C204" s="171" t="s">
        <v>51</v>
      </c>
      <c r="D204" s="436" t="str">
        <f t="shared" ref="D204:E207" si="23">IF(Q213="","",Q213)</f>
        <v>Mo/Mo</v>
      </c>
      <c r="E204" s="437" t="str">
        <f t="shared" si="23"/>
        <v>W/Rh</v>
      </c>
      <c r="F204" s="73"/>
      <c r="G204" s="73"/>
      <c r="H204" s="73"/>
      <c r="I204" s="73"/>
      <c r="J204" s="73"/>
      <c r="K204" s="73"/>
      <c r="L204" s="73"/>
      <c r="M204" s="74"/>
      <c r="O204" s="170"/>
      <c r="P204" s="171" t="s">
        <v>249</v>
      </c>
      <c r="Q204" s="216" t="str">
        <f>IF(OR(Q201="",Q202=""),"",ABS(Q201)+ABS(Q202))</f>
        <v/>
      </c>
      <c r="R204" s="217" t="str">
        <f>IF(OR(R201="",R202=""),"",ABS(R201)+ABS(R202))</f>
        <v/>
      </c>
      <c r="S204" s="186" t="str">
        <f>IF(OR(S201="",S202=""),"",ABS(S201)+ABS(S202))</f>
        <v/>
      </c>
      <c r="U204" s="216" t="str">
        <f>IF(OR(U201="",U202=""),"",ABS(U201)+ABS(U202))</f>
        <v/>
      </c>
      <c r="V204" s="217" t="str">
        <f>IF(OR(V201="",V202=""),"",ABS(V201)+ABS(V202))</f>
        <v/>
      </c>
      <c r="W204" s="186" t="str">
        <f>IF(OR(W201="",W202=""),"",ABS(W201)+ABS(W202))</f>
        <v/>
      </c>
      <c r="Y204" s="36"/>
    </row>
    <row r="205" spans="1:29" ht="14.1" customHeight="1" thickBot="1">
      <c r="A205" s="21">
        <v>61</v>
      </c>
      <c r="B205" s="72"/>
      <c r="C205" s="171" t="s">
        <v>173</v>
      </c>
      <c r="D205" s="438" t="str">
        <f t="shared" si="23"/>
        <v/>
      </c>
      <c r="E205" s="439" t="str">
        <f t="shared" si="23"/>
        <v/>
      </c>
      <c r="F205" s="73"/>
      <c r="G205" s="171" t="s">
        <v>218</v>
      </c>
      <c r="H205" s="152" t="str">
        <f>IF(AND(Q217="",R217=""),"",IF(OR(Q217="Fail",R217="Fail"),"Fail","Pass"))</f>
        <v/>
      </c>
      <c r="I205" s="73"/>
      <c r="J205" s="73"/>
      <c r="K205" s="73"/>
      <c r="L205" s="73"/>
      <c r="M205" s="74"/>
      <c r="O205" s="170"/>
      <c r="P205" s="171" t="s">
        <v>256</v>
      </c>
      <c r="Q205" s="172"/>
      <c r="R205" s="173"/>
      <c r="S205" s="174"/>
      <c r="U205" s="172"/>
      <c r="V205" s="173"/>
      <c r="W205" s="174"/>
      <c r="Y205" s="36"/>
    </row>
    <row r="206" spans="1:29" ht="14.1" customHeight="1" thickBot="1">
      <c r="A206" s="21">
        <v>62</v>
      </c>
      <c r="B206" s="72"/>
      <c r="C206" s="171" t="s">
        <v>219</v>
      </c>
      <c r="D206" s="438" t="str">
        <f t="shared" si="23"/>
        <v/>
      </c>
      <c r="E206" s="439" t="str">
        <f t="shared" si="23"/>
        <v/>
      </c>
      <c r="F206" s="73"/>
      <c r="G206" s="5"/>
      <c r="H206" s="202"/>
      <c r="I206" s="73"/>
      <c r="J206" s="73"/>
      <c r="K206" s="73"/>
      <c r="L206" s="73"/>
      <c r="M206" s="74"/>
      <c r="O206" s="195"/>
      <c r="P206" s="171" t="s">
        <v>258</v>
      </c>
      <c r="Q206" s="196"/>
      <c r="R206" s="197"/>
      <c r="S206" s="198"/>
      <c r="U206" s="196"/>
      <c r="V206" s="197"/>
      <c r="W206" s="198"/>
      <c r="Y206" s="36"/>
    </row>
    <row r="207" spans="1:29" ht="14.1" customHeight="1" thickBot="1">
      <c r="A207" s="21">
        <v>63</v>
      </c>
      <c r="B207" s="72"/>
      <c r="C207" s="171" t="s">
        <v>263</v>
      </c>
      <c r="D207" s="440" t="str">
        <f t="shared" si="23"/>
        <v/>
      </c>
      <c r="E207" s="441" t="str">
        <f t="shared" si="23"/>
        <v/>
      </c>
      <c r="F207" s="73"/>
      <c r="G207" s="73"/>
      <c r="H207" s="73"/>
      <c r="I207" s="73"/>
      <c r="J207" s="73"/>
      <c r="K207" s="73"/>
      <c r="L207" s="73"/>
      <c r="M207" s="74"/>
      <c r="O207" s="147"/>
      <c r="P207" s="121" t="s">
        <v>204</v>
      </c>
      <c r="Q207" s="146" t="s">
        <v>250</v>
      </c>
      <c r="R207" s="6"/>
      <c r="Y207" s="36"/>
    </row>
    <row r="208" spans="1:29" ht="14.1" customHeight="1">
      <c r="A208" s="21">
        <v>64</v>
      </c>
      <c r="B208" s="72"/>
      <c r="C208" s="5" t="s">
        <v>204</v>
      </c>
      <c r="D208" s="109" t="str">
        <f>Q218</f>
        <v>Limiting system resolution must be 6 lp/mm or higher</v>
      </c>
      <c r="E208" s="73"/>
      <c r="F208" s="73"/>
      <c r="G208" s="73"/>
      <c r="H208" s="73"/>
      <c r="I208" s="73"/>
      <c r="J208" s="73"/>
      <c r="K208" s="73"/>
      <c r="L208" s="73"/>
      <c r="M208" s="74"/>
      <c r="O208" s="34"/>
      <c r="P208" s="31"/>
      <c r="Q208" s="146" t="s">
        <v>251</v>
      </c>
      <c r="R208" s="6"/>
      <c r="Y208" s="36"/>
      <c r="AA208" s="13"/>
      <c r="AB208" s="13"/>
      <c r="AC208" s="13"/>
    </row>
    <row r="209" spans="1:29" ht="14.1" customHeight="1">
      <c r="A209" s="21">
        <v>65</v>
      </c>
      <c r="B209" s="72"/>
      <c r="C209" s="73"/>
      <c r="D209" s="73"/>
      <c r="E209" s="73"/>
      <c r="F209" s="73"/>
      <c r="G209" s="73"/>
      <c r="H209" s="73"/>
      <c r="I209" s="73"/>
      <c r="J209" s="73"/>
      <c r="K209" s="73"/>
      <c r="L209" s="73"/>
      <c r="M209" s="74"/>
      <c r="O209" s="34"/>
      <c r="P209" s="6"/>
      <c r="Q209" s="200" t="s">
        <v>259</v>
      </c>
      <c r="R209" s="6"/>
      <c r="Y209" s="36"/>
      <c r="AA209" s="13"/>
      <c r="AB209" s="13"/>
      <c r="AC209" s="13"/>
    </row>
    <row r="210" spans="1:29" ht="14.1" customHeight="1">
      <c r="A210" s="21">
        <v>66</v>
      </c>
      <c r="B210" s="72"/>
      <c r="C210" s="73"/>
      <c r="D210" s="73"/>
      <c r="E210" s="73"/>
      <c r="F210" s="73"/>
      <c r="G210" s="73"/>
      <c r="H210" s="73"/>
      <c r="I210" s="73"/>
      <c r="J210" s="73"/>
      <c r="K210" s="73"/>
      <c r="L210" s="73"/>
      <c r="M210" s="74"/>
      <c r="O210" s="34"/>
      <c r="Q210" s="146" t="s">
        <v>260</v>
      </c>
      <c r="R210" s="6"/>
      <c r="Y210" s="36"/>
      <c r="AA210" s="13"/>
      <c r="AB210" s="13"/>
      <c r="AC210" s="13"/>
    </row>
    <row r="211" spans="1:29" ht="14.1" customHeight="1" thickBot="1">
      <c r="A211" s="21">
        <v>67</v>
      </c>
      <c r="B211" s="72"/>
      <c r="C211" s="73"/>
      <c r="D211" s="73"/>
      <c r="E211" s="73"/>
      <c r="F211" s="73"/>
      <c r="G211" s="73"/>
      <c r="H211" s="73"/>
      <c r="I211" s="73"/>
      <c r="J211" s="73"/>
      <c r="K211" s="73"/>
      <c r="L211" s="73"/>
      <c r="M211" s="74"/>
      <c r="O211" s="44"/>
      <c r="P211" s="201"/>
      <c r="Q211" s="201"/>
      <c r="R211" s="45"/>
      <c r="S211" s="45"/>
      <c r="T211" s="45"/>
      <c r="U211" s="45"/>
      <c r="V211" s="45"/>
      <c r="W211" s="45"/>
      <c r="X211" s="45"/>
      <c r="Y211" s="46"/>
      <c r="AA211" s="13"/>
      <c r="AB211" s="13"/>
      <c r="AC211" s="13"/>
    </row>
    <row r="212" spans="1:29" ht="14.1" customHeight="1">
      <c r="A212" s="21">
        <v>68</v>
      </c>
      <c r="B212" s="72"/>
      <c r="C212" s="73"/>
      <c r="D212" s="73"/>
      <c r="E212" s="73"/>
      <c r="F212" s="73"/>
      <c r="G212" s="73"/>
      <c r="H212" s="73"/>
      <c r="I212" s="73"/>
      <c r="J212" s="73"/>
      <c r="K212" s="73"/>
      <c r="L212" s="73"/>
      <c r="M212" s="74"/>
      <c r="O212" s="147" t="s">
        <v>261</v>
      </c>
      <c r="Y212" s="36"/>
      <c r="AA212" s="13"/>
      <c r="AB212" s="13"/>
      <c r="AC212" s="13"/>
    </row>
    <row r="213" spans="1:29" ht="14.1" customHeight="1">
      <c r="A213" s="21">
        <v>69</v>
      </c>
      <c r="B213" s="72"/>
      <c r="C213" s="73"/>
      <c r="D213" s="73"/>
      <c r="E213" s="73"/>
      <c r="F213" s="73"/>
      <c r="G213" s="73"/>
      <c r="H213" s="73"/>
      <c r="I213" s="73"/>
      <c r="J213" s="73"/>
      <c r="K213" s="73"/>
      <c r="L213" s="73"/>
      <c r="M213" s="74"/>
      <c r="O213" s="34"/>
      <c r="P213" s="39" t="s">
        <v>95</v>
      </c>
      <c r="Q213" s="20" t="s">
        <v>237</v>
      </c>
      <c r="R213" s="20" t="s">
        <v>238</v>
      </c>
      <c r="Y213" s="36"/>
      <c r="AA213" s="13"/>
      <c r="AB213" s="13"/>
      <c r="AC213" s="13"/>
    </row>
    <row r="214" spans="1:29" ht="14.1" customHeight="1" thickBot="1">
      <c r="A214" s="21">
        <v>70</v>
      </c>
      <c r="B214" s="85"/>
      <c r="C214" s="86"/>
      <c r="D214" s="86"/>
      <c r="E214" s="86"/>
      <c r="F214" s="86"/>
      <c r="G214" s="86"/>
      <c r="H214" s="86"/>
      <c r="I214" s="86"/>
      <c r="J214" s="86"/>
      <c r="K214" s="86"/>
      <c r="L214" s="86"/>
      <c r="M214" s="87"/>
      <c r="O214" s="34"/>
      <c r="P214" s="39" t="s">
        <v>173</v>
      </c>
      <c r="Q214" s="153"/>
      <c r="R214" s="153"/>
      <c r="Y214" s="36"/>
      <c r="AA214" s="13"/>
      <c r="AB214" s="13"/>
      <c r="AC214" s="13"/>
    </row>
    <row r="215" spans="1:29" ht="14.1" customHeight="1" thickTop="1">
      <c r="A215" s="21">
        <v>71</v>
      </c>
      <c r="C215" s="117" t="s">
        <v>11</v>
      </c>
      <c r="D215" s="422" t="str">
        <f>IF($P$7="","",$P$7)</f>
        <v/>
      </c>
      <c r="E215" s="31"/>
      <c r="F215" s="31"/>
      <c r="G215" s="31"/>
      <c r="H215" s="31"/>
      <c r="I215" s="31"/>
      <c r="J215" s="31"/>
      <c r="K215" s="31"/>
      <c r="L215" s="117" t="s">
        <v>12</v>
      </c>
      <c r="M215" s="423" t="str">
        <f>IF($X$7="","",$X$7)</f>
        <v>Eugene Mah</v>
      </c>
      <c r="O215" s="34"/>
      <c r="P215" s="39" t="s">
        <v>219</v>
      </c>
      <c r="Q215" s="153"/>
      <c r="R215" s="153"/>
      <c r="Y215" s="36"/>
      <c r="AA215" s="13"/>
      <c r="AB215" s="13"/>
      <c r="AC215" s="13"/>
    </row>
    <row r="216" spans="1:29" ht="14.1" customHeight="1">
      <c r="A216" s="21">
        <v>72</v>
      </c>
      <c r="C216" s="117" t="s">
        <v>121</v>
      </c>
      <c r="D216" s="423" t="str">
        <f>IF($R$14="","",$R$14)</f>
        <v/>
      </c>
      <c r="E216" s="31"/>
      <c r="F216" s="31"/>
      <c r="G216" s="31"/>
      <c r="H216" s="31"/>
      <c r="I216" s="31"/>
      <c r="J216" s="31"/>
      <c r="K216" s="31"/>
      <c r="L216" s="117" t="s">
        <v>37</v>
      </c>
      <c r="M216" s="423" t="str">
        <f>IF($R$13="","",$R$13)</f>
        <v/>
      </c>
      <c r="O216" s="34"/>
      <c r="P216" s="39" t="s">
        <v>263</v>
      </c>
      <c r="Q216" s="153"/>
      <c r="R216" s="153"/>
      <c r="Y216" s="36"/>
      <c r="AA216" s="13"/>
      <c r="AB216" s="13"/>
      <c r="AC216" s="13"/>
    </row>
    <row r="217" spans="1:29" ht="14.1" customHeight="1">
      <c r="A217" s="21">
        <v>1</v>
      </c>
      <c r="M217" s="120" t="str">
        <f>$H$2</f>
        <v>Medical University of South Carolina</v>
      </c>
      <c r="O217" s="34"/>
      <c r="P217" s="39" t="s">
        <v>218</v>
      </c>
      <c r="Q217" s="15" t="str">
        <f>IF(Q216="","",IF(Q216&gt;=7,"Pass","Fail"))</f>
        <v/>
      </c>
      <c r="R217" s="15" t="str">
        <f>IF(R216="","",IF(R216&gt;=7,"Pass","Fail"))</f>
        <v/>
      </c>
      <c r="Y217" s="36"/>
    </row>
    <row r="218" spans="1:29" ht="14.1" customHeight="1" thickBot="1">
      <c r="A218" s="21">
        <v>2</v>
      </c>
      <c r="H218" s="55" t="s">
        <v>73</v>
      </c>
      <c r="M218" s="121" t="str">
        <f>$H$5</f>
        <v>Mammography System Compliance Inspection</v>
      </c>
      <c r="O218" s="34"/>
      <c r="P218" s="5" t="s">
        <v>204</v>
      </c>
      <c r="Q218" s="202" t="s">
        <v>264</v>
      </c>
      <c r="R218" s="73"/>
      <c r="S218" s="73"/>
      <c r="T218" s="73"/>
      <c r="U218" s="73"/>
      <c r="V218" s="73"/>
      <c r="W218" s="73"/>
      <c r="X218" s="73"/>
      <c r="Y218" s="36"/>
    </row>
    <row r="219" spans="1:29" ht="14.1" customHeight="1" thickTop="1" thickBot="1">
      <c r="A219" s="21">
        <v>3</v>
      </c>
      <c r="B219" s="63"/>
      <c r="C219" s="65" t="s">
        <v>265</v>
      </c>
      <c r="D219" s="64"/>
      <c r="E219" s="64"/>
      <c r="F219" s="64"/>
      <c r="G219" s="64"/>
      <c r="H219" s="64"/>
      <c r="I219" s="64"/>
      <c r="J219" s="64"/>
      <c r="K219" s="64"/>
      <c r="L219" s="64"/>
      <c r="M219" s="66"/>
      <c r="O219" s="44"/>
      <c r="P219" s="45"/>
      <c r="Q219" s="45"/>
      <c r="R219" s="45"/>
      <c r="S219" s="45"/>
      <c r="T219" s="45"/>
      <c r="U219" s="45"/>
      <c r="V219" s="45"/>
      <c r="W219" s="45"/>
      <c r="X219" s="45"/>
      <c r="Y219" s="46"/>
    </row>
    <row r="220" spans="1:29" ht="14.1" customHeight="1">
      <c r="A220" s="21">
        <v>4</v>
      </c>
      <c r="B220" s="72"/>
      <c r="C220" s="171" t="s">
        <v>266</v>
      </c>
      <c r="D220" s="148" t="str">
        <f>IF(P221="","",P221)</f>
        <v/>
      </c>
      <c r="E220" s="73"/>
      <c r="F220" s="171" t="s">
        <v>267</v>
      </c>
      <c r="G220" s="148" t="str">
        <f>IF(S221="","",S221)</f>
        <v/>
      </c>
      <c r="H220" s="73"/>
      <c r="I220" s="73" t="s">
        <v>95</v>
      </c>
      <c r="J220" s="148" t="str">
        <f>IF(V221="","",V221)</f>
        <v>W/Rh</v>
      </c>
      <c r="K220" s="73"/>
      <c r="L220" s="73"/>
      <c r="M220" s="74"/>
      <c r="O220" s="147" t="s">
        <v>265</v>
      </c>
      <c r="Y220" s="36"/>
    </row>
    <row r="221" spans="1:29" ht="14.1" customHeight="1">
      <c r="A221" s="21">
        <v>5</v>
      </c>
      <c r="B221" s="72"/>
      <c r="C221" s="115" t="s">
        <v>70</v>
      </c>
      <c r="D221" s="73"/>
      <c r="E221" s="73"/>
      <c r="F221" s="73"/>
      <c r="G221" s="73"/>
      <c r="H221" s="115"/>
      <c r="I221" s="73"/>
      <c r="J221" s="378"/>
      <c r="K221" s="73"/>
      <c r="L221" s="73"/>
      <c r="M221" s="74"/>
      <c r="O221" s="34" t="s">
        <v>266</v>
      </c>
      <c r="P221" s="145"/>
      <c r="R221" s="39" t="s">
        <v>267</v>
      </c>
      <c r="S221" s="145"/>
      <c r="U221" s="25" t="s">
        <v>95</v>
      </c>
      <c r="V221" s="145" t="s">
        <v>238</v>
      </c>
      <c r="Y221" s="36"/>
    </row>
    <row r="222" spans="1:29" ht="14.1" customHeight="1" thickBot="1">
      <c r="A222" s="21">
        <v>6</v>
      </c>
      <c r="B222" s="72"/>
      <c r="C222" s="115" t="s">
        <v>268</v>
      </c>
      <c r="D222" s="115" t="s">
        <v>518</v>
      </c>
      <c r="E222" s="115" t="s">
        <v>269</v>
      </c>
      <c r="F222" s="115" t="s">
        <v>72</v>
      </c>
      <c r="G222" s="115" t="s">
        <v>270</v>
      </c>
      <c r="H222" s="115" t="s">
        <v>271</v>
      </c>
      <c r="I222" s="115"/>
      <c r="J222" s="378"/>
      <c r="K222" s="73"/>
      <c r="L222" s="73"/>
      <c r="M222" s="74"/>
      <c r="O222" s="34"/>
      <c r="P222" s="14" t="s">
        <v>70</v>
      </c>
      <c r="U222" s="14"/>
      <c r="W222" s="6"/>
      <c r="Y222" s="36"/>
    </row>
    <row r="223" spans="1:29" ht="14.1" customHeight="1" thickBot="1">
      <c r="A223" s="21">
        <v>7</v>
      </c>
      <c r="B223" s="72"/>
      <c r="C223" s="436">
        <f t="shared" ref="C223:H226" si="24">IF(P224="","",P224)</f>
        <v>2</v>
      </c>
      <c r="D223" s="442" t="str">
        <f t="shared" si="24"/>
        <v/>
      </c>
      <c r="E223" s="442" t="str">
        <f t="shared" si="24"/>
        <v/>
      </c>
      <c r="F223" s="442" t="str">
        <f t="shared" si="24"/>
        <v/>
      </c>
      <c r="G223" s="442" t="str">
        <f t="shared" si="24"/>
        <v/>
      </c>
      <c r="H223" s="443" t="str">
        <f t="shared" si="24"/>
        <v/>
      </c>
      <c r="I223" s="379"/>
      <c r="J223" s="171" t="s">
        <v>272</v>
      </c>
      <c r="K223" s="333" t="str">
        <f>IF(X224="","",X224)</f>
        <v/>
      </c>
      <c r="L223" s="73"/>
      <c r="M223" s="74"/>
      <c r="O223" s="34"/>
      <c r="P223" s="14" t="s">
        <v>268</v>
      </c>
      <c r="Q223" s="14" t="s">
        <v>518</v>
      </c>
      <c r="R223" s="14" t="s">
        <v>269</v>
      </c>
      <c r="S223" s="14" t="s">
        <v>72</v>
      </c>
      <c r="T223" s="14" t="s">
        <v>270</v>
      </c>
      <c r="U223" s="14" t="s">
        <v>271</v>
      </c>
      <c r="V223" s="6"/>
      <c r="W223" s="6"/>
      <c r="Y223" s="36"/>
    </row>
    <row r="224" spans="1:29" ht="14.1" customHeight="1" thickBot="1">
      <c r="A224" s="21">
        <v>8</v>
      </c>
      <c r="B224" s="72"/>
      <c r="C224" s="438">
        <f t="shared" si="24"/>
        <v>4</v>
      </c>
      <c r="D224" s="15" t="str">
        <f t="shared" si="24"/>
        <v/>
      </c>
      <c r="E224" s="15" t="str">
        <f t="shared" si="24"/>
        <v/>
      </c>
      <c r="F224" s="15" t="str">
        <f t="shared" si="24"/>
        <v/>
      </c>
      <c r="G224" s="15" t="str">
        <f t="shared" si="24"/>
        <v/>
      </c>
      <c r="H224" s="444" t="str">
        <f t="shared" si="24"/>
        <v/>
      </c>
      <c r="I224" s="379"/>
      <c r="J224" s="171" t="s">
        <v>273</v>
      </c>
      <c r="K224" s="333" t="str">
        <f>IF(X225="","",X225)</f>
        <v/>
      </c>
      <c r="L224" s="73"/>
      <c r="M224" s="74"/>
      <c r="O224" s="34"/>
      <c r="P224" s="203">
        <v>2</v>
      </c>
      <c r="Q224" s="204"/>
      <c r="R224" s="205"/>
      <c r="S224" s="205"/>
      <c r="T224" s="205"/>
      <c r="U224" s="192" t="str">
        <f>IF(OR(T224="",$X$224=""),"",(T224-$X$224)/$X$224)</f>
        <v/>
      </c>
      <c r="V224" s="6"/>
      <c r="W224" s="39" t="s">
        <v>272</v>
      </c>
      <c r="X224" s="206" t="str">
        <f>IF(T224="","",AVERAGE(T224:T231))</f>
        <v/>
      </c>
      <c r="Y224" s="36"/>
    </row>
    <row r="225" spans="1:27" ht="14.1" customHeight="1" thickBot="1">
      <c r="A225" s="21">
        <v>9</v>
      </c>
      <c r="B225" s="72"/>
      <c r="C225" s="438">
        <f t="shared" si="24"/>
        <v>6</v>
      </c>
      <c r="D225" s="15" t="str">
        <f t="shared" si="24"/>
        <v/>
      </c>
      <c r="E225" s="15" t="str">
        <f t="shared" si="24"/>
        <v/>
      </c>
      <c r="F225" s="15" t="str">
        <f t="shared" si="24"/>
        <v/>
      </c>
      <c r="G225" s="15" t="str">
        <f t="shared" si="24"/>
        <v/>
      </c>
      <c r="H225" s="444" t="str">
        <f t="shared" si="24"/>
        <v/>
      </c>
      <c r="I225" s="379"/>
      <c r="J225" s="171" t="s">
        <v>274</v>
      </c>
      <c r="K225" s="447" t="str">
        <f>IF(X226="","",X226)</f>
        <v/>
      </c>
      <c r="L225" s="73"/>
      <c r="M225" s="74"/>
      <c r="O225" s="34"/>
      <c r="P225" s="207">
        <v>4</v>
      </c>
      <c r="Q225" s="208"/>
      <c r="R225" s="153"/>
      <c r="S225" s="153"/>
      <c r="T225" s="153"/>
      <c r="U225" s="191" t="str">
        <f>IF(OR(T225="",$X$224=""),"",(T225-$X$224)/$X$224)</f>
        <v/>
      </c>
      <c r="V225" s="6"/>
      <c r="W225" s="39" t="s">
        <v>273</v>
      </c>
      <c r="X225" s="206" t="str">
        <f>IF(T224="","",_xlfn.STDEV.S(T224:T227))</f>
        <v/>
      </c>
      <c r="Y225" s="36"/>
    </row>
    <row r="226" spans="1:27" ht="14.1" customHeight="1" thickBot="1">
      <c r="A226" s="21">
        <v>10</v>
      </c>
      <c r="B226" s="72"/>
      <c r="C226" s="440">
        <f t="shared" si="24"/>
        <v>8</v>
      </c>
      <c r="D226" s="445" t="str">
        <f t="shared" si="24"/>
        <v/>
      </c>
      <c r="E226" s="445" t="str">
        <f t="shared" si="24"/>
        <v/>
      </c>
      <c r="F226" s="445" t="str">
        <f t="shared" si="24"/>
        <v/>
      </c>
      <c r="G226" s="445" t="str">
        <f t="shared" si="24"/>
        <v/>
      </c>
      <c r="H226" s="446" t="str">
        <f t="shared" si="24"/>
        <v/>
      </c>
      <c r="I226" s="379"/>
      <c r="J226" s="73" t="s">
        <v>218</v>
      </c>
      <c r="K226" s="424" t="str">
        <f>IF(H223="","",IF(AND(H223&lt;0.1,H224&lt;0.1,H225&lt;0.1,H226&lt;0.1,K225&lt;0.5),"Pass","Fail"))</f>
        <v/>
      </c>
      <c r="L226" s="73"/>
      <c r="M226" s="74"/>
      <c r="O226" s="34"/>
      <c r="P226" s="207">
        <v>6</v>
      </c>
      <c r="Q226" s="208"/>
      <c r="R226" s="153"/>
      <c r="S226" s="153"/>
      <c r="T226" s="153"/>
      <c r="U226" s="191" t="str">
        <f>IF(OR(T226="",$X$224=""),"",(T226-$X$224)/$X$224)</f>
        <v/>
      </c>
      <c r="V226" s="6"/>
      <c r="W226" s="39" t="s">
        <v>274</v>
      </c>
      <c r="X226" s="209" t="str">
        <f>IF(OR(X224="",X225=""),"",X225/X224)</f>
        <v/>
      </c>
      <c r="Y226" s="36"/>
    </row>
    <row r="227" spans="1:27" ht="14.1" customHeight="1" thickBot="1">
      <c r="A227" s="21">
        <v>11</v>
      </c>
      <c r="B227" s="72"/>
      <c r="C227" s="5" t="s">
        <v>204</v>
      </c>
      <c r="D227" s="109" t="s">
        <v>277</v>
      </c>
      <c r="E227" s="115"/>
      <c r="F227" s="115"/>
      <c r="G227" s="115"/>
      <c r="H227" s="115"/>
      <c r="I227" s="379"/>
      <c r="J227" s="378"/>
      <c r="K227" s="73"/>
      <c r="L227" s="73"/>
      <c r="M227" s="74"/>
      <c r="O227" s="34"/>
      <c r="P227" s="210">
        <v>8</v>
      </c>
      <c r="Q227" s="211"/>
      <c r="R227" s="212"/>
      <c r="S227" s="212"/>
      <c r="T227" s="212"/>
      <c r="U227" s="194" t="str">
        <f>IF(OR(T227="",$X$224=""),"",(T227-$X$224)/$X$224)</f>
        <v/>
      </c>
      <c r="V227" s="6"/>
      <c r="W227" s="6"/>
      <c r="Y227" s="36"/>
    </row>
    <row r="228" spans="1:27" ht="14.1" customHeight="1" thickBot="1">
      <c r="A228" s="21">
        <v>12</v>
      </c>
      <c r="B228" s="72"/>
      <c r="C228" s="115"/>
      <c r="D228" s="484" t="s">
        <v>278</v>
      </c>
      <c r="E228" s="115"/>
      <c r="F228" s="115"/>
      <c r="G228" s="115"/>
      <c r="H228" s="115"/>
      <c r="I228" s="379"/>
      <c r="J228" s="378"/>
      <c r="K228" s="73"/>
      <c r="L228" s="73"/>
      <c r="M228" s="74"/>
      <c r="O228" s="34"/>
      <c r="P228" s="121" t="s">
        <v>204</v>
      </c>
      <c r="Q228" s="146" t="s">
        <v>277</v>
      </c>
      <c r="S228" s="6"/>
      <c r="T228" s="6"/>
      <c r="W228" s="6"/>
      <c r="Y228" s="36"/>
    </row>
    <row r="229" spans="1:27" ht="14.1" customHeight="1" thickBot="1">
      <c r="A229" s="21">
        <v>13</v>
      </c>
      <c r="B229" s="72"/>
      <c r="C229" s="424" t="str">
        <f>IF(O230="","TBD",IF(O230=1,"YES",IF(O230=3,"NA","")))</f>
        <v>YES</v>
      </c>
      <c r="D229" s="73" t="s">
        <v>279</v>
      </c>
      <c r="E229" s="115"/>
      <c r="F229" s="115"/>
      <c r="G229" s="115"/>
      <c r="H229" s="115"/>
      <c r="I229" s="115"/>
      <c r="J229" s="379"/>
      <c r="K229" s="378"/>
      <c r="L229" s="73"/>
      <c r="M229" s="74"/>
      <c r="O229" s="34"/>
      <c r="P229" s="6"/>
      <c r="Q229" s="200" t="s">
        <v>278</v>
      </c>
      <c r="S229" s="6"/>
      <c r="T229" s="6"/>
      <c r="W229" s="6"/>
      <c r="Y229" s="36"/>
    </row>
    <row r="230" spans="1:27" ht="14.1" customHeight="1" thickBot="1">
      <c r="A230" s="21">
        <v>14</v>
      </c>
      <c r="B230" s="72"/>
      <c r="C230" s="424" t="str">
        <f>IF(O231="","TBD",IF(O231=1,"YES",IF(O231=3,"NA","")))</f>
        <v>YES</v>
      </c>
      <c r="D230" s="73" t="s">
        <v>280</v>
      </c>
      <c r="E230" s="115"/>
      <c r="F230" s="115"/>
      <c r="G230" s="115"/>
      <c r="H230" s="115"/>
      <c r="I230" s="115"/>
      <c r="J230" s="379"/>
      <c r="K230" s="378"/>
      <c r="L230" s="73"/>
      <c r="M230" s="74"/>
      <c r="O230" s="104">
        <v>1</v>
      </c>
      <c r="P230" s="25" t="s">
        <v>279</v>
      </c>
      <c r="Q230" s="6"/>
      <c r="R230" s="6"/>
      <c r="S230" s="6"/>
      <c r="T230" s="6"/>
      <c r="U230" s="6"/>
      <c r="V230" s="6"/>
      <c r="W230" s="6"/>
      <c r="Y230" s="36"/>
    </row>
    <row r="231" spans="1:27" ht="14.1" customHeight="1" thickBot="1">
      <c r="A231" s="21">
        <v>15</v>
      </c>
      <c r="B231" s="419"/>
      <c r="C231" s="420"/>
      <c r="D231" s="420"/>
      <c r="E231" s="420"/>
      <c r="F231" s="420"/>
      <c r="G231" s="478"/>
      <c r="H231" s="479"/>
      <c r="I231" s="420"/>
      <c r="J231" s="420"/>
      <c r="K231" s="480"/>
      <c r="L231" s="420"/>
      <c r="M231" s="421"/>
      <c r="O231" s="104">
        <v>1</v>
      </c>
      <c r="P231" s="25" t="s">
        <v>280</v>
      </c>
      <c r="Q231" s="6"/>
      <c r="R231" s="6"/>
      <c r="S231" s="6"/>
      <c r="T231" s="6"/>
      <c r="U231" s="6"/>
      <c r="V231" s="6" t="str">
        <f>IF(OR(T231="",$X$224=""),"",(T231-$X$224)/$X$224)</f>
        <v/>
      </c>
      <c r="W231" s="6"/>
      <c r="Y231" s="36"/>
    </row>
    <row r="232" spans="1:27" ht="14.1" customHeight="1">
      <c r="A232" s="21">
        <v>16</v>
      </c>
      <c r="B232" s="72"/>
      <c r="C232" s="154" t="s">
        <v>281</v>
      </c>
      <c r="D232" s="73"/>
      <c r="E232" s="73"/>
      <c r="F232" s="73"/>
      <c r="G232" s="73"/>
      <c r="H232" s="73"/>
      <c r="I232" s="73"/>
      <c r="J232" s="73"/>
      <c r="K232" s="73"/>
      <c r="L232" s="73"/>
      <c r="M232" s="74"/>
      <c r="O232" s="34"/>
      <c r="P232" s="6"/>
      <c r="Q232" s="6"/>
      <c r="R232" s="6"/>
      <c r="S232" s="6"/>
      <c r="T232" s="6"/>
      <c r="U232" s="6"/>
      <c r="V232" s="6"/>
      <c r="W232" s="6"/>
      <c r="Y232" s="36"/>
      <c r="AA232" s="249"/>
    </row>
    <row r="233" spans="1:27" ht="14.1" customHeight="1">
      <c r="A233" s="21">
        <v>17</v>
      </c>
      <c r="B233" s="72"/>
      <c r="C233" s="171" t="s">
        <v>266</v>
      </c>
      <c r="D233" s="148" t="str">
        <f>IF(P234="","",P234)</f>
        <v>AEC</v>
      </c>
      <c r="E233" s="73"/>
      <c r="F233" s="73" t="s">
        <v>95</v>
      </c>
      <c r="G233" s="148" t="str">
        <f>IF(S234="","",S234)</f>
        <v>W/Rh</v>
      </c>
      <c r="H233" s="171" t="s">
        <v>173</v>
      </c>
      <c r="I233" s="148">
        <f>IF(U234="","",U234)</f>
        <v>28</v>
      </c>
      <c r="J233" s="73"/>
      <c r="K233" s="73"/>
      <c r="L233" s="73"/>
      <c r="M233" s="74"/>
      <c r="O233" s="147" t="s">
        <v>281</v>
      </c>
      <c r="P233" s="6"/>
      <c r="Q233" s="6"/>
      <c r="R233" s="6"/>
      <c r="S233" s="6"/>
      <c r="T233" s="6"/>
      <c r="U233" s="6"/>
      <c r="V233" s="6"/>
      <c r="Y233" s="36"/>
      <c r="AA233" s="249"/>
    </row>
    <row r="234" spans="1:27" ht="14.1" customHeight="1">
      <c r="A234" s="21">
        <v>18</v>
      </c>
      <c r="B234" s="72"/>
      <c r="C234" s="73"/>
      <c r="D234" s="73"/>
      <c r="E234" s="73"/>
      <c r="F234" s="73"/>
      <c r="G234" s="73"/>
      <c r="H234" s="73"/>
      <c r="I234" s="115"/>
      <c r="J234" s="73"/>
      <c r="K234" s="73"/>
      <c r="L234" s="73"/>
      <c r="M234" s="74"/>
      <c r="O234" s="34" t="s">
        <v>266</v>
      </c>
      <c r="P234" s="145" t="s">
        <v>499</v>
      </c>
      <c r="R234" s="25" t="s">
        <v>95</v>
      </c>
      <c r="S234" s="145" t="s">
        <v>238</v>
      </c>
      <c r="T234" s="171" t="s">
        <v>173</v>
      </c>
      <c r="U234" s="145">
        <v>28</v>
      </c>
      <c r="Y234" s="36"/>
      <c r="AA234" s="249"/>
    </row>
    <row r="235" spans="1:27" ht="14.1" customHeight="1" thickBot="1">
      <c r="A235" s="21">
        <v>19</v>
      </c>
      <c r="B235" s="72"/>
      <c r="C235" s="73"/>
      <c r="D235" s="354"/>
      <c r="E235" s="73"/>
      <c r="F235" s="171"/>
      <c r="G235" s="354"/>
      <c r="H235" s="115"/>
      <c r="I235" s="378"/>
      <c r="J235" s="73" t="s">
        <v>282</v>
      </c>
      <c r="K235" s="73"/>
      <c r="L235" s="73"/>
      <c r="M235" s="74"/>
      <c r="O235" s="34"/>
      <c r="Y235" s="36"/>
      <c r="AA235" s="249"/>
    </row>
    <row r="236" spans="1:27" ht="14.1" customHeight="1" thickBot="1">
      <c r="A236" s="21">
        <v>20</v>
      </c>
      <c r="B236" s="72"/>
      <c r="C236" s="73"/>
      <c r="D236" s="502" t="s">
        <v>72</v>
      </c>
      <c r="E236" s="476" t="s">
        <v>283</v>
      </c>
      <c r="F236" s="476" t="s">
        <v>284</v>
      </c>
      <c r="G236" s="476" t="s">
        <v>285</v>
      </c>
      <c r="H236" s="476" t="s">
        <v>286</v>
      </c>
      <c r="I236" s="476" t="s">
        <v>287</v>
      </c>
      <c r="J236" s="477" t="s">
        <v>27</v>
      </c>
      <c r="K236" s="433" t="s">
        <v>288</v>
      </c>
      <c r="L236" s="449" t="s">
        <v>289</v>
      </c>
      <c r="M236" s="74"/>
      <c r="O236" s="34"/>
      <c r="P236" s="218"/>
      <c r="R236" s="39"/>
      <c r="S236" s="218"/>
      <c r="T236" s="14"/>
      <c r="U236" s="6"/>
      <c r="V236" s="25" t="s">
        <v>282</v>
      </c>
      <c r="Y236" s="36"/>
      <c r="AA236" s="249"/>
    </row>
    <row r="237" spans="1:27" ht="14.1" customHeight="1" thickBot="1">
      <c r="A237" s="21">
        <v>21</v>
      </c>
      <c r="B237" s="72"/>
      <c r="C237" s="73"/>
      <c r="D237" s="473" t="str">
        <f t="shared" ref="D237:J244" si="25">IF(P238="","",P238)</f>
        <v/>
      </c>
      <c r="E237" s="474" t="str">
        <f t="shared" si="25"/>
        <v/>
      </c>
      <c r="F237" s="474" t="str">
        <f t="shared" si="25"/>
        <v/>
      </c>
      <c r="G237" s="474" t="str">
        <f t="shared" si="25"/>
        <v/>
      </c>
      <c r="H237" s="474" t="str">
        <f t="shared" si="25"/>
        <v/>
      </c>
      <c r="I237" s="474" t="str">
        <f t="shared" si="25"/>
        <v/>
      </c>
      <c r="J237" s="475" t="str">
        <f t="shared" si="25"/>
        <v/>
      </c>
      <c r="K237" s="463" t="str">
        <f t="shared" ref="K237:L243" si="26">IF(X238="","",X238)</f>
        <v/>
      </c>
      <c r="L237" s="469" t="str">
        <f t="shared" si="26"/>
        <v/>
      </c>
      <c r="M237" s="74"/>
      <c r="O237" s="34"/>
      <c r="P237" s="14" t="s">
        <v>72</v>
      </c>
      <c r="Q237" s="14" t="s">
        <v>283</v>
      </c>
      <c r="R237" s="14" t="s">
        <v>284</v>
      </c>
      <c r="S237" s="14" t="s">
        <v>285</v>
      </c>
      <c r="T237" s="14" t="s">
        <v>286</v>
      </c>
      <c r="U237" s="14" t="s">
        <v>287</v>
      </c>
      <c r="V237" s="25" t="s">
        <v>27</v>
      </c>
      <c r="X237" s="14" t="s">
        <v>288</v>
      </c>
      <c r="Y237" s="219" t="s">
        <v>289</v>
      </c>
      <c r="AA237" s="249"/>
    </row>
    <row r="238" spans="1:27" ht="14.1" customHeight="1">
      <c r="A238" s="21">
        <v>22</v>
      </c>
      <c r="B238" s="72"/>
      <c r="C238" s="73"/>
      <c r="D238" s="450" t="str">
        <f t="shared" si="25"/>
        <v/>
      </c>
      <c r="E238" s="448" t="str">
        <f t="shared" si="25"/>
        <v/>
      </c>
      <c r="F238" s="448" t="str">
        <f t="shared" si="25"/>
        <v/>
      </c>
      <c r="G238" s="448" t="str">
        <f t="shared" si="25"/>
        <v/>
      </c>
      <c r="H238" s="448" t="str">
        <f t="shared" si="25"/>
        <v/>
      </c>
      <c r="I238" s="448" t="str">
        <f t="shared" si="25"/>
        <v/>
      </c>
      <c r="J238" s="451" t="str">
        <f t="shared" si="25"/>
        <v/>
      </c>
      <c r="K238" s="463" t="str">
        <f t="shared" si="26"/>
        <v/>
      </c>
      <c r="L238" s="469" t="str">
        <f t="shared" si="26"/>
        <v/>
      </c>
      <c r="M238" s="74"/>
      <c r="O238" s="34"/>
      <c r="P238" s="172"/>
      <c r="Q238" s="173"/>
      <c r="R238" s="173"/>
      <c r="S238" s="173"/>
      <c r="T238" s="220" t="str">
        <f>IF(OR(R238="",S238=""),"",(R238-50)/S238)</f>
        <v/>
      </c>
      <c r="U238" s="221" t="str">
        <f>IF(OR(Q238="",R238="",S238=""),"",(R238-Q238)/S238)</f>
        <v/>
      </c>
      <c r="V238" s="222" t="str">
        <f>IF($V$296="","",$V$296*P238)</f>
        <v/>
      </c>
      <c r="X238" s="223" t="str">
        <f>IF(OR(Q238="",$Q$243=""),"",ABS(Q238-$Q$243)/$Q$243)</f>
        <v/>
      </c>
      <c r="Y238" s="224" t="str">
        <f>IF(OR(T238="",$T$243=""),"",ABS(T238-$T$243)/$T$243)</f>
        <v/>
      </c>
      <c r="AA238" s="249"/>
    </row>
    <row r="239" spans="1:27" ht="14.1" customHeight="1">
      <c r="A239" s="21">
        <v>23</v>
      </c>
      <c r="B239" s="72"/>
      <c r="C239" s="73"/>
      <c r="D239" s="450" t="str">
        <f t="shared" si="25"/>
        <v/>
      </c>
      <c r="E239" s="448" t="str">
        <f t="shared" si="25"/>
        <v/>
      </c>
      <c r="F239" s="448" t="str">
        <f t="shared" si="25"/>
        <v/>
      </c>
      <c r="G239" s="448" t="str">
        <f t="shared" si="25"/>
        <v/>
      </c>
      <c r="H239" s="448" t="str">
        <f t="shared" si="25"/>
        <v/>
      </c>
      <c r="I239" s="448" t="str">
        <f t="shared" si="25"/>
        <v/>
      </c>
      <c r="J239" s="451" t="str">
        <f t="shared" si="25"/>
        <v/>
      </c>
      <c r="K239" s="463" t="str">
        <f t="shared" si="26"/>
        <v/>
      </c>
      <c r="L239" s="469" t="str">
        <f t="shared" si="26"/>
        <v/>
      </c>
      <c r="M239" s="74"/>
      <c r="O239" s="34"/>
      <c r="P239" s="175"/>
      <c r="Q239" s="176"/>
      <c r="R239" s="176"/>
      <c r="S239" s="176"/>
      <c r="T239" s="75" t="str">
        <f>IF(OR(R239="",S239=""),"",(R239-50)/S239)</f>
        <v/>
      </c>
      <c r="U239" s="76" t="str">
        <f>IF(OR(Q239="",R239="",S239=""),"",(R239-Q239)/S239)</f>
        <v/>
      </c>
      <c r="V239" s="225" t="str">
        <f>IF($V$296="","",$V$296*P239)</f>
        <v/>
      </c>
      <c r="X239" s="223" t="str">
        <f>IF(OR(Q239="",$Q$243=""),"",ABS(Q239-$Q$243)/$Q$243)</f>
        <v/>
      </c>
      <c r="Y239" s="224" t="str">
        <f>IF(OR(T239="",$T$243=""),"",ABS(T239-$T$243)/$T$243)</f>
        <v/>
      </c>
      <c r="AA239" s="249"/>
    </row>
    <row r="240" spans="1:27" ht="14.1" customHeight="1">
      <c r="A240" s="21">
        <v>24</v>
      </c>
      <c r="B240" s="72"/>
      <c r="C240" s="73"/>
      <c r="D240" s="450" t="str">
        <f t="shared" si="25"/>
        <v/>
      </c>
      <c r="E240" s="448" t="str">
        <f t="shared" si="25"/>
        <v/>
      </c>
      <c r="F240" s="448" t="str">
        <f t="shared" si="25"/>
        <v/>
      </c>
      <c r="G240" s="448" t="str">
        <f t="shared" si="25"/>
        <v/>
      </c>
      <c r="H240" s="448" t="str">
        <f t="shared" si="25"/>
        <v/>
      </c>
      <c r="I240" s="448" t="str">
        <f t="shared" si="25"/>
        <v/>
      </c>
      <c r="J240" s="451" t="str">
        <f t="shared" si="25"/>
        <v/>
      </c>
      <c r="K240" s="463" t="str">
        <f t="shared" si="26"/>
        <v/>
      </c>
      <c r="L240" s="469" t="str">
        <f t="shared" si="26"/>
        <v/>
      </c>
      <c r="M240" s="74"/>
      <c r="O240" s="34"/>
      <c r="P240" s="175"/>
      <c r="Q240" s="176"/>
      <c r="R240" s="176"/>
      <c r="S240" s="176"/>
      <c r="T240" s="75" t="str">
        <f>IF(OR(R240="",S240=""),"",(R240-50)/S240)</f>
        <v/>
      </c>
      <c r="U240" s="76" t="str">
        <f>IF(OR(Q240="",R240="",S240=""),"",(R240-Q240)/S240)</f>
        <v/>
      </c>
      <c r="V240" s="225" t="str">
        <f>IF($V$296="","",$V$296*P240)</f>
        <v/>
      </c>
      <c r="X240" s="223" t="str">
        <f>IF(OR(Q240="",$Q$243=""),"",ABS(Q240-$Q$243)/$Q$243)</f>
        <v/>
      </c>
      <c r="Y240" s="224" t="str">
        <f>IF(OR(T240="",$T$243=""),"",ABS(T240-$T$243)/$T$243)</f>
        <v/>
      </c>
      <c r="AA240" s="249"/>
    </row>
    <row r="241" spans="1:27" ht="14.1" customHeight="1" thickBot="1">
      <c r="A241" s="21">
        <v>25</v>
      </c>
      <c r="B241" s="72"/>
      <c r="C241" s="73"/>
      <c r="D241" s="452" t="str">
        <f t="shared" si="25"/>
        <v/>
      </c>
      <c r="E241" s="453" t="str">
        <f t="shared" si="25"/>
        <v/>
      </c>
      <c r="F241" s="453" t="str">
        <f t="shared" si="25"/>
        <v/>
      </c>
      <c r="G241" s="453" t="str">
        <f t="shared" si="25"/>
        <v/>
      </c>
      <c r="H241" s="453" t="str">
        <f t="shared" si="25"/>
        <v/>
      </c>
      <c r="I241" s="453" t="str">
        <f t="shared" si="25"/>
        <v/>
      </c>
      <c r="J241" s="454" t="str">
        <f t="shared" si="25"/>
        <v/>
      </c>
      <c r="K241" s="464" t="str">
        <f t="shared" si="26"/>
        <v/>
      </c>
      <c r="L241" s="481" t="str">
        <f t="shared" si="26"/>
        <v/>
      </c>
      <c r="M241" s="74"/>
      <c r="O241" s="34"/>
      <c r="P241" s="175"/>
      <c r="Q241" s="176"/>
      <c r="R241" s="176"/>
      <c r="S241" s="176"/>
      <c r="T241" s="75" t="str">
        <f>IF(OR(R241="",S241=""),"",(R241-50)/S241)</f>
        <v/>
      </c>
      <c r="U241" s="76" t="str">
        <f>IF(OR(Q241="",R241="",S241=""),"",(R241-Q241)/S241)</f>
        <v/>
      </c>
      <c r="V241" s="225" t="str">
        <f>IF($V$296="","",$V$296*P241)</f>
        <v/>
      </c>
      <c r="X241" s="223" t="str">
        <f>IF(OR(Q241="",$Q$243=""),"",ABS(Q241-$Q$243)/$Q$243)</f>
        <v/>
      </c>
      <c r="Y241" s="224" t="str">
        <f>IF(OR(T241="",$T$243=""),"",ABS(T241-$T$243)/$T$243)</f>
        <v/>
      </c>
    </row>
    <row r="242" spans="1:27" ht="14.1" customHeight="1" thickBot="1">
      <c r="A242" s="21">
        <v>26</v>
      </c>
      <c r="B242" s="72"/>
      <c r="C242" s="504" t="s">
        <v>272</v>
      </c>
      <c r="D242" s="455" t="str">
        <f t="shared" si="25"/>
        <v/>
      </c>
      <c r="E242" s="456" t="str">
        <f t="shared" si="25"/>
        <v/>
      </c>
      <c r="F242" s="456" t="str">
        <f t="shared" si="25"/>
        <v/>
      </c>
      <c r="G242" s="456" t="str">
        <f t="shared" si="25"/>
        <v/>
      </c>
      <c r="H242" s="456" t="str">
        <f t="shared" si="25"/>
        <v/>
      </c>
      <c r="I242" s="456" t="str">
        <f t="shared" si="25"/>
        <v/>
      </c>
      <c r="J242" s="457" t="str">
        <f t="shared" si="25"/>
        <v/>
      </c>
      <c r="K242" s="465" t="str">
        <f t="shared" si="26"/>
        <v/>
      </c>
      <c r="L242" s="465" t="str">
        <f t="shared" si="26"/>
        <v/>
      </c>
      <c r="M242" s="74"/>
      <c r="O242" s="34"/>
      <c r="P242" s="226"/>
      <c r="Q242" s="227"/>
      <c r="R242" s="227"/>
      <c r="S242" s="227"/>
      <c r="T242" s="228" t="str">
        <f>IF(OR(R242="",S242=""),"",(R242-50)/S242)</f>
        <v/>
      </c>
      <c r="U242" s="229" t="str">
        <f>IF(OR(Q242="",R242="",S242=""),"",(R242-Q242)/S242)</f>
        <v/>
      </c>
      <c r="V242" s="230" t="str">
        <f>IF($V$296="","",$V$296*P242)</f>
        <v/>
      </c>
      <c r="X242" s="223" t="str">
        <f>IF(OR(Q242="",$Q$243=""),"",ABS(Q242-$Q$243)/$Q$243)</f>
        <v/>
      </c>
      <c r="Y242" s="224" t="str">
        <f>IF(OR(T242="",$T$243=""),"",ABS(T242-$T$243)/$T$243)</f>
        <v/>
      </c>
    </row>
    <row r="243" spans="1:27" ht="14.1" customHeight="1" thickBot="1">
      <c r="A243" s="21">
        <v>27</v>
      </c>
      <c r="B243" s="72"/>
      <c r="C243" s="504" t="s">
        <v>273</v>
      </c>
      <c r="D243" s="450" t="str">
        <f t="shared" si="25"/>
        <v/>
      </c>
      <c r="E243" s="448" t="str">
        <f t="shared" si="25"/>
        <v/>
      </c>
      <c r="F243" s="448" t="str">
        <f t="shared" si="25"/>
        <v/>
      </c>
      <c r="G243" s="448" t="str">
        <f t="shared" si="25"/>
        <v/>
      </c>
      <c r="H243" s="448" t="str">
        <f t="shared" si="25"/>
        <v/>
      </c>
      <c r="I243" s="448" t="str">
        <f t="shared" si="25"/>
        <v/>
      </c>
      <c r="J243" s="451" t="str">
        <f t="shared" si="25"/>
        <v/>
      </c>
      <c r="K243" s="465" t="str">
        <f t="shared" si="26"/>
        <v/>
      </c>
      <c r="L243" s="465" t="str">
        <f t="shared" si="26"/>
        <v/>
      </c>
      <c r="M243" s="74"/>
      <c r="O243" s="34" t="s">
        <v>272</v>
      </c>
      <c r="P243" s="232" t="str">
        <f t="shared" ref="P243:V243" si="27">IF(P238="","",AVERAGE(P238:P242))</f>
        <v/>
      </c>
      <c r="Q243" s="220" t="str">
        <f t="shared" si="27"/>
        <v/>
      </c>
      <c r="R243" s="220" t="str">
        <f t="shared" si="27"/>
        <v/>
      </c>
      <c r="S243" s="220" t="str">
        <f t="shared" si="27"/>
        <v/>
      </c>
      <c r="T243" s="220" t="str">
        <f t="shared" si="27"/>
        <v/>
      </c>
      <c r="U243" s="221" t="str">
        <f t="shared" si="27"/>
        <v/>
      </c>
      <c r="V243" s="233" t="str">
        <f t="shared" si="27"/>
        <v/>
      </c>
      <c r="W243" s="39" t="s">
        <v>292</v>
      </c>
      <c r="X243" s="209" t="str">
        <f>IF(X238="","",MAX(X238:X242))</f>
        <v/>
      </c>
      <c r="Y243" s="209" t="str">
        <f>IF(Y238="","",MAX(Y238:Y242))</f>
        <v/>
      </c>
    </row>
    <row r="244" spans="1:27" ht="14.1" customHeight="1" thickBot="1">
      <c r="A244" s="21">
        <v>28</v>
      </c>
      <c r="B244" s="72"/>
      <c r="C244" s="170" t="s">
        <v>274</v>
      </c>
      <c r="D244" s="458" t="str">
        <f t="shared" si="25"/>
        <v/>
      </c>
      <c r="E244" s="459" t="str">
        <f t="shared" si="25"/>
        <v/>
      </c>
      <c r="F244" s="459" t="str">
        <f t="shared" si="25"/>
        <v/>
      </c>
      <c r="G244" s="459" t="str">
        <f t="shared" si="25"/>
        <v/>
      </c>
      <c r="H244" s="459" t="str">
        <f t="shared" si="25"/>
        <v/>
      </c>
      <c r="I244" s="459" t="str">
        <f t="shared" si="25"/>
        <v/>
      </c>
      <c r="J244" s="460" t="str">
        <f t="shared" si="25"/>
        <v/>
      </c>
      <c r="K244" s="73"/>
      <c r="L244" s="73"/>
      <c r="M244" s="74"/>
      <c r="O244" s="34" t="s">
        <v>273</v>
      </c>
      <c r="P244" s="235" t="str">
        <f>IF(P238="","",STDEV(P238:P242))</f>
        <v/>
      </c>
      <c r="Q244" s="75" t="str">
        <f t="shared" ref="Q244:V244" si="28">IF(Q238="","",STDEV(Q238:Q242))</f>
        <v/>
      </c>
      <c r="R244" s="75" t="str">
        <f t="shared" si="28"/>
        <v/>
      </c>
      <c r="S244" s="75" t="str">
        <f t="shared" si="28"/>
        <v/>
      </c>
      <c r="T244" s="75" t="str">
        <f t="shared" si="28"/>
        <v/>
      </c>
      <c r="U244" s="76" t="str">
        <f t="shared" si="28"/>
        <v/>
      </c>
      <c r="V244" s="236" t="str">
        <f t="shared" si="28"/>
        <v/>
      </c>
      <c r="X244" s="152" t="str">
        <f>IF(X243="","",IF(X243&lt;=0.15,"Pass","Fail"))</f>
        <v/>
      </c>
      <c r="Y244" s="152" t="str">
        <f>IF(Y243="","",IF(Y243&lt;=0.15,"Pass","Fail"))</f>
        <v/>
      </c>
    </row>
    <row r="245" spans="1:27" ht="14.1" customHeight="1" thickBot="1">
      <c r="A245" s="21">
        <v>29</v>
      </c>
      <c r="B245" s="72"/>
      <c r="C245" s="73"/>
      <c r="D245" s="461" t="str">
        <f>IF(P246="","",P246)</f>
        <v/>
      </c>
      <c r="E245" s="116"/>
      <c r="F245" s="116"/>
      <c r="G245" s="116"/>
      <c r="H245" s="116"/>
      <c r="I245" s="116"/>
      <c r="J245" s="461" t="str">
        <f>IF(V246="","",V246)</f>
        <v/>
      </c>
      <c r="K245" s="73"/>
      <c r="L245" s="73"/>
      <c r="M245" s="74"/>
      <c r="O245" s="34" t="s">
        <v>274</v>
      </c>
      <c r="P245" s="237" t="str">
        <f t="shared" ref="P245:V245" si="29">IF(OR(P243="",P244=""),"",P244/P243)</f>
        <v/>
      </c>
      <c r="Q245" s="238" t="str">
        <f t="shared" si="29"/>
        <v/>
      </c>
      <c r="R245" s="238" t="str">
        <f t="shared" si="29"/>
        <v/>
      </c>
      <c r="S245" s="238" t="str">
        <f t="shared" si="29"/>
        <v/>
      </c>
      <c r="T245" s="238" t="str">
        <f t="shared" si="29"/>
        <v/>
      </c>
      <c r="U245" s="238" t="str">
        <f t="shared" si="29"/>
        <v/>
      </c>
      <c r="V245" s="239" t="str">
        <f t="shared" si="29"/>
        <v/>
      </c>
      <c r="X245" s="14"/>
      <c r="Y245" s="219"/>
      <c r="Z245" s="13"/>
      <c r="AA245" s="6"/>
    </row>
    <row r="246" spans="1:27" ht="14.1" customHeight="1" thickBot="1">
      <c r="A246" s="21">
        <v>30</v>
      </c>
      <c r="B246" s="72"/>
      <c r="C246" s="5" t="s">
        <v>204</v>
      </c>
      <c r="D246" s="109" t="s">
        <v>293</v>
      </c>
      <c r="E246" s="73"/>
      <c r="F246" s="73"/>
      <c r="G246" s="73"/>
      <c r="H246" s="73"/>
      <c r="I246" s="73"/>
      <c r="J246" s="73"/>
      <c r="K246" s="73"/>
      <c r="L246" s="73"/>
      <c r="M246" s="74"/>
      <c r="O246" s="34"/>
      <c r="P246" s="152" t="str">
        <f>IF(P245="","",IF(P245&lt;=0.05,"Pass","Fail"))</f>
        <v/>
      </c>
      <c r="Q246" s="6"/>
      <c r="R246" s="6"/>
      <c r="S246" s="6"/>
      <c r="T246" s="6"/>
      <c r="U246" s="6"/>
      <c r="V246" s="152" t="str">
        <f>IF(V245="","",IF(V245&lt;=0.05,"Pass","Fail"))</f>
        <v/>
      </c>
      <c r="Y246" s="36"/>
      <c r="Z246" s="13"/>
      <c r="AA246" s="6"/>
    </row>
    <row r="247" spans="1:27" ht="14.1" customHeight="1">
      <c r="A247" s="21">
        <v>31</v>
      </c>
      <c r="B247" s="72"/>
      <c r="C247" s="73"/>
      <c r="D247" s="109" t="s">
        <v>294</v>
      </c>
      <c r="E247" s="73"/>
      <c r="F247" s="73"/>
      <c r="G247" s="73"/>
      <c r="H247" s="73"/>
      <c r="I247" s="73"/>
      <c r="J247" s="73"/>
      <c r="K247" s="73"/>
      <c r="L247" s="73"/>
      <c r="M247" s="74"/>
      <c r="O247" s="34"/>
      <c r="P247" s="5" t="s">
        <v>204</v>
      </c>
      <c r="Q247" s="109" t="s">
        <v>293</v>
      </c>
      <c r="R247" s="73"/>
      <c r="S247" s="73"/>
      <c r="T247" s="73"/>
      <c r="U247" s="73"/>
      <c r="V247" s="73"/>
      <c r="W247" s="73"/>
      <c r="X247" s="73"/>
      <c r="Y247" s="36"/>
      <c r="Z247" s="13"/>
      <c r="AA247" s="31"/>
    </row>
    <row r="248" spans="1:27" ht="14.1" customHeight="1" thickBot="1">
      <c r="A248" s="21">
        <v>32</v>
      </c>
      <c r="B248" s="168"/>
      <c r="C248" s="45"/>
      <c r="D248" s="45"/>
      <c r="E248" s="45"/>
      <c r="F248" s="45"/>
      <c r="G248" s="45"/>
      <c r="H248" s="45"/>
      <c r="I248" s="45"/>
      <c r="J248" s="45"/>
      <c r="K248" s="45"/>
      <c r="L248" s="45"/>
      <c r="M248" s="169"/>
      <c r="O248" s="34"/>
      <c r="P248" s="73"/>
      <c r="Q248" s="109" t="s">
        <v>294</v>
      </c>
      <c r="R248" s="73"/>
      <c r="S248" s="73"/>
      <c r="T248" s="73"/>
      <c r="U248" s="73"/>
      <c r="V248" s="73"/>
      <c r="W248" s="73"/>
      <c r="X248" s="73"/>
      <c r="Y248" s="36"/>
    </row>
    <row r="249" spans="1:27" ht="14.1" customHeight="1" thickBot="1">
      <c r="A249" s="21">
        <v>33</v>
      </c>
      <c r="B249" s="72"/>
      <c r="C249" s="154" t="s">
        <v>295</v>
      </c>
      <c r="D249" s="73"/>
      <c r="E249" s="73"/>
      <c r="F249" s="73"/>
      <c r="G249" s="73"/>
      <c r="H249" s="73"/>
      <c r="I249" s="73"/>
      <c r="J249" s="73"/>
      <c r="K249" s="73"/>
      <c r="L249" s="73"/>
      <c r="M249" s="74"/>
      <c r="O249" s="240"/>
      <c r="P249" s="201"/>
      <c r="Q249" s="201"/>
      <c r="R249" s="201"/>
      <c r="S249" s="201"/>
      <c r="T249" s="201"/>
      <c r="U249" s="201"/>
      <c r="V249" s="201"/>
      <c r="W249" s="201"/>
      <c r="X249" s="201"/>
      <c r="Y249" s="241"/>
    </row>
    <row r="250" spans="1:27" ht="14.1" customHeight="1">
      <c r="A250" s="21">
        <v>34</v>
      </c>
      <c r="B250" s="72"/>
      <c r="C250" s="470" t="s">
        <v>71</v>
      </c>
      <c r="D250" s="467" t="s">
        <v>237</v>
      </c>
      <c r="E250" s="467" t="s">
        <v>262</v>
      </c>
      <c r="F250" s="468" t="s">
        <v>238</v>
      </c>
      <c r="G250" s="73"/>
      <c r="H250" s="755" t="s">
        <v>296</v>
      </c>
      <c r="I250" s="756"/>
      <c r="J250" s="757"/>
      <c r="K250" s="73"/>
      <c r="L250" s="73"/>
      <c r="M250" s="74"/>
      <c r="O250" s="144" t="s">
        <v>295</v>
      </c>
      <c r="P250" s="242"/>
      <c r="Q250" s="242"/>
      <c r="R250" s="242"/>
      <c r="S250" s="242"/>
      <c r="T250" s="242"/>
      <c r="U250" s="242"/>
      <c r="V250" s="242"/>
      <c r="W250" s="242"/>
      <c r="X250" s="242"/>
      <c r="Y250" s="243"/>
    </row>
    <row r="251" spans="1:27" ht="14.1" customHeight="1">
      <c r="A251" s="21">
        <v>35</v>
      </c>
      <c r="B251" s="72"/>
      <c r="C251" s="471" t="s">
        <v>269</v>
      </c>
      <c r="D251" s="323">
        <v>28</v>
      </c>
      <c r="E251" s="323">
        <v>28</v>
      </c>
      <c r="F251" s="385">
        <v>28</v>
      </c>
      <c r="G251" s="73"/>
      <c r="H251" s="384" t="s">
        <v>237</v>
      </c>
      <c r="I251" s="323" t="s">
        <v>262</v>
      </c>
      <c r="J251" s="385" t="s">
        <v>238</v>
      </c>
      <c r="K251" s="73"/>
      <c r="L251" s="73"/>
      <c r="M251" s="74"/>
      <c r="O251" s="195"/>
      <c r="P251" s="245" t="s">
        <v>71</v>
      </c>
      <c r="Q251" s="246" t="s">
        <v>237</v>
      </c>
      <c r="R251" s="246" t="s">
        <v>262</v>
      </c>
      <c r="S251" s="246" t="s">
        <v>238</v>
      </c>
      <c r="T251" s="6"/>
      <c r="U251" s="751" t="s">
        <v>296</v>
      </c>
      <c r="V251" s="751"/>
      <c r="W251" s="751"/>
      <c r="X251" s="6"/>
      <c r="Y251" s="247"/>
    </row>
    <row r="252" spans="1:27" ht="14.1" customHeight="1">
      <c r="A252" s="21">
        <v>36</v>
      </c>
      <c r="B252" s="72"/>
      <c r="C252" s="471" t="s">
        <v>72</v>
      </c>
      <c r="D252" s="323" t="str">
        <f t="shared" ref="D252:D260" si="30">IF(Q253="","",Q253)</f>
        <v/>
      </c>
      <c r="E252" s="323" t="str">
        <f t="shared" ref="E252:E260" si="31">IF(R253="","",R253)</f>
        <v/>
      </c>
      <c r="F252" s="385" t="str">
        <f t="shared" ref="F252:F260" si="32">IF(S253="","",S253)</f>
        <v/>
      </c>
      <c r="G252" s="73"/>
      <c r="H252" s="463" t="str">
        <f t="shared" ref="H252:J256" si="33">IF(U253="","",U253)</f>
        <v/>
      </c>
      <c r="I252" s="19" t="str">
        <f t="shared" si="33"/>
        <v/>
      </c>
      <c r="J252" s="469" t="str">
        <f t="shared" si="33"/>
        <v/>
      </c>
      <c r="K252" s="73"/>
      <c r="L252" s="73"/>
      <c r="M252" s="74"/>
      <c r="O252" s="195"/>
      <c r="P252" s="248" t="s">
        <v>269</v>
      </c>
      <c r="Q252" s="15">
        <v>28</v>
      </c>
      <c r="R252" s="15">
        <v>28</v>
      </c>
      <c r="S252" s="15">
        <v>28</v>
      </c>
      <c r="T252" s="6"/>
      <c r="U252" s="246" t="s">
        <v>237</v>
      </c>
      <c r="V252" s="246" t="s">
        <v>262</v>
      </c>
      <c r="W252" s="246" t="s">
        <v>238</v>
      </c>
      <c r="X252" s="6"/>
      <c r="Y252" s="247"/>
    </row>
    <row r="253" spans="1:27" ht="14.1" customHeight="1">
      <c r="A253" s="21">
        <v>37</v>
      </c>
      <c r="B253" s="72"/>
      <c r="C253" s="471" t="s">
        <v>298</v>
      </c>
      <c r="D253" s="448" t="str">
        <f t="shared" si="30"/>
        <v/>
      </c>
      <c r="E253" s="323" t="str">
        <f t="shared" si="31"/>
        <v/>
      </c>
      <c r="F253" s="385" t="str">
        <f t="shared" si="32"/>
        <v/>
      </c>
      <c r="G253" s="73"/>
      <c r="H253" s="463" t="str">
        <f t="shared" si="33"/>
        <v/>
      </c>
      <c r="I253" s="19" t="str">
        <f t="shared" si="33"/>
        <v/>
      </c>
      <c r="J253" s="469" t="str">
        <f t="shared" si="33"/>
        <v/>
      </c>
      <c r="K253" s="73"/>
      <c r="L253" s="73"/>
      <c r="M253" s="74"/>
      <c r="O253" s="195"/>
      <c r="P253" s="248" t="s">
        <v>72</v>
      </c>
      <c r="Q253" s="694" t="str">
        <f>IF(Q163="","",Q163)</f>
        <v/>
      </c>
      <c r="R253" s="694" t="str">
        <f t="shared" ref="R253:S253" si="34">IF(R163="","",R163)</f>
        <v/>
      </c>
      <c r="S253" s="694" t="str">
        <f t="shared" si="34"/>
        <v/>
      </c>
      <c r="T253" s="6"/>
      <c r="U253" s="190" t="str">
        <f t="shared" ref="U253:W257" si="35">IF(Q254="","",(Q254-Q$259)/Q$259)</f>
        <v/>
      </c>
      <c r="V253" s="190" t="str">
        <f t="shared" si="35"/>
        <v/>
      </c>
      <c r="W253" s="190" t="str">
        <f t="shared" si="35"/>
        <v/>
      </c>
      <c r="X253" s="6"/>
      <c r="Y253" s="247"/>
    </row>
    <row r="254" spans="1:27" ht="14.1" customHeight="1">
      <c r="A254" s="21">
        <v>38</v>
      </c>
      <c r="B254" s="72"/>
      <c r="C254" s="471" t="s">
        <v>300</v>
      </c>
      <c r="D254" s="448" t="str">
        <f t="shared" si="30"/>
        <v/>
      </c>
      <c r="E254" s="323" t="str">
        <f t="shared" si="31"/>
        <v/>
      </c>
      <c r="F254" s="385" t="str">
        <f t="shared" si="32"/>
        <v/>
      </c>
      <c r="G254" s="73"/>
      <c r="H254" s="463" t="str">
        <f t="shared" si="33"/>
        <v/>
      </c>
      <c r="I254" s="19" t="str">
        <f t="shared" si="33"/>
        <v/>
      </c>
      <c r="J254" s="469" t="str">
        <f t="shared" si="33"/>
        <v/>
      </c>
      <c r="K254" s="73"/>
      <c r="L254" s="73"/>
      <c r="M254" s="74"/>
      <c r="O254" s="195"/>
      <c r="P254" s="245" t="s">
        <v>298</v>
      </c>
      <c r="Q254" s="2"/>
      <c r="R254" s="2"/>
      <c r="S254" s="2"/>
      <c r="T254" s="6"/>
      <c r="U254" s="190" t="str">
        <f t="shared" si="35"/>
        <v/>
      </c>
      <c r="V254" s="190" t="str">
        <f t="shared" si="35"/>
        <v/>
      </c>
      <c r="W254" s="190" t="str">
        <f t="shared" si="35"/>
        <v/>
      </c>
      <c r="X254" s="6"/>
      <c r="Y254" s="247"/>
    </row>
    <row r="255" spans="1:27" ht="14.1" customHeight="1">
      <c r="A255" s="21">
        <v>39</v>
      </c>
      <c r="B255" s="72"/>
      <c r="C255" s="471" t="s">
        <v>301</v>
      </c>
      <c r="D255" s="448" t="str">
        <f t="shared" si="30"/>
        <v/>
      </c>
      <c r="E255" s="323" t="str">
        <f t="shared" si="31"/>
        <v/>
      </c>
      <c r="F255" s="385" t="str">
        <f t="shared" si="32"/>
        <v/>
      </c>
      <c r="G255" s="73"/>
      <c r="H255" s="463" t="str">
        <f t="shared" si="33"/>
        <v/>
      </c>
      <c r="I255" s="19" t="str">
        <f t="shared" si="33"/>
        <v/>
      </c>
      <c r="J255" s="469" t="str">
        <f t="shared" si="33"/>
        <v/>
      </c>
      <c r="K255" s="73"/>
      <c r="L255" s="73"/>
      <c r="M255" s="74"/>
      <c r="O255" s="195"/>
      <c r="P255" s="248" t="s">
        <v>300</v>
      </c>
      <c r="Q255" s="3"/>
      <c r="R255" s="3"/>
      <c r="S255" s="3"/>
      <c r="T255" s="6"/>
      <c r="U255" s="190" t="str">
        <f t="shared" si="35"/>
        <v/>
      </c>
      <c r="V255" s="190" t="str">
        <f t="shared" si="35"/>
        <v/>
      </c>
      <c r="W255" s="190" t="str">
        <f t="shared" si="35"/>
        <v/>
      </c>
      <c r="X255" s="6"/>
      <c r="Y255" s="247"/>
    </row>
    <row r="256" spans="1:27" ht="14.1" customHeight="1" thickBot="1">
      <c r="A256" s="21">
        <v>40</v>
      </c>
      <c r="B256" s="72"/>
      <c r="C256" s="471" t="s">
        <v>303</v>
      </c>
      <c r="D256" s="448" t="str">
        <f t="shared" si="30"/>
        <v/>
      </c>
      <c r="E256" s="323" t="str">
        <f t="shared" si="31"/>
        <v/>
      </c>
      <c r="F256" s="385" t="str">
        <f t="shared" si="32"/>
        <v/>
      </c>
      <c r="G256" s="73"/>
      <c r="H256" s="458" t="str">
        <f t="shared" si="33"/>
        <v/>
      </c>
      <c r="I256" s="459" t="str">
        <f t="shared" si="33"/>
        <v/>
      </c>
      <c r="J256" s="460" t="str">
        <f t="shared" si="33"/>
        <v/>
      </c>
      <c r="K256" s="73"/>
      <c r="L256" s="73"/>
      <c r="M256" s="74"/>
      <c r="O256" s="195"/>
      <c r="P256" s="248" t="s">
        <v>301</v>
      </c>
      <c r="Q256" s="3"/>
      <c r="R256" s="3"/>
      <c r="S256" s="3"/>
      <c r="T256" s="6"/>
      <c r="U256" s="190" t="str">
        <f t="shared" si="35"/>
        <v/>
      </c>
      <c r="V256" s="190" t="str">
        <f t="shared" si="35"/>
        <v/>
      </c>
      <c r="W256" s="190" t="str">
        <f t="shared" si="35"/>
        <v/>
      </c>
      <c r="X256" s="6"/>
      <c r="Y256" s="247"/>
    </row>
    <row r="257" spans="1:34" ht="14.1" customHeight="1">
      <c r="A257" s="21">
        <v>41</v>
      </c>
      <c r="B257" s="72"/>
      <c r="C257" s="471" t="s">
        <v>307</v>
      </c>
      <c r="D257" s="448" t="str">
        <f t="shared" si="30"/>
        <v/>
      </c>
      <c r="E257" s="323" t="str">
        <f t="shared" si="31"/>
        <v/>
      </c>
      <c r="F257" s="385" t="str">
        <f t="shared" si="32"/>
        <v/>
      </c>
      <c r="G257" s="73"/>
      <c r="H257" s="73"/>
      <c r="I257" s="73"/>
      <c r="J257" s="73"/>
      <c r="K257" s="73"/>
      <c r="L257" s="73"/>
      <c r="M257" s="74"/>
      <c r="O257" s="195"/>
      <c r="P257" s="248" t="s">
        <v>303</v>
      </c>
      <c r="Q257" s="3"/>
      <c r="R257" s="3"/>
      <c r="S257" s="3"/>
      <c r="T257" s="6"/>
      <c r="U257" s="190" t="str">
        <f t="shared" si="35"/>
        <v/>
      </c>
      <c r="V257" s="190" t="str">
        <f t="shared" si="35"/>
        <v/>
      </c>
      <c r="W257" s="190" t="str">
        <f t="shared" si="35"/>
        <v/>
      </c>
      <c r="X257" s="6"/>
      <c r="Y257" s="247"/>
    </row>
    <row r="258" spans="1:34" ht="14.1" customHeight="1">
      <c r="A258" s="21">
        <v>42</v>
      </c>
      <c r="B258" s="72"/>
      <c r="C258" s="471" t="s">
        <v>309</v>
      </c>
      <c r="D258" s="448" t="str">
        <f t="shared" si="30"/>
        <v/>
      </c>
      <c r="E258" s="323" t="str">
        <f t="shared" si="31"/>
        <v/>
      </c>
      <c r="F258" s="385" t="str">
        <f t="shared" si="32"/>
        <v/>
      </c>
      <c r="G258" s="73"/>
      <c r="H258" s="73"/>
      <c r="I258" s="73"/>
      <c r="J258" s="73"/>
      <c r="K258" s="73"/>
      <c r="L258" s="73"/>
      <c r="M258" s="74"/>
      <c r="O258" s="195"/>
      <c r="P258" s="248" t="s">
        <v>307</v>
      </c>
      <c r="Q258" s="3"/>
      <c r="R258" s="3"/>
      <c r="S258" s="3"/>
      <c r="T258" s="6"/>
      <c r="U258" s="6"/>
      <c r="V258" s="6"/>
      <c r="W258" s="6"/>
      <c r="X258" s="6"/>
      <c r="Y258" s="247"/>
    </row>
    <row r="259" spans="1:34" ht="14.1" customHeight="1" thickBot="1">
      <c r="A259" s="21">
        <v>43</v>
      </c>
      <c r="B259" s="72"/>
      <c r="C259" s="472" t="s">
        <v>311</v>
      </c>
      <c r="D259" s="459" t="str">
        <f t="shared" si="30"/>
        <v/>
      </c>
      <c r="E259" s="459" t="str">
        <f t="shared" si="31"/>
        <v/>
      </c>
      <c r="F259" s="460" t="str">
        <f t="shared" si="32"/>
        <v/>
      </c>
      <c r="G259" s="73"/>
      <c r="H259" s="73"/>
      <c r="I259" s="73"/>
      <c r="J259" s="73"/>
      <c r="K259" s="73"/>
      <c r="L259" s="73"/>
      <c r="M259" s="74"/>
      <c r="O259" s="195"/>
      <c r="P259" s="248" t="s">
        <v>309</v>
      </c>
      <c r="Q259" s="114" t="str">
        <f>IF(Q254="","",AVERAGE(Q254:Q258))</f>
        <v/>
      </c>
      <c r="R259" s="114" t="str">
        <f>IF(R254="","",AVERAGE(R254:R258))</f>
        <v/>
      </c>
      <c r="S259" s="114" t="str">
        <f>IF(S254="","",AVERAGE(S254:S258))</f>
        <v/>
      </c>
      <c r="T259" s="6"/>
      <c r="U259" s="6"/>
      <c r="V259" s="6"/>
      <c r="W259" s="6"/>
      <c r="X259" s="6"/>
      <c r="Y259" s="247"/>
      <c r="AA259" s="6"/>
    </row>
    <row r="260" spans="1:34" ht="14.1" customHeight="1" thickBot="1">
      <c r="A260" s="21">
        <v>44</v>
      </c>
      <c r="B260" s="72"/>
      <c r="C260" s="73"/>
      <c r="D260" s="424" t="str">
        <f t="shared" si="30"/>
        <v/>
      </c>
      <c r="E260" s="424" t="str">
        <f t="shared" si="31"/>
        <v/>
      </c>
      <c r="F260" s="424" t="str">
        <f t="shared" si="32"/>
        <v/>
      </c>
      <c r="G260" s="73"/>
      <c r="H260" s="73"/>
      <c r="I260" s="73"/>
      <c r="J260" s="73"/>
      <c r="K260" s="73"/>
      <c r="L260" s="73"/>
      <c r="M260" s="74"/>
      <c r="O260" s="195"/>
      <c r="P260" s="248" t="s">
        <v>311</v>
      </c>
      <c r="Q260" s="256" t="str">
        <f>IF(U253="","",MAX(U253:U257))</f>
        <v/>
      </c>
      <c r="R260" s="256" t="str">
        <f t="shared" ref="R260:S260" si="36">IF(V253="","",MAX(V253:V257))</f>
        <v/>
      </c>
      <c r="S260" s="256" t="str">
        <f t="shared" si="36"/>
        <v/>
      </c>
      <c r="T260" s="6"/>
      <c r="U260" s="6"/>
      <c r="V260" s="6"/>
      <c r="W260" s="6"/>
      <c r="X260" s="6"/>
      <c r="Y260" s="247"/>
      <c r="AA260" s="6"/>
      <c r="AD260" s="13"/>
      <c r="AE260" s="13"/>
      <c r="AF260" s="13"/>
      <c r="AG260" s="13"/>
      <c r="AH260" s="13"/>
    </row>
    <row r="261" spans="1:34" ht="14.1" customHeight="1">
      <c r="A261" s="21">
        <v>45</v>
      </c>
      <c r="B261" s="72"/>
      <c r="C261" s="5" t="s">
        <v>204</v>
      </c>
      <c r="D261" s="109" t="s">
        <v>314</v>
      </c>
      <c r="E261" s="73"/>
      <c r="F261" s="73"/>
      <c r="G261" s="73"/>
      <c r="H261" s="73"/>
      <c r="I261" s="73"/>
      <c r="J261" s="73"/>
      <c r="K261" s="73"/>
      <c r="L261" s="73"/>
      <c r="M261" s="74"/>
      <c r="O261" s="195"/>
      <c r="Q261" s="4" t="str">
        <f>IF(Q260="","",IF(Q260&lt;=0.07,"Pass","Fail"))</f>
        <v/>
      </c>
      <c r="R261" s="4" t="str">
        <f t="shared" ref="R261:S261" si="37">IF(R260="","",IF(R260&lt;=0.07,"Pass","Fail"))</f>
        <v/>
      </c>
      <c r="S261" s="4" t="str">
        <f t="shared" si="37"/>
        <v/>
      </c>
      <c r="T261" s="6"/>
      <c r="U261" s="6"/>
      <c r="V261" s="6"/>
      <c r="W261" s="6"/>
      <c r="X261" s="6"/>
      <c r="Y261" s="247"/>
      <c r="AA261" s="6"/>
    </row>
    <row r="262" spans="1:34" ht="14.1" customHeight="1" thickBot="1">
      <c r="A262" s="21">
        <v>46</v>
      </c>
      <c r="B262" s="168"/>
      <c r="C262" s="45"/>
      <c r="D262" s="45"/>
      <c r="E262" s="45"/>
      <c r="F262" s="45"/>
      <c r="G262" s="45"/>
      <c r="H262" s="45"/>
      <c r="I262" s="45"/>
      <c r="J262" s="45"/>
      <c r="K262" s="45"/>
      <c r="L262" s="45"/>
      <c r="M262" s="169"/>
      <c r="O262" s="195"/>
      <c r="P262" s="5" t="s">
        <v>204</v>
      </c>
      <c r="Q262" s="146" t="s">
        <v>314</v>
      </c>
      <c r="T262" s="6"/>
      <c r="U262" s="6"/>
      <c r="V262" s="6"/>
      <c r="W262" s="6"/>
      <c r="X262" s="6"/>
      <c r="Y262" s="247"/>
      <c r="AA262" s="6"/>
    </row>
    <row r="263" spans="1:34" ht="14.1" customHeight="1" thickBot="1">
      <c r="A263" s="21">
        <v>47</v>
      </c>
      <c r="B263" s="72"/>
      <c r="C263" s="154" t="s">
        <v>297</v>
      </c>
      <c r="D263" s="73"/>
      <c r="E263" s="73"/>
      <c r="F263" s="73"/>
      <c r="G263" s="73"/>
      <c r="H263" s="73"/>
      <c r="I263" s="73"/>
      <c r="J263" s="73"/>
      <c r="K263" s="73"/>
      <c r="L263" s="73"/>
      <c r="M263" s="74"/>
      <c r="O263" s="240"/>
      <c r="P263" s="201"/>
      <c r="Q263" s="201"/>
      <c r="R263" s="201"/>
      <c r="S263" s="201"/>
      <c r="T263" s="201"/>
      <c r="U263" s="201"/>
      <c r="V263" s="201"/>
      <c r="W263" s="201"/>
      <c r="X263" s="201"/>
      <c r="Y263" s="241"/>
      <c r="AA263" s="6"/>
    </row>
    <row r="264" spans="1:34" ht="14.1" customHeight="1">
      <c r="A264" s="21">
        <v>48</v>
      </c>
      <c r="B264" s="72"/>
      <c r="C264" s="171" t="s">
        <v>299</v>
      </c>
      <c r="D264" s="148" t="str">
        <f>IF(Q265="","",Q265)</f>
        <v/>
      </c>
      <c r="E264" s="73"/>
      <c r="F264" s="171" t="s">
        <v>173</v>
      </c>
      <c r="G264" s="148">
        <f>IF(T265="","",T265)</f>
        <v>28</v>
      </c>
      <c r="H264" s="73"/>
      <c r="I264" s="73"/>
      <c r="J264" s="73"/>
      <c r="K264" s="73"/>
      <c r="L264" s="73"/>
      <c r="M264" s="74"/>
      <c r="O264" s="144" t="s">
        <v>297</v>
      </c>
      <c r="P264" s="27"/>
      <c r="Q264" s="27"/>
      <c r="R264" s="27"/>
      <c r="S264" s="27"/>
      <c r="T264" s="27"/>
      <c r="U264" s="27"/>
      <c r="V264" s="27"/>
      <c r="W264" s="27"/>
      <c r="X264" s="27"/>
      <c r="Y264" s="28"/>
      <c r="AA264" s="6"/>
    </row>
    <row r="265" spans="1:34" ht="14.1" customHeight="1">
      <c r="A265" s="21">
        <v>49</v>
      </c>
      <c r="B265" s="72"/>
      <c r="C265" s="171" t="s">
        <v>95</v>
      </c>
      <c r="D265" s="148" t="str">
        <f>IF(Q266="","",Q266)</f>
        <v>W/Rh</v>
      </c>
      <c r="E265" s="73"/>
      <c r="F265" s="171" t="s">
        <v>176</v>
      </c>
      <c r="G265" s="148">
        <f>IF(T266="","",T266)</f>
        <v>100</v>
      </c>
      <c r="H265" s="73"/>
      <c r="I265" s="73"/>
      <c r="J265" s="73"/>
      <c r="K265" s="73"/>
      <c r="L265" s="73"/>
      <c r="M265" s="74"/>
      <c r="O265" s="34"/>
      <c r="P265" s="39" t="s">
        <v>299</v>
      </c>
      <c r="Q265" s="1"/>
      <c r="S265" s="39" t="s">
        <v>173</v>
      </c>
      <c r="T265" s="145">
        <v>28</v>
      </c>
      <c r="V265" s="6"/>
      <c r="W265" s="6"/>
      <c r="Y265" s="36"/>
      <c r="AA265" s="6"/>
    </row>
    <row r="266" spans="1:34" ht="14.1" customHeight="1">
      <c r="A266" s="21">
        <v>50</v>
      </c>
      <c r="B266" s="72"/>
      <c r="C266" s="73"/>
      <c r="D266" s="73"/>
      <c r="E266" s="73"/>
      <c r="F266" s="115" t="s">
        <v>275</v>
      </c>
      <c r="G266" s="73"/>
      <c r="H266" s="73" t="s">
        <v>302</v>
      </c>
      <c r="I266" s="73"/>
      <c r="J266" s="73"/>
      <c r="K266" s="73"/>
      <c r="L266" s="73"/>
      <c r="M266" s="74"/>
      <c r="O266" s="34"/>
      <c r="P266" s="39" t="s">
        <v>95</v>
      </c>
      <c r="Q266" s="145" t="s">
        <v>238</v>
      </c>
      <c r="S266" s="39" t="s">
        <v>176</v>
      </c>
      <c r="T266" s="145">
        <v>100</v>
      </c>
      <c r="Y266" s="36"/>
      <c r="AA266" s="6"/>
    </row>
    <row r="267" spans="1:34" ht="14.1" customHeight="1" thickBot="1">
      <c r="A267" s="21">
        <v>51</v>
      </c>
      <c r="B267" s="72"/>
      <c r="C267" s="115"/>
      <c r="D267" s="115" t="s">
        <v>72</v>
      </c>
      <c r="E267" s="115" t="s">
        <v>284</v>
      </c>
      <c r="F267" s="115" t="s">
        <v>276</v>
      </c>
      <c r="G267" s="115" t="s">
        <v>304</v>
      </c>
      <c r="H267" s="115" t="s">
        <v>305</v>
      </c>
      <c r="I267" s="73"/>
      <c r="J267" s="171" t="s">
        <v>306</v>
      </c>
      <c r="K267" s="149" t="e">
        <f t="shared" ref="K267:K272" si="38">IF(X268="","",X268)</f>
        <v>#DIV/0!</v>
      </c>
      <c r="L267" s="73"/>
      <c r="M267" s="74"/>
      <c r="O267" s="34"/>
      <c r="S267" s="14" t="s">
        <v>275</v>
      </c>
      <c r="U267" s="25" t="s">
        <v>302</v>
      </c>
      <c r="Y267" s="36"/>
    </row>
    <row r="268" spans="1:34" ht="14.1" customHeight="1">
      <c r="A268" s="21">
        <v>52</v>
      </c>
      <c r="B268" s="72"/>
      <c r="C268" s="73"/>
      <c r="D268" s="250" t="str">
        <f t="shared" ref="D268:H273" si="39">IF(Q269="","",Q269)</f>
        <v/>
      </c>
      <c r="E268" s="700" t="str">
        <f t="shared" si="39"/>
        <v/>
      </c>
      <c r="F268" s="214" t="str">
        <f t="shared" si="39"/>
        <v/>
      </c>
      <c r="G268" s="251" t="str">
        <f t="shared" si="39"/>
        <v/>
      </c>
      <c r="H268" s="252" t="str">
        <f t="shared" si="39"/>
        <v/>
      </c>
      <c r="I268" s="73"/>
      <c r="J268" s="171" t="s">
        <v>308</v>
      </c>
      <c r="K268" s="150" t="str">
        <f t="shared" si="38"/>
        <v/>
      </c>
      <c r="L268" s="73"/>
      <c r="M268" s="74"/>
      <c r="O268" s="195"/>
      <c r="Q268" s="14" t="s">
        <v>72</v>
      </c>
      <c r="R268" s="14" t="s">
        <v>284</v>
      </c>
      <c r="S268" s="14" t="s">
        <v>276</v>
      </c>
      <c r="T268" s="14" t="s">
        <v>304</v>
      </c>
      <c r="U268" s="14" t="s">
        <v>305</v>
      </c>
      <c r="W268" s="39" t="s">
        <v>306</v>
      </c>
      <c r="X268" s="288" t="e">
        <f>IF(T265="","",T265*HLOOKUP($Q$266,Tables!D78:F80,2)+HLOOKUP(Sheet1!$Q$266,Tables!D78:F80,3))</f>
        <v>#DIV/0!</v>
      </c>
      <c r="Y268" s="36"/>
    </row>
    <row r="269" spans="1:34" ht="14.1" customHeight="1">
      <c r="A269" s="21">
        <v>53</v>
      </c>
      <c r="B269" s="72"/>
      <c r="C269" s="73"/>
      <c r="D269" s="253" t="str">
        <f t="shared" si="39"/>
        <v/>
      </c>
      <c r="E269" s="114" t="str">
        <f t="shared" si="39"/>
        <v/>
      </c>
      <c r="F269" s="15" t="str">
        <f t="shared" si="39"/>
        <v/>
      </c>
      <c r="G269" s="17" t="str">
        <f t="shared" si="39"/>
        <v/>
      </c>
      <c r="H269" s="254" t="str">
        <f t="shared" si="39"/>
        <v/>
      </c>
      <c r="I269" s="73"/>
      <c r="J269" s="171" t="s">
        <v>310</v>
      </c>
      <c r="K269" s="255" t="str">
        <f t="shared" si="38"/>
        <v>TBD</v>
      </c>
      <c r="L269" s="73"/>
      <c r="M269" s="74"/>
      <c r="O269" s="195"/>
      <c r="Q269" s="153"/>
      <c r="R269" s="153"/>
      <c r="S269" s="153"/>
      <c r="T269" s="331" t="str">
        <f>IF(Q269="","",Q269/$T$266)</f>
        <v/>
      </c>
      <c r="U269" s="333" t="str">
        <f>IF(Q269="","",($T$265^2*HLOOKUP($Q$266,Tables!$D$70:$F$72,2)+HLOOKUP(Sheet1!$Q$266,Tables!$D$70:$F$72,3))*Q269)</f>
        <v/>
      </c>
      <c r="W269" s="39" t="s">
        <v>308</v>
      </c>
      <c r="X269" s="288" t="str">
        <f>IF(U273="","",U273)</f>
        <v/>
      </c>
      <c r="Y269" s="36"/>
    </row>
    <row r="270" spans="1:34" ht="14.1" customHeight="1">
      <c r="A270" s="21">
        <v>54</v>
      </c>
      <c r="B270" s="72"/>
      <c r="C270" s="73"/>
      <c r="D270" s="253" t="str">
        <f t="shared" si="39"/>
        <v/>
      </c>
      <c r="E270" s="114" t="str">
        <f t="shared" si="39"/>
        <v/>
      </c>
      <c r="F270" s="15" t="str">
        <f t="shared" si="39"/>
        <v/>
      </c>
      <c r="G270" s="17" t="str">
        <f t="shared" si="39"/>
        <v/>
      </c>
      <c r="H270" s="254" t="str">
        <f t="shared" si="39"/>
        <v/>
      </c>
      <c r="I270" s="73"/>
      <c r="J270" s="171" t="s">
        <v>312</v>
      </c>
      <c r="K270" s="150" t="str">
        <f t="shared" si="38"/>
        <v/>
      </c>
      <c r="L270" s="73"/>
      <c r="M270" s="74"/>
      <c r="O270" s="195"/>
      <c r="Q270" s="153"/>
      <c r="R270" s="153"/>
      <c r="S270" s="153"/>
      <c r="T270" s="331" t="str">
        <f>IF(Q270="","",Q270/$T$266)</f>
        <v/>
      </c>
      <c r="U270" s="333" t="str">
        <f>IF(Q270="","",($T$265^2*HLOOKUP($Q$266,Tables!$D$70:$F$72,2)+HLOOKUP(Sheet1!$Q$266,Tables!$D$70:$F$72,3))*Q270)</f>
        <v/>
      </c>
      <c r="W270" s="39" t="s">
        <v>310</v>
      </c>
      <c r="X270" s="266" t="str">
        <f>IF(Q266="","",HLOOKUP(Q266,Tables!A83:F84,2))</f>
        <v>TBD</v>
      </c>
      <c r="Y270" s="36"/>
    </row>
    <row r="271" spans="1:34" ht="14.1" customHeight="1" thickBot="1">
      <c r="A271" s="21">
        <v>55</v>
      </c>
      <c r="B271" s="72"/>
      <c r="C271" s="73"/>
      <c r="D271" s="257" t="str">
        <f t="shared" si="39"/>
        <v/>
      </c>
      <c r="E271" s="701" t="str">
        <f t="shared" si="39"/>
        <v/>
      </c>
      <c r="F271" s="217" t="str">
        <f t="shared" si="39"/>
        <v/>
      </c>
      <c r="G271" s="258" t="str">
        <f t="shared" si="39"/>
        <v/>
      </c>
      <c r="H271" s="259" t="str">
        <f t="shared" si="39"/>
        <v/>
      </c>
      <c r="I271" s="73"/>
      <c r="J271" s="171" t="s">
        <v>313</v>
      </c>
      <c r="K271" s="150" t="str">
        <f t="shared" si="38"/>
        <v/>
      </c>
      <c r="L271" s="73"/>
      <c r="M271" s="74"/>
      <c r="O271" s="195"/>
      <c r="Q271" s="153"/>
      <c r="R271" s="153"/>
      <c r="S271" s="153"/>
      <c r="T271" s="331" t="str">
        <f>IF(Q271="","",Q271/$T$266)</f>
        <v/>
      </c>
      <c r="U271" s="333" t="str">
        <f>IF(Q271="","",($T$265^2*HLOOKUP($Q$266,Tables!$D$70:$F$72,2)+HLOOKUP(Sheet1!$Q$266,Tables!$D$70:$F$72,3))*Q271)</f>
        <v/>
      </c>
      <c r="W271" s="39" t="s">
        <v>312</v>
      </c>
      <c r="X271" s="267" t="str">
        <f>IF(ESE="","",ESE*Tables!D84)</f>
        <v/>
      </c>
      <c r="Y271" s="36"/>
    </row>
    <row r="272" spans="1:34" ht="14.1" customHeight="1">
      <c r="A272" s="21">
        <v>56</v>
      </c>
      <c r="B272" s="72"/>
      <c r="C272" s="171" t="s">
        <v>272</v>
      </c>
      <c r="D272" s="253" t="str">
        <f t="shared" si="39"/>
        <v/>
      </c>
      <c r="E272" s="114" t="str">
        <f t="shared" si="39"/>
        <v/>
      </c>
      <c r="F272" s="16" t="str">
        <f t="shared" si="39"/>
        <v/>
      </c>
      <c r="G272" s="17" t="str">
        <f t="shared" si="39"/>
        <v/>
      </c>
      <c r="H272" s="254" t="str">
        <f t="shared" si="39"/>
        <v/>
      </c>
      <c r="I272" s="73"/>
      <c r="J272" s="171" t="s">
        <v>315</v>
      </c>
      <c r="K272" s="260" t="str">
        <f t="shared" si="38"/>
        <v/>
      </c>
      <c r="L272" s="73"/>
      <c r="M272" s="74"/>
      <c r="O272" s="195"/>
      <c r="Q272" s="153"/>
      <c r="R272" s="153"/>
      <c r="S272" s="153"/>
      <c r="T272" s="331" t="str">
        <f>IF(Q272="","",Q272/$T$266)</f>
        <v/>
      </c>
      <c r="U272" s="333" t="str">
        <f>IF(Q272="","",($T$265^2*HLOOKUP($Q$266,Tables!$D$70:$F$72,2)+HLOOKUP(Sheet1!$Q$266,Tables!$D$70:$F$72,3))*Q272)</f>
        <v/>
      </c>
      <c r="W272" s="39" t="s">
        <v>313</v>
      </c>
      <c r="X272" s="268" t="str">
        <f>IF(AB85="","",AB85)</f>
        <v/>
      </c>
      <c r="Y272" s="36"/>
    </row>
    <row r="273" spans="1:25" ht="14.1" customHeight="1" thickBot="1">
      <c r="A273" s="21">
        <v>57</v>
      </c>
      <c r="B273" s="72"/>
      <c r="C273" s="171" t="s">
        <v>274</v>
      </c>
      <c r="D273" s="199" t="str">
        <f t="shared" si="39"/>
        <v/>
      </c>
      <c r="E273" s="193" t="str">
        <f t="shared" si="39"/>
        <v/>
      </c>
      <c r="F273" s="193" t="str">
        <f t="shared" si="39"/>
        <v/>
      </c>
      <c r="G273" s="193" t="str">
        <f t="shared" si="39"/>
        <v/>
      </c>
      <c r="H273" s="194" t="str">
        <f t="shared" si="39"/>
        <v/>
      </c>
      <c r="I273" s="73"/>
      <c r="J273" s="73"/>
      <c r="K273" s="73"/>
      <c r="L273" s="73"/>
      <c r="M273" s="74"/>
      <c r="O273" s="195"/>
      <c r="P273" s="39" t="s">
        <v>272</v>
      </c>
      <c r="Q273" s="75" t="str">
        <f>IF(OR(Q269="",Q270="",Q271="",Q272=""),"",AVERAGE(Q269:Q272))</f>
        <v/>
      </c>
      <c r="R273" s="269" t="str">
        <f>IF(OR(R269="",R270="",R271="",R272=""),"",AVERAGE(R269:R272))</f>
        <v/>
      </c>
      <c r="S273" s="76" t="str">
        <f>IF(OR(S269="",S270="",S271="",S272=""),"",AVERAGE(S269:S272))</f>
        <v/>
      </c>
      <c r="T273" s="270" t="str">
        <f>IF(OR(T269="",T270="",T271="",T272=""),"",AVERAGE(T269:T272))</f>
        <v/>
      </c>
      <c r="U273" s="332" t="str">
        <f>IF(OR(U269="",U270="",U271="",U272=""),"",AVERAGE(U269:U272))</f>
        <v/>
      </c>
      <c r="W273" s="39" t="s">
        <v>315</v>
      </c>
      <c r="X273" s="271" t="str">
        <f>IF(OR(X271="",X272=""),"",(X271-X272)/X272)</f>
        <v/>
      </c>
      <c r="Y273" s="36"/>
    </row>
    <row r="274" spans="1:25" ht="14.1" customHeight="1">
      <c r="A274" s="21">
        <v>58</v>
      </c>
      <c r="B274" s="72"/>
      <c r="C274" s="5" t="s">
        <v>204</v>
      </c>
      <c r="D274" s="109" t="s">
        <v>316</v>
      </c>
      <c r="E274" s="73"/>
      <c r="F274" s="73"/>
      <c r="G274" s="73"/>
      <c r="H274" s="73"/>
      <c r="I274" s="73"/>
      <c r="J274" s="171" t="s">
        <v>317</v>
      </c>
      <c r="K274" s="261" t="str">
        <f>IF(X276="","",X276)</f>
        <v/>
      </c>
      <c r="L274" s="73"/>
      <c r="M274" s="74"/>
      <c r="O274" s="195"/>
      <c r="P274" s="39" t="s">
        <v>274</v>
      </c>
      <c r="Q274" s="264" t="str">
        <f>IF(Q273="","",_xlfn.STDEV.S(Q269:Q272)/Q273)</f>
        <v/>
      </c>
      <c r="R274" s="264" t="str">
        <f>IF(R273="","",_xlfn.STDEV.S(R269:R272)/R273)</f>
        <v/>
      </c>
      <c r="S274" s="264" t="str">
        <f>IF(S273="","",_xlfn.STDEV.S(S269:S272)/S273)</f>
        <v/>
      </c>
      <c r="T274" s="264" t="str">
        <f>IF(T273="","",_xlfn.STDEV.S(T269:T272)/T273)</f>
        <v/>
      </c>
      <c r="U274" s="264" t="str">
        <f>IF(U273="","",_xlfn.STDEV.S(U269:U272)/U273)</f>
        <v/>
      </c>
      <c r="W274" s="6"/>
      <c r="X274" s="6"/>
      <c r="Y274" s="36"/>
    </row>
    <row r="275" spans="1:25" ht="14.1" customHeight="1">
      <c r="A275" s="21">
        <v>59</v>
      </c>
      <c r="B275" s="72"/>
      <c r="C275" s="73"/>
      <c r="D275" s="109" t="s">
        <v>318</v>
      </c>
      <c r="E275" s="73"/>
      <c r="F275" s="73"/>
      <c r="G275" s="73"/>
      <c r="H275" s="73"/>
      <c r="I275" s="73"/>
      <c r="J275" s="171" t="s">
        <v>319</v>
      </c>
      <c r="K275" s="262" t="str">
        <f>IF(X277="","",X277)</f>
        <v/>
      </c>
      <c r="L275" s="73"/>
      <c r="M275" s="74"/>
      <c r="O275" s="34"/>
      <c r="P275" s="6"/>
      <c r="Q275" s="6"/>
      <c r="R275" s="6"/>
      <c r="S275" s="6"/>
      <c r="T275" s="6"/>
      <c r="U275" s="6"/>
      <c r="Y275" s="36"/>
    </row>
    <row r="276" spans="1:25" ht="14.1" customHeight="1">
      <c r="A276" s="21">
        <v>60</v>
      </c>
      <c r="B276" s="72"/>
      <c r="C276" s="73"/>
      <c r="D276" s="73"/>
      <c r="E276" s="73"/>
      <c r="F276" s="73"/>
      <c r="G276" s="73"/>
      <c r="H276" s="73"/>
      <c r="I276" s="73"/>
      <c r="J276" s="73"/>
      <c r="K276" s="73"/>
      <c r="L276" s="73"/>
      <c r="M276" s="74"/>
      <c r="O276" s="34"/>
      <c r="P276" s="272" t="s">
        <v>204</v>
      </c>
      <c r="Q276" s="200" t="s">
        <v>316</v>
      </c>
      <c r="W276" s="39" t="s">
        <v>317</v>
      </c>
      <c r="X276" s="261" t="str">
        <f>IF(X271="","",(X271-AVERAGE(S269:S272))/AVERAGE(S269:S272))</f>
        <v/>
      </c>
      <c r="Y276" s="36"/>
    </row>
    <row r="277" spans="1:25" ht="14.1" customHeight="1">
      <c r="A277" s="21">
        <v>61</v>
      </c>
      <c r="B277" s="72"/>
      <c r="C277" s="73"/>
      <c r="D277" s="73"/>
      <c r="E277" s="73"/>
      <c r="F277" s="73"/>
      <c r="G277" s="73"/>
      <c r="H277" s="73"/>
      <c r="I277" s="73"/>
      <c r="J277" s="73"/>
      <c r="K277" s="73"/>
      <c r="L277" s="73"/>
      <c r="M277" s="74"/>
      <c r="O277" s="34"/>
      <c r="P277" s="6"/>
      <c r="Q277" s="200" t="s">
        <v>521</v>
      </c>
      <c r="W277" s="39" t="s">
        <v>319</v>
      </c>
      <c r="X277" s="262" t="str">
        <f>IF(OR(X271="",Q273=""),"",3/(X271/Q273))</f>
        <v/>
      </c>
      <c r="Y277" s="36"/>
    </row>
    <row r="278" spans="1:25" ht="14.1" customHeight="1" thickBot="1">
      <c r="A278" s="21">
        <v>62</v>
      </c>
      <c r="B278" s="72"/>
      <c r="C278" s="73"/>
      <c r="D278" s="73"/>
      <c r="E278" s="73"/>
      <c r="F278" s="73"/>
      <c r="G278" s="73"/>
      <c r="H278" s="73"/>
      <c r="I278" s="73"/>
      <c r="J278" s="73"/>
      <c r="K278" s="73"/>
      <c r="L278" s="73"/>
      <c r="M278" s="74"/>
      <c r="O278" s="44"/>
      <c r="P278" s="201"/>
      <c r="Q278" s="201"/>
      <c r="R278" s="45"/>
      <c r="S278" s="45"/>
      <c r="T278" s="201"/>
      <c r="U278" s="201"/>
      <c r="V278" s="45"/>
      <c r="W278" s="275"/>
      <c r="X278" s="45"/>
      <c r="Y278" s="46"/>
    </row>
    <row r="279" spans="1:25" ht="14.1" customHeight="1">
      <c r="A279" s="21">
        <v>63</v>
      </c>
      <c r="B279" s="72"/>
      <c r="C279" s="73"/>
      <c r="D279" s="73"/>
      <c r="E279" s="73"/>
      <c r="F279" s="73"/>
      <c r="G279" s="73"/>
      <c r="H279" s="73"/>
      <c r="I279" s="73"/>
      <c r="J279" s="73"/>
      <c r="K279" s="73"/>
      <c r="L279" s="73"/>
      <c r="M279" s="74"/>
      <c r="O279" s="144" t="s">
        <v>331</v>
      </c>
      <c r="P279" s="242"/>
      <c r="Q279" s="242"/>
      <c r="R279" s="27"/>
      <c r="S279" s="27"/>
      <c r="T279" s="242"/>
      <c r="U279" s="242"/>
      <c r="V279" s="27"/>
      <c r="W279" s="27"/>
      <c r="X279" s="27"/>
      <c r="Y279" s="28"/>
    </row>
    <row r="280" spans="1:25" ht="14.1" customHeight="1">
      <c r="A280" s="21">
        <v>64</v>
      </c>
      <c r="B280" s="72"/>
      <c r="C280" s="73"/>
      <c r="D280" s="73"/>
      <c r="E280" s="73"/>
      <c r="F280" s="73"/>
      <c r="G280" s="73"/>
      <c r="H280" s="73"/>
      <c r="I280" s="73"/>
      <c r="J280" s="73"/>
      <c r="K280" s="73"/>
      <c r="L280" s="73"/>
      <c r="M280" s="74"/>
      <c r="O280" s="34" t="s">
        <v>333</v>
      </c>
      <c r="P280" s="145"/>
      <c r="R280" s="39" t="s">
        <v>334</v>
      </c>
      <c r="S280" s="278"/>
      <c r="Y280" s="36"/>
    </row>
    <row r="281" spans="1:25" ht="14.1" customHeight="1">
      <c r="A281" s="21">
        <v>65</v>
      </c>
      <c r="B281" s="72"/>
      <c r="C281" s="73"/>
      <c r="D281" s="73"/>
      <c r="E281" s="73"/>
      <c r="F281" s="73"/>
      <c r="G281" s="73"/>
      <c r="H281" s="73"/>
      <c r="I281" s="73"/>
      <c r="J281" s="73"/>
      <c r="K281" s="73"/>
      <c r="L281" s="73"/>
      <c r="M281" s="74"/>
      <c r="O281" s="34" t="s">
        <v>335</v>
      </c>
      <c r="P281" s="145"/>
      <c r="R281" s="39" t="s">
        <v>336</v>
      </c>
      <c r="S281" s="278"/>
      <c r="Y281" s="36"/>
    </row>
    <row r="282" spans="1:25" ht="14.1" customHeight="1">
      <c r="A282" s="21">
        <v>66</v>
      </c>
      <c r="B282" s="72"/>
      <c r="C282" s="73"/>
      <c r="D282" s="73"/>
      <c r="E282" s="73"/>
      <c r="F282" s="73"/>
      <c r="G282" s="73"/>
      <c r="H282" s="73"/>
      <c r="I282" s="73"/>
      <c r="J282" s="73"/>
      <c r="K282" s="73"/>
      <c r="L282" s="73"/>
      <c r="M282" s="74"/>
      <c r="O282" s="34"/>
      <c r="S282" s="751" t="s">
        <v>337</v>
      </c>
      <c r="T282" s="751"/>
      <c r="U282" s="751"/>
      <c r="V282" s="14"/>
      <c r="W282" s="14"/>
      <c r="Y282" s="36"/>
    </row>
    <row r="283" spans="1:25" ht="14.1" customHeight="1">
      <c r="A283" s="21">
        <v>67</v>
      </c>
      <c r="B283" s="72"/>
      <c r="C283" s="73"/>
      <c r="D283" s="73"/>
      <c r="E283" s="73"/>
      <c r="F283" s="73"/>
      <c r="G283" s="73"/>
      <c r="H283" s="73"/>
      <c r="I283" s="73"/>
      <c r="J283" s="73"/>
      <c r="K283" s="73"/>
      <c r="L283" s="73"/>
      <c r="M283" s="74"/>
      <c r="O283" s="34"/>
      <c r="P283" s="25" t="s">
        <v>71</v>
      </c>
      <c r="Q283" s="14" t="s">
        <v>269</v>
      </c>
      <c r="R283" s="14" t="s">
        <v>72</v>
      </c>
      <c r="S283" s="14" t="s">
        <v>25</v>
      </c>
      <c r="T283" s="14" t="s">
        <v>26</v>
      </c>
      <c r="U283" s="14" t="s">
        <v>27</v>
      </c>
      <c r="V283" s="14" t="s">
        <v>338</v>
      </c>
      <c r="W283" s="14" t="s">
        <v>339</v>
      </c>
      <c r="X283" s="14" t="s">
        <v>519</v>
      </c>
      <c r="Y283" s="36"/>
    </row>
    <row r="284" spans="1:25" ht="14.1" customHeight="1">
      <c r="A284" s="21">
        <v>68</v>
      </c>
      <c r="B284" s="72"/>
      <c r="C284" s="73"/>
      <c r="D284" s="73"/>
      <c r="E284" s="73"/>
      <c r="F284" s="73"/>
      <c r="G284" s="73"/>
      <c r="H284" s="73"/>
      <c r="I284" s="73"/>
      <c r="J284" s="73"/>
      <c r="K284" s="73"/>
      <c r="L284" s="73"/>
      <c r="M284" s="74"/>
      <c r="O284" s="34"/>
      <c r="P284" s="485" t="str">
        <f>AK10&amp;"/"&amp;AL10</f>
        <v>Mo/Mo</v>
      </c>
      <c r="Q284" s="348">
        <f t="shared" ref="Q284:R286" si="40">AH10</f>
        <v>24</v>
      </c>
      <c r="R284" s="15">
        <f t="shared" si="40"/>
        <v>50</v>
      </c>
      <c r="S284" s="16" t="str">
        <f>IF(AQ10="","",AQ10)</f>
        <v/>
      </c>
      <c r="T284" s="16" t="str">
        <f t="shared" ref="T284:U286" si="41">IF(AN10="","",AN10)</f>
        <v/>
      </c>
      <c r="U284" s="16" t="str">
        <f t="shared" si="41"/>
        <v/>
      </c>
      <c r="V284" s="17" t="str">
        <f t="shared" ref="V284:V294" si="42">IF(U284="","",U284/R284)</f>
        <v/>
      </c>
      <c r="W284" s="18" t="str">
        <f t="shared" ref="W284:W294" si="43">IF(U284="","",U284/(T284/1000))</f>
        <v/>
      </c>
      <c r="X284" s="19" t="str">
        <f>IF(S284="","",(S284-Q284)/Q284)</f>
        <v/>
      </c>
      <c r="Y284" s="36"/>
    </row>
    <row r="285" spans="1:25" ht="14.1" customHeight="1">
      <c r="A285" s="21">
        <v>69</v>
      </c>
      <c r="B285" s="72"/>
      <c r="C285" s="73"/>
      <c r="D285" s="73"/>
      <c r="E285" s="73"/>
      <c r="F285" s="73"/>
      <c r="G285" s="73"/>
      <c r="H285" s="73"/>
      <c r="I285" s="73"/>
      <c r="J285" s="73"/>
      <c r="K285" s="73"/>
      <c r="L285" s="73"/>
      <c r="M285" s="74"/>
      <c r="O285" s="34"/>
      <c r="P285" s="486"/>
      <c r="Q285" s="349">
        <f t="shared" si="40"/>
        <v>26</v>
      </c>
      <c r="R285" s="15">
        <f t="shared" si="40"/>
        <v>50</v>
      </c>
      <c r="S285" s="16" t="str">
        <f>IF(AQ11="","",AQ11)</f>
        <v/>
      </c>
      <c r="T285" s="16" t="str">
        <f t="shared" si="41"/>
        <v/>
      </c>
      <c r="U285" s="16" t="str">
        <f t="shared" si="41"/>
        <v/>
      </c>
      <c r="V285" s="17" t="str">
        <f t="shared" si="42"/>
        <v/>
      </c>
      <c r="W285" s="16" t="str">
        <f t="shared" si="43"/>
        <v/>
      </c>
      <c r="X285" s="19" t="str">
        <f t="shared" ref="X285:X299" si="44">IF(S285="","",(S285-Q285)/Q285)</f>
        <v/>
      </c>
      <c r="Y285" s="36"/>
    </row>
    <row r="286" spans="1:25" ht="14.1" customHeight="1" thickBot="1">
      <c r="A286" s="21">
        <v>70</v>
      </c>
      <c r="B286" s="85"/>
      <c r="C286" s="86"/>
      <c r="D286" s="86"/>
      <c r="E286" s="86"/>
      <c r="F286" s="86"/>
      <c r="G286" s="86"/>
      <c r="H286" s="86"/>
      <c r="I286" s="86"/>
      <c r="J286" s="86"/>
      <c r="K286" s="86"/>
      <c r="L286" s="86"/>
      <c r="M286" s="87"/>
      <c r="O286" s="34"/>
      <c r="P286" s="486"/>
      <c r="Q286" s="348">
        <f t="shared" si="40"/>
        <v>28</v>
      </c>
      <c r="R286" s="15">
        <f t="shared" si="40"/>
        <v>50</v>
      </c>
      <c r="S286" s="16" t="str">
        <f>IF(AQ12="","",AQ12)</f>
        <v/>
      </c>
      <c r="T286" s="16" t="str">
        <f t="shared" si="41"/>
        <v/>
      </c>
      <c r="U286" s="16" t="str">
        <f t="shared" si="41"/>
        <v/>
      </c>
      <c r="V286" s="17" t="str">
        <f t="shared" si="42"/>
        <v/>
      </c>
      <c r="W286" s="16" t="str">
        <f t="shared" si="43"/>
        <v/>
      </c>
      <c r="X286" s="19" t="str">
        <f t="shared" si="44"/>
        <v/>
      </c>
      <c r="Y286" s="36"/>
    </row>
    <row r="287" spans="1:25" ht="14.1" customHeight="1" thickTop="1">
      <c r="A287" s="21">
        <v>71</v>
      </c>
      <c r="C287" s="117" t="s">
        <v>11</v>
      </c>
      <c r="D287" s="422" t="str">
        <f>IF($P$7="","",$P$7)</f>
        <v/>
      </c>
      <c r="E287" s="31"/>
      <c r="F287" s="31"/>
      <c r="G287" s="31"/>
      <c r="H287" s="31"/>
      <c r="I287" s="31"/>
      <c r="J287" s="31"/>
      <c r="K287" s="31"/>
      <c r="L287" s="117" t="s">
        <v>12</v>
      </c>
      <c r="M287" s="423" t="str">
        <f>IF($X$7="","",$X$7)</f>
        <v>Eugene Mah</v>
      </c>
      <c r="O287" s="34"/>
      <c r="P287" s="486"/>
      <c r="Q287" s="348">
        <f>AH23</f>
        <v>30</v>
      </c>
      <c r="R287" s="15">
        <f>AI23</f>
        <v>50</v>
      </c>
      <c r="S287" s="16" t="str">
        <f>IF(AQ23="","",AQ23)</f>
        <v/>
      </c>
      <c r="T287" s="16" t="str">
        <f>IF(AN23="","",AN23)</f>
        <v/>
      </c>
      <c r="U287" s="16" t="str">
        <f>IF(AO23="","",AO23)</f>
        <v/>
      </c>
      <c r="V287" s="17" t="str">
        <f t="shared" si="42"/>
        <v/>
      </c>
      <c r="W287" s="16" t="str">
        <f t="shared" si="43"/>
        <v/>
      </c>
      <c r="X287" s="19" t="str">
        <f t="shared" si="44"/>
        <v/>
      </c>
      <c r="Y287" s="36"/>
    </row>
    <row r="288" spans="1:25" ht="14.1" customHeight="1">
      <c r="A288" s="21">
        <v>72</v>
      </c>
      <c r="C288" s="117" t="s">
        <v>121</v>
      </c>
      <c r="D288" s="423" t="str">
        <f>IF($R$14="","",$R$14)</f>
        <v/>
      </c>
      <c r="E288" s="31"/>
      <c r="F288" s="31"/>
      <c r="G288" s="31"/>
      <c r="H288" s="31"/>
      <c r="I288" s="31"/>
      <c r="J288" s="31"/>
      <c r="K288" s="31"/>
      <c r="L288" s="117" t="s">
        <v>37</v>
      </c>
      <c r="M288" s="423" t="str">
        <f>IF($R$13="","",$R$13)</f>
        <v/>
      </c>
      <c r="O288" s="34"/>
      <c r="P288" s="486"/>
      <c r="Q288" s="348">
        <f>AH24</f>
        <v>32</v>
      </c>
      <c r="R288" s="15">
        <f>AI24</f>
        <v>50</v>
      </c>
      <c r="S288" s="16" t="str">
        <f>IF(AQ24="","",AQ24)</f>
        <v/>
      </c>
      <c r="T288" s="16" t="str">
        <f>IF(AN24="","",AN24)</f>
        <v/>
      </c>
      <c r="U288" s="16" t="str">
        <f>IF(AO24="","",AO24)</f>
        <v/>
      </c>
      <c r="V288" s="17" t="str">
        <f t="shared" si="42"/>
        <v/>
      </c>
      <c r="W288" s="16" t="str">
        <f t="shared" si="43"/>
        <v/>
      </c>
      <c r="X288" s="19" t="str">
        <f t="shared" si="44"/>
        <v/>
      </c>
      <c r="Y288" s="36"/>
    </row>
    <row r="289" spans="1:25" ht="14.1" customHeight="1">
      <c r="A289" s="21">
        <v>1</v>
      </c>
      <c r="M289" s="120" t="str">
        <f>$H$2</f>
        <v>Medical University of South Carolina</v>
      </c>
      <c r="O289" s="34"/>
      <c r="P289" s="462"/>
      <c r="Q289" s="348">
        <f t="shared" ref="Q289:R291" si="45">AH30</f>
        <v>34</v>
      </c>
      <c r="R289" s="15">
        <f t="shared" si="45"/>
        <v>50</v>
      </c>
      <c r="S289" s="16" t="str">
        <f>IF(AQ30="","",AQ30)</f>
        <v/>
      </c>
      <c r="T289" s="16" t="str">
        <f t="shared" ref="T289:U291" si="46">IF(AN30="","",AN30)</f>
        <v/>
      </c>
      <c r="U289" s="16" t="str">
        <f t="shared" si="46"/>
        <v/>
      </c>
      <c r="V289" s="17" t="str">
        <f t="shared" si="42"/>
        <v/>
      </c>
      <c r="W289" s="16" t="str">
        <f t="shared" si="43"/>
        <v/>
      </c>
      <c r="X289" s="19" t="str">
        <f t="shared" si="44"/>
        <v/>
      </c>
      <c r="Y289" s="36"/>
    </row>
    <row r="290" spans="1:25" ht="14.1" customHeight="1" thickBot="1">
      <c r="A290" s="21">
        <v>2</v>
      </c>
      <c r="H290" s="55" t="s">
        <v>73</v>
      </c>
      <c r="M290" s="121" t="str">
        <f>$H$5</f>
        <v>Mammography System Compliance Inspection</v>
      </c>
      <c r="O290" s="34"/>
      <c r="P290" s="487" t="str">
        <f>AK31&amp;"/"&amp;AL31</f>
        <v>Mo/Rh</v>
      </c>
      <c r="Q290" s="348">
        <f t="shared" si="45"/>
        <v>26</v>
      </c>
      <c r="R290" s="15">
        <f t="shared" si="45"/>
        <v>50</v>
      </c>
      <c r="S290" s="16" t="str">
        <f>IF(AQ31="","",AQ31)</f>
        <v/>
      </c>
      <c r="T290" s="16" t="str">
        <f t="shared" si="46"/>
        <v/>
      </c>
      <c r="U290" s="16" t="str">
        <f t="shared" si="46"/>
        <v/>
      </c>
      <c r="V290" s="17" t="str">
        <f t="shared" si="42"/>
        <v/>
      </c>
      <c r="W290" s="16" t="str">
        <f t="shared" si="43"/>
        <v/>
      </c>
      <c r="X290" s="19" t="str">
        <f t="shared" si="44"/>
        <v/>
      </c>
      <c r="Y290" s="36"/>
    </row>
    <row r="291" spans="1:25" ht="14.1" customHeight="1" thickTop="1">
      <c r="A291" s="21">
        <v>3</v>
      </c>
      <c r="B291" s="63"/>
      <c r="C291" s="281" t="s">
        <v>333</v>
      </c>
      <c r="D291" s="282" t="str">
        <f>IF(P280="","",P280)</f>
        <v/>
      </c>
      <c r="E291" s="281" t="s">
        <v>340</v>
      </c>
      <c r="F291" s="617" t="str">
        <f>IF(P281="","",P281)</f>
        <v/>
      </c>
      <c r="G291" s="64"/>
      <c r="H291" s="281" t="s">
        <v>334</v>
      </c>
      <c r="I291" s="752" t="str">
        <f>IF(S280="","",S280)</f>
        <v/>
      </c>
      <c r="J291" s="752"/>
      <c r="K291" s="64"/>
      <c r="L291" s="64"/>
      <c r="M291" s="66"/>
      <c r="O291" s="34"/>
      <c r="P291" s="488"/>
      <c r="Q291" s="348">
        <f t="shared" si="45"/>
        <v>28</v>
      </c>
      <c r="R291" s="15">
        <f t="shared" si="45"/>
        <v>50</v>
      </c>
      <c r="S291" s="16" t="str">
        <f>IF(AQ32="","",AQ32)</f>
        <v/>
      </c>
      <c r="T291" s="16" t="str">
        <f t="shared" si="46"/>
        <v/>
      </c>
      <c r="U291" s="16" t="str">
        <f t="shared" si="46"/>
        <v/>
      </c>
      <c r="V291" s="17" t="str">
        <f t="shared" si="42"/>
        <v/>
      </c>
      <c r="W291" s="16" t="str">
        <f t="shared" si="43"/>
        <v/>
      </c>
      <c r="X291" s="19" t="str">
        <f t="shared" si="44"/>
        <v/>
      </c>
      <c r="Y291" s="36"/>
    </row>
    <row r="292" spans="1:25" ht="14.1" customHeight="1">
      <c r="A292" s="21">
        <v>4</v>
      </c>
      <c r="B292" s="72"/>
      <c r="C292" s="6"/>
      <c r="D292" s="6"/>
      <c r="E292" s="6"/>
      <c r="F292" s="6"/>
      <c r="G292" s="6"/>
      <c r="H292" s="171" t="s">
        <v>336</v>
      </c>
      <c r="I292" s="753" t="str">
        <f>IF(S281="","",S281)</f>
        <v/>
      </c>
      <c r="J292" s="753"/>
      <c r="K292" s="6"/>
      <c r="M292" s="74"/>
      <c r="O292" s="170"/>
      <c r="P292" s="488"/>
      <c r="Q292" s="348">
        <f>AH38</f>
        <v>30</v>
      </c>
      <c r="R292" s="15">
        <f>AI38</f>
        <v>50</v>
      </c>
      <c r="S292" s="16" t="str">
        <f>IF(AQ38="","",AQ38)</f>
        <v/>
      </c>
      <c r="T292" s="16" t="str">
        <f>IF(AN38="","",AN38)</f>
        <v/>
      </c>
      <c r="U292" s="16" t="str">
        <f>IF(AO38="","",AO38)</f>
        <v/>
      </c>
      <c r="V292" s="17" t="str">
        <f t="shared" si="42"/>
        <v/>
      </c>
      <c r="W292" s="16" t="str">
        <f t="shared" si="43"/>
        <v/>
      </c>
      <c r="X292" s="19" t="str">
        <f t="shared" si="44"/>
        <v/>
      </c>
      <c r="Y292" s="36"/>
    </row>
    <row r="293" spans="1:25" ht="14.1" customHeight="1">
      <c r="A293" s="21">
        <v>5</v>
      </c>
      <c r="B293" s="72"/>
      <c r="C293" s="154" t="s">
        <v>331</v>
      </c>
      <c r="D293" s="73"/>
      <c r="E293" s="73"/>
      <c r="F293" s="73"/>
      <c r="G293" s="73"/>
      <c r="H293" s="73"/>
      <c r="I293" s="73"/>
      <c r="J293" s="73"/>
      <c r="K293" s="73"/>
      <c r="M293" s="74"/>
      <c r="O293" s="34"/>
      <c r="P293" s="488"/>
      <c r="Q293" s="348">
        <f>AH39</f>
        <v>32</v>
      </c>
      <c r="R293" s="15">
        <f>AI39</f>
        <v>50</v>
      </c>
      <c r="S293" s="16" t="str">
        <f>IF(AQ39="","",AQ39)</f>
        <v/>
      </c>
      <c r="T293" s="16" t="str">
        <f>IF(AN39="","",AN39)</f>
        <v/>
      </c>
      <c r="U293" s="16" t="str">
        <f>IF(AO39="","",AO39)</f>
        <v/>
      </c>
      <c r="V293" s="17" t="str">
        <f t="shared" si="42"/>
        <v/>
      </c>
      <c r="W293" s="16" t="str">
        <f t="shared" si="43"/>
        <v/>
      </c>
      <c r="X293" s="19" t="str">
        <f t="shared" si="44"/>
        <v/>
      </c>
      <c r="Y293" s="36"/>
    </row>
    <row r="294" spans="1:25" ht="14.1" customHeight="1">
      <c r="A294" s="21">
        <v>6</v>
      </c>
      <c r="B294" s="72"/>
      <c r="C294" s="171"/>
      <c r="F294" s="751" t="s">
        <v>337</v>
      </c>
      <c r="G294" s="751"/>
      <c r="H294" s="751"/>
      <c r="I294" s="355"/>
      <c r="J294" s="355"/>
      <c r="K294" s="115"/>
      <c r="M294" s="74"/>
      <c r="O294" s="34"/>
      <c r="P294" s="406"/>
      <c r="Q294" s="348">
        <f t="shared" ref="Q294:R296" si="47">AH45</f>
        <v>34</v>
      </c>
      <c r="R294" s="15">
        <f t="shared" si="47"/>
        <v>50</v>
      </c>
      <c r="S294" s="16" t="str">
        <f>IF(AQ45="","",AQ45)</f>
        <v/>
      </c>
      <c r="T294" s="16" t="str">
        <f t="shared" ref="T294:U296" si="48">IF(AN45="","",AN45)</f>
        <v/>
      </c>
      <c r="U294" s="16" t="str">
        <f t="shared" si="48"/>
        <v/>
      </c>
      <c r="V294" s="17" t="str">
        <f t="shared" si="42"/>
        <v/>
      </c>
      <c r="W294" s="16" t="str">
        <f t="shared" si="43"/>
        <v/>
      </c>
      <c r="X294" s="19" t="str">
        <f t="shared" si="44"/>
        <v/>
      </c>
      <c r="Y294" s="36"/>
    </row>
    <row r="295" spans="1:25" ht="14.1" customHeight="1" thickBot="1">
      <c r="A295" s="21">
        <v>7</v>
      </c>
      <c r="B295" s="72"/>
      <c r="C295" s="25" t="s">
        <v>71</v>
      </c>
      <c r="D295" s="355" t="s">
        <v>269</v>
      </c>
      <c r="E295" s="355" t="s">
        <v>72</v>
      </c>
      <c r="F295" s="355" t="s">
        <v>25</v>
      </c>
      <c r="G295" s="355" t="s">
        <v>26</v>
      </c>
      <c r="H295" s="355" t="s">
        <v>27</v>
      </c>
      <c r="I295" s="355" t="s">
        <v>338</v>
      </c>
      <c r="J295" s="355" t="s">
        <v>339</v>
      </c>
      <c r="K295" s="355" t="s">
        <v>519</v>
      </c>
      <c r="M295" s="74"/>
      <c r="O295" s="34"/>
      <c r="P295" s="487" t="str">
        <f>AK46&amp;"/"&amp;AL46</f>
        <v>W/Rh</v>
      </c>
      <c r="Q295" s="349">
        <f t="shared" si="47"/>
        <v>26</v>
      </c>
      <c r="R295" s="15">
        <f t="shared" si="47"/>
        <v>50</v>
      </c>
      <c r="S295" s="16" t="str">
        <f>IF(AQ46="","",AQ46)</f>
        <v/>
      </c>
      <c r="T295" s="16" t="str">
        <f t="shared" si="48"/>
        <v/>
      </c>
      <c r="U295" s="16" t="str">
        <f t="shared" si="48"/>
        <v/>
      </c>
      <c r="V295" s="17" t="str">
        <f>IF(U295="","",U295/R295)</f>
        <v/>
      </c>
      <c r="W295" s="16" t="str">
        <f>IF(U295="","",U295/(T295/1000))</f>
        <v/>
      </c>
      <c r="X295" s="19" t="str">
        <f t="shared" si="44"/>
        <v/>
      </c>
      <c r="Y295" s="36"/>
    </row>
    <row r="296" spans="1:25" ht="14.1" customHeight="1">
      <c r="A296" s="21">
        <v>8</v>
      </c>
      <c r="B296" s="72"/>
      <c r="C296" s="489" t="str">
        <f>P284</f>
        <v>Mo/Mo</v>
      </c>
      <c r="D296" s="467">
        <f t="shared" ref="D296:D311" si="49">IF(Q284="","",Q284)</f>
        <v>24</v>
      </c>
      <c r="E296" s="467">
        <f t="shared" ref="E296:E311" si="50">IF(R284="","",R284)</f>
        <v>50</v>
      </c>
      <c r="F296" s="490" t="str">
        <f t="shared" ref="F296:F311" si="51">IF(S284="","",S284)</f>
        <v/>
      </c>
      <c r="G296" s="490" t="str">
        <f t="shared" ref="G296:G311" si="52">IF(T284="","",T284)</f>
        <v/>
      </c>
      <c r="H296" s="490" t="str">
        <f t="shared" ref="H296:H311" si="53">IF(U284="","",U284)</f>
        <v/>
      </c>
      <c r="I296" s="491" t="str">
        <f t="shared" ref="I296:I311" si="54">IF(V284="","",V284)</f>
        <v/>
      </c>
      <c r="J296" s="490" t="str">
        <f t="shared" ref="J296:J311" si="55">IF(W284="","",W284)</f>
        <v/>
      </c>
      <c r="K296" s="492" t="str">
        <f t="shared" ref="K296:K311" si="56">IF(X284="","",X284)</f>
        <v/>
      </c>
      <c r="M296" s="74"/>
      <c r="O296" s="34"/>
      <c r="P296" s="488"/>
      <c r="Q296" s="349">
        <f t="shared" si="47"/>
        <v>28</v>
      </c>
      <c r="R296" s="15">
        <f t="shared" si="47"/>
        <v>50</v>
      </c>
      <c r="S296" s="16" t="str">
        <f>IF(AQ47="","",AQ47)</f>
        <v/>
      </c>
      <c r="T296" s="16" t="str">
        <f t="shared" si="48"/>
        <v/>
      </c>
      <c r="U296" s="16" t="str">
        <f t="shared" si="48"/>
        <v/>
      </c>
      <c r="V296" s="17" t="str">
        <f>IF(U296="","",U296/R296)</f>
        <v/>
      </c>
      <c r="W296" s="16" t="str">
        <f>IF(U296="","",U296/(T296/1000))</f>
        <v/>
      </c>
      <c r="X296" s="19" t="str">
        <f t="shared" si="44"/>
        <v/>
      </c>
      <c r="Y296" s="36"/>
    </row>
    <row r="297" spans="1:25" ht="14.1" customHeight="1">
      <c r="A297" s="21">
        <v>9</v>
      </c>
      <c r="B297" s="72"/>
      <c r="C297" s="493"/>
      <c r="D297" s="323">
        <f t="shared" si="49"/>
        <v>26</v>
      </c>
      <c r="E297" s="323">
        <f t="shared" si="50"/>
        <v>50</v>
      </c>
      <c r="F297" s="333" t="str">
        <f t="shared" si="51"/>
        <v/>
      </c>
      <c r="G297" s="333" t="str">
        <f t="shared" si="52"/>
        <v/>
      </c>
      <c r="H297" s="333" t="str">
        <f t="shared" si="53"/>
        <v/>
      </c>
      <c r="I297" s="324" t="str">
        <f t="shared" si="54"/>
        <v/>
      </c>
      <c r="J297" s="333" t="str">
        <f t="shared" si="55"/>
        <v/>
      </c>
      <c r="K297" s="469" t="str">
        <f t="shared" si="56"/>
        <v/>
      </c>
      <c r="M297" s="74"/>
      <c r="O297" s="34"/>
      <c r="P297" s="488"/>
      <c r="Q297" s="348">
        <f>AH55</f>
        <v>30</v>
      </c>
      <c r="R297" s="15">
        <f>AI55</f>
        <v>50</v>
      </c>
      <c r="S297" s="16" t="str">
        <f>IF(AQ55="","",AQ55)</f>
        <v/>
      </c>
      <c r="T297" s="16" t="str">
        <f>IF(AN55="","",AN55)</f>
        <v/>
      </c>
      <c r="U297" s="16" t="str">
        <f>IF(AO55="","",AO55)</f>
        <v/>
      </c>
      <c r="V297" s="17" t="str">
        <f>IF(U297="","",U297/R297)</f>
        <v/>
      </c>
      <c r="W297" s="16" t="str">
        <f>IF(U297="","",U297/(T297/1000))</f>
        <v/>
      </c>
      <c r="X297" s="19" t="str">
        <f t="shared" si="44"/>
        <v/>
      </c>
      <c r="Y297" s="36"/>
    </row>
    <row r="298" spans="1:25" ht="14.1" customHeight="1">
      <c r="A298" s="21">
        <v>10</v>
      </c>
      <c r="B298" s="72"/>
      <c r="C298" s="493"/>
      <c r="D298" s="323">
        <f t="shared" si="49"/>
        <v>28</v>
      </c>
      <c r="E298" s="323">
        <f t="shared" si="50"/>
        <v>50</v>
      </c>
      <c r="F298" s="333" t="str">
        <f t="shared" si="51"/>
        <v/>
      </c>
      <c r="G298" s="333" t="str">
        <f t="shared" si="52"/>
        <v/>
      </c>
      <c r="H298" s="333" t="str">
        <f t="shared" si="53"/>
        <v/>
      </c>
      <c r="I298" s="324" t="str">
        <f t="shared" si="54"/>
        <v/>
      </c>
      <c r="J298" s="333" t="str">
        <f t="shared" si="55"/>
        <v/>
      </c>
      <c r="K298" s="469" t="str">
        <f t="shared" si="56"/>
        <v/>
      </c>
      <c r="M298" s="74"/>
      <c r="O298" s="34"/>
      <c r="P298" s="488"/>
      <c r="Q298" s="348">
        <f>AH56</f>
        <v>32</v>
      </c>
      <c r="R298" s="15">
        <f>AI56</f>
        <v>50</v>
      </c>
      <c r="S298" s="16" t="str">
        <f>IF(AQ56="","",AQ56)</f>
        <v/>
      </c>
      <c r="T298" s="16" t="str">
        <f>IF(AN56="","",AN56)</f>
        <v/>
      </c>
      <c r="U298" s="16" t="str">
        <f>IF(AO56="","",AO56)</f>
        <v/>
      </c>
      <c r="V298" s="17" t="str">
        <f>IF(U298="","",U298/R298)</f>
        <v/>
      </c>
      <c r="W298" s="16" t="str">
        <f>IF(U298="","",U298/(T298/1000))</f>
        <v/>
      </c>
      <c r="X298" s="19" t="str">
        <f t="shared" si="44"/>
        <v/>
      </c>
      <c r="Y298" s="36"/>
    </row>
    <row r="299" spans="1:25" ht="14.1" customHeight="1">
      <c r="A299" s="21">
        <v>11</v>
      </c>
      <c r="B299" s="72"/>
      <c r="C299" s="493"/>
      <c r="D299" s="323">
        <f t="shared" si="49"/>
        <v>30</v>
      </c>
      <c r="E299" s="323">
        <f t="shared" si="50"/>
        <v>50</v>
      </c>
      <c r="F299" s="333" t="str">
        <f t="shared" si="51"/>
        <v/>
      </c>
      <c r="G299" s="333" t="str">
        <f t="shared" si="52"/>
        <v/>
      </c>
      <c r="H299" s="333" t="str">
        <f t="shared" si="53"/>
        <v/>
      </c>
      <c r="I299" s="324" t="str">
        <f t="shared" si="54"/>
        <v/>
      </c>
      <c r="J299" s="333" t="str">
        <f t="shared" si="55"/>
        <v/>
      </c>
      <c r="K299" s="469" t="str">
        <f t="shared" si="56"/>
        <v/>
      </c>
      <c r="M299" s="74"/>
      <c r="O299" s="34"/>
      <c r="P299" s="406"/>
      <c r="Q299" s="348">
        <f>AH62</f>
        <v>34</v>
      </c>
      <c r="R299" s="15">
        <f>AI62</f>
        <v>50</v>
      </c>
      <c r="S299" s="16" t="str">
        <f>IF(AQ62="","",AQ62)</f>
        <v/>
      </c>
      <c r="T299" s="16" t="str">
        <f>IF(AN62="","",AN62)</f>
        <v/>
      </c>
      <c r="U299" s="16" t="str">
        <f>IF(AO62="","",AO62)</f>
        <v/>
      </c>
      <c r="V299" s="17" t="str">
        <f>IF(U299="","",U299/R299)</f>
        <v/>
      </c>
      <c r="W299" s="16" t="str">
        <f>IF(U299="","",U299/(T299/1000))</f>
        <v/>
      </c>
      <c r="X299" s="19" t="str">
        <f t="shared" si="44"/>
        <v/>
      </c>
      <c r="Y299" s="36"/>
    </row>
    <row r="300" spans="1:25" ht="14.1" customHeight="1" thickBot="1">
      <c r="A300" s="21">
        <v>12</v>
      </c>
      <c r="B300" s="72"/>
      <c r="C300" s="493"/>
      <c r="D300" s="323">
        <f t="shared" si="49"/>
        <v>32</v>
      </c>
      <c r="E300" s="323">
        <f t="shared" si="50"/>
        <v>50</v>
      </c>
      <c r="F300" s="333" t="str">
        <f t="shared" si="51"/>
        <v/>
      </c>
      <c r="G300" s="333" t="str">
        <f t="shared" si="52"/>
        <v/>
      </c>
      <c r="H300" s="333" t="str">
        <f t="shared" si="53"/>
        <v/>
      </c>
      <c r="I300" s="324" t="str">
        <f t="shared" si="54"/>
        <v/>
      </c>
      <c r="J300" s="333" t="str">
        <f t="shared" si="55"/>
        <v/>
      </c>
      <c r="K300" s="469" t="str">
        <f t="shared" si="56"/>
        <v/>
      </c>
      <c r="M300" s="74"/>
      <c r="O300" s="34"/>
      <c r="P300" s="115"/>
      <c r="Q300" s="284"/>
      <c r="R300" s="284"/>
      <c r="S300" s="284"/>
      <c r="T300" s="285"/>
      <c r="U300" s="286"/>
      <c r="V300" s="284"/>
      <c r="W300" s="284"/>
      <c r="X300" s="287"/>
      <c r="Y300" s="36"/>
    </row>
    <row r="301" spans="1:25" ht="14.1" customHeight="1" thickBot="1">
      <c r="A301" s="21">
        <v>13</v>
      </c>
      <c r="B301" s="72"/>
      <c r="C301" s="502"/>
      <c r="D301" s="496">
        <f t="shared" si="49"/>
        <v>34</v>
      </c>
      <c r="E301" s="496">
        <f t="shared" si="50"/>
        <v>50</v>
      </c>
      <c r="F301" s="497" t="str">
        <f t="shared" si="51"/>
        <v/>
      </c>
      <c r="G301" s="497" t="str">
        <f t="shared" si="52"/>
        <v/>
      </c>
      <c r="H301" s="497" t="str">
        <f t="shared" si="53"/>
        <v/>
      </c>
      <c r="I301" s="498" t="str">
        <f t="shared" si="54"/>
        <v/>
      </c>
      <c r="J301" s="497" t="str">
        <f t="shared" si="55"/>
        <v/>
      </c>
      <c r="K301" s="460" t="str">
        <f t="shared" si="56"/>
        <v/>
      </c>
      <c r="L301" s="424" t="str">
        <f>IF(K296="","",IF(MAX(K296:K301)&lt;0.05,"Pass","Fail"))</f>
        <v/>
      </c>
      <c r="M301" s="74"/>
      <c r="O301" s="34"/>
      <c r="X301" s="287"/>
      <c r="Y301" s="36"/>
    </row>
    <row r="302" spans="1:25" ht="14.1" customHeight="1">
      <c r="A302" s="21">
        <v>14</v>
      </c>
      <c r="B302" s="72"/>
      <c r="C302" s="503" t="str">
        <f>P290</f>
        <v>Mo/Rh</v>
      </c>
      <c r="D302" s="467">
        <f t="shared" si="49"/>
        <v>26</v>
      </c>
      <c r="E302" s="467">
        <f t="shared" si="50"/>
        <v>50</v>
      </c>
      <c r="F302" s="490" t="str">
        <f t="shared" si="51"/>
        <v/>
      </c>
      <c r="G302" s="490" t="str">
        <f t="shared" si="52"/>
        <v/>
      </c>
      <c r="H302" s="490" t="str">
        <f t="shared" si="53"/>
        <v/>
      </c>
      <c r="I302" s="491" t="str">
        <f t="shared" si="54"/>
        <v/>
      </c>
      <c r="J302" s="490" t="str">
        <f t="shared" si="55"/>
        <v/>
      </c>
      <c r="K302" s="492" t="str">
        <f t="shared" si="56"/>
        <v/>
      </c>
      <c r="M302" s="74"/>
      <c r="O302" s="34"/>
      <c r="P302" s="121" t="s">
        <v>204</v>
      </c>
      <c r="Q302" s="31" t="s">
        <v>341</v>
      </c>
      <c r="Y302" s="36"/>
    </row>
    <row r="303" spans="1:25" ht="14.1" customHeight="1" thickBot="1">
      <c r="A303" s="21">
        <v>15</v>
      </c>
      <c r="B303" s="72"/>
      <c r="C303" s="494"/>
      <c r="D303" s="323">
        <f t="shared" si="49"/>
        <v>28</v>
      </c>
      <c r="E303" s="323">
        <f t="shared" si="50"/>
        <v>50</v>
      </c>
      <c r="F303" s="333" t="str">
        <f t="shared" si="51"/>
        <v/>
      </c>
      <c r="G303" s="333" t="str">
        <f t="shared" si="52"/>
        <v/>
      </c>
      <c r="H303" s="333" t="str">
        <f t="shared" si="53"/>
        <v/>
      </c>
      <c r="I303" s="324" t="str">
        <f t="shared" si="54"/>
        <v/>
      </c>
      <c r="J303" s="333" t="str">
        <f t="shared" si="55"/>
        <v/>
      </c>
      <c r="K303" s="469" t="str">
        <f t="shared" si="56"/>
        <v/>
      </c>
      <c r="M303" s="74"/>
      <c r="O303" s="44"/>
      <c r="P303" s="45"/>
      <c r="Q303" s="45"/>
      <c r="R303" s="45"/>
      <c r="S303" s="45"/>
      <c r="T303" s="45"/>
      <c r="U303" s="45"/>
      <c r="V303" s="45"/>
      <c r="W303" s="45"/>
      <c r="X303" s="45"/>
      <c r="Y303" s="46"/>
    </row>
    <row r="304" spans="1:25" ht="14.1" customHeight="1" thickBot="1">
      <c r="A304" s="21">
        <v>16</v>
      </c>
      <c r="B304" s="72"/>
      <c r="C304" s="494"/>
      <c r="D304" s="323">
        <f t="shared" si="49"/>
        <v>30</v>
      </c>
      <c r="E304" s="323">
        <f t="shared" si="50"/>
        <v>50</v>
      </c>
      <c r="F304" s="333" t="str">
        <f t="shared" si="51"/>
        <v/>
      </c>
      <c r="G304" s="333" t="str">
        <f t="shared" si="52"/>
        <v/>
      </c>
      <c r="H304" s="333" t="str">
        <f t="shared" si="53"/>
        <v/>
      </c>
      <c r="I304" s="324" t="str">
        <f t="shared" si="54"/>
        <v/>
      </c>
      <c r="J304" s="333" t="str">
        <f t="shared" si="55"/>
        <v/>
      </c>
      <c r="K304" s="469" t="str">
        <f t="shared" si="56"/>
        <v/>
      </c>
      <c r="M304" s="74"/>
      <c r="O304" s="144" t="s">
        <v>342</v>
      </c>
      <c r="P304" s="27"/>
      <c r="Q304" s="27"/>
      <c r="R304" s="27"/>
      <c r="S304" s="27"/>
      <c r="T304" s="27"/>
      <c r="U304" s="27"/>
      <c r="V304" s="27"/>
      <c r="W304" s="27"/>
      <c r="X304" s="27"/>
      <c r="Y304" s="28"/>
    </row>
    <row r="305" spans="1:25" ht="14.1" customHeight="1" thickBot="1">
      <c r="A305" s="21">
        <v>17</v>
      </c>
      <c r="B305" s="72"/>
      <c r="C305" s="494"/>
      <c r="D305" s="323">
        <f t="shared" si="49"/>
        <v>32</v>
      </c>
      <c r="E305" s="323">
        <f t="shared" si="50"/>
        <v>50</v>
      </c>
      <c r="F305" s="333" t="str">
        <f t="shared" si="51"/>
        <v/>
      </c>
      <c r="G305" s="333" t="str">
        <f t="shared" si="52"/>
        <v/>
      </c>
      <c r="H305" s="333" t="str">
        <f t="shared" si="53"/>
        <v/>
      </c>
      <c r="I305" s="324" t="str">
        <f t="shared" si="54"/>
        <v/>
      </c>
      <c r="J305" s="333" t="str">
        <f t="shared" si="55"/>
        <v/>
      </c>
      <c r="K305" s="469" t="str">
        <f t="shared" si="56"/>
        <v/>
      </c>
      <c r="M305" s="74"/>
      <c r="O305" s="34"/>
      <c r="P305" s="365" t="s">
        <v>95</v>
      </c>
      <c r="Q305" s="366" t="str">
        <f>AK10&amp;"/"&amp;AL10</f>
        <v>Mo/Mo</v>
      </c>
      <c r="R305" s="505" t="s">
        <v>173</v>
      </c>
      <c r="S305" s="511">
        <f>AH12</f>
        <v>28</v>
      </c>
      <c r="T305" s="28"/>
      <c r="U305" s="365" t="s">
        <v>95</v>
      </c>
      <c r="V305" s="366" t="str">
        <f>AK47&amp;"/"&amp;AL47</f>
        <v>W/Rh</v>
      </c>
      <c r="W305" s="367" t="s">
        <v>173</v>
      </c>
      <c r="X305" s="516">
        <f>AH47</f>
        <v>28</v>
      </c>
      <c r="Y305" s="28"/>
    </row>
    <row r="306" spans="1:25" ht="14.1" customHeight="1" thickBot="1">
      <c r="A306" s="21">
        <v>18</v>
      </c>
      <c r="B306" s="72"/>
      <c r="C306" s="495"/>
      <c r="D306" s="496">
        <f t="shared" si="49"/>
        <v>34</v>
      </c>
      <c r="E306" s="496">
        <f t="shared" si="50"/>
        <v>50</v>
      </c>
      <c r="F306" s="497" t="str">
        <f t="shared" si="51"/>
        <v/>
      </c>
      <c r="G306" s="497" t="str">
        <f t="shared" si="52"/>
        <v/>
      </c>
      <c r="H306" s="497" t="str">
        <f t="shared" si="53"/>
        <v/>
      </c>
      <c r="I306" s="498" t="str">
        <f t="shared" si="54"/>
        <v/>
      </c>
      <c r="J306" s="497" t="str">
        <f t="shared" si="55"/>
        <v/>
      </c>
      <c r="K306" s="460" t="str">
        <f t="shared" si="56"/>
        <v/>
      </c>
      <c r="L306" s="424" t="str">
        <f>IF(K302="","",IF(MAX(K302:K306)&lt;0.05,"Pass","Fail"))</f>
        <v/>
      </c>
      <c r="M306" s="74"/>
      <c r="O306" s="363"/>
      <c r="P306" s="517"/>
      <c r="R306" s="171" t="s">
        <v>219</v>
      </c>
      <c r="S306" s="157">
        <f>AI12</f>
        <v>50</v>
      </c>
      <c r="T306" s="219"/>
      <c r="W306" s="171" t="s">
        <v>219</v>
      </c>
      <c r="X306" s="157">
        <f>AI47</f>
        <v>50</v>
      </c>
      <c r="Y306" s="36"/>
    </row>
    <row r="307" spans="1:25" ht="14.1" customHeight="1" thickBot="1">
      <c r="A307" s="21">
        <v>19</v>
      </c>
      <c r="B307" s="72"/>
      <c r="C307" s="494" t="str">
        <f>P295</f>
        <v>W/Rh</v>
      </c>
      <c r="D307" s="462">
        <f t="shared" si="49"/>
        <v>26</v>
      </c>
      <c r="E307" s="462">
        <f t="shared" si="50"/>
        <v>50</v>
      </c>
      <c r="F307" s="499" t="str">
        <f t="shared" si="51"/>
        <v/>
      </c>
      <c r="G307" s="499" t="str">
        <f t="shared" si="52"/>
        <v/>
      </c>
      <c r="H307" s="499" t="str">
        <f t="shared" si="53"/>
        <v/>
      </c>
      <c r="I307" s="500" t="str">
        <f t="shared" si="54"/>
        <v/>
      </c>
      <c r="J307" s="499" t="str">
        <f t="shared" si="55"/>
        <v/>
      </c>
      <c r="K307" s="501" t="str">
        <f t="shared" si="56"/>
        <v/>
      </c>
      <c r="M307" s="74"/>
      <c r="O307" s="364"/>
      <c r="P307" s="368" t="s">
        <v>25</v>
      </c>
      <c r="Q307" s="115" t="s">
        <v>26</v>
      </c>
      <c r="R307" s="115" t="s">
        <v>27</v>
      </c>
      <c r="S307" s="115" t="s">
        <v>338</v>
      </c>
      <c r="T307" s="219" t="s">
        <v>339</v>
      </c>
      <c r="U307" s="373" t="s">
        <v>25</v>
      </c>
      <c r="V307" s="374" t="s">
        <v>26</v>
      </c>
      <c r="W307" s="374" t="s">
        <v>27</v>
      </c>
      <c r="X307" s="374" t="s">
        <v>338</v>
      </c>
      <c r="Y307" s="375" t="s">
        <v>339</v>
      </c>
    </row>
    <row r="308" spans="1:25" ht="14.1" customHeight="1">
      <c r="A308" s="21">
        <v>20</v>
      </c>
      <c r="B308" s="72"/>
      <c r="C308" s="494"/>
      <c r="D308" s="323">
        <f t="shared" si="49"/>
        <v>28</v>
      </c>
      <c r="E308" s="323">
        <f t="shared" si="50"/>
        <v>50</v>
      </c>
      <c r="F308" s="333" t="str">
        <f t="shared" si="51"/>
        <v/>
      </c>
      <c r="G308" s="333" t="str">
        <f t="shared" si="52"/>
        <v/>
      </c>
      <c r="H308" s="333" t="str">
        <f t="shared" si="53"/>
        <v/>
      </c>
      <c r="I308" s="324" t="str">
        <f t="shared" si="54"/>
        <v/>
      </c>
      <c r="J308" s="333" t="str">
        <f t="shared" si="55"/>
        <v/>
      </c>
      <c r="K308" s="469" t="str">
        <f t="shared" si="56"/>
        <v/>
      </c>
      <c r="M308" s="74"/>
      <c r="O308" s="364"/>
      <c r="P308" s="372" t="str">
        <f>IF(AQ12="","",AQ12)</f>
        <v/>
      </c>
      <c r="Q308" s="295" t="str">
        <f t="shared" ref="Q308:R311" si="57">IF(AN12="","",AN12)</f>
        <v/>
      </c>
      <c r="R308" s="295" t="str">
        <f t="shared" si="57"/>
        <v/>
      </c>
      <c r="S308" s="251" t="str">
        <f>IF(R308="","",R308/$S$306)</f>
        <v/>
      </c>
      <c r="T308" s="252" t="str">
        <f>IF(OR(R308="",Q308=""),"",R308/(Q308/1000))</f>
        <v/>
      </c>
      <c r="U308" s="372" t="str">
        <f>IF(AQ47="","",AQ47)</f>
        <v/>
      </c>
      <c r="V308" s="295" t="str">
        <f t="shared" ref="V308:W311" si="58">IF(AN47="","",AN47)</f>
        <v/>
      </c>
      <c r="W308" s="295" t="str">
        <f t="shared" si="58"/>
        <v/>
      </c>
      <c r="X308" s="251" t="str">
        <f>IF(W308="","",W308/$X$306)</f>
        <v/>
      </c>
      <c r="Y308" s="252" t="str">
        <f>IF(OR(W308="",V308=""),"",W308/(V308/1000))</f>
        <v/>
      </c>
    </row>
    <row r="309" spans="1:25" ht="14.1" customHeight="1">
      <c r="A309" s="21">
        <v>21</v>
      </c>
      <c r="B309" s="72"/>
      <c r="C309" s="494"/>
      <c r="D309" s="323">
        <f t="shared" si="49"/>
        <v>30</v>
      </c>
      <c r="E309" s="323">
        <f t="shared" si="50"/>
        <v>50</v>
      </c>
      <c r="F309" s="333" t="str">
        <f t="shared" si="51"/>
        <v/>
      </c>
      <c r="G309" s="333" t="str">
        <f t="shared" si="52"/>
        <v/>
      </c>
      <c r="H309" s="333" t="str">
        <f t="shared" si="53"/>
        <v/>
      </c>
      <c r="I309" s="324" t="str">
        <f t="shared" si="54"/>
        <v/>
      </c>
      <c r="J309" s="333" t="str">
        <f t="shared" si="55"/>
        <v/>
      </c>
      <c r="K309" s="469" t="str">
        <f t="shared" si="56"/>
        <v/>
      </c>
      <c r="M309" s="74"/>
      <c r="O309" s="364"/>
      <c r="P309" s="369" t="str">
        <f>IF(AQ13="","",AQ13)</f>
        <v/>
      </c>
      <c r="Q309" s="16" t="str">
        <f t="shared" si="57"/>
        <v/>
      </c>
      <c r="R309" s="16" t="str">
        <f t="shared" si="57"/>
        <v/>
      </c>
      <c r="S309" s="17" t="str">
        <f>IF(R309="","",R309/$S$306)</f>
        <v/>
      </c>
      <c r="T309" s="254" t="str">
        <f>IF(OR(R309="",Q309=""),"",R309/(Q309/1000))</f>
        <v/>
      </c>
      <c r="U309" s="369" t="str">
        <f>IF(AQ48="","",AQ48)</f>
        <v/>
      </c>
      <c r="V309" s="16" t="str">
        <f t="shared" si="58"/>
        <v/>
      </c>
      <c r="W309" s="16" t="str">
        <f t="shared" si="58"/>
        <v/>
      </c>
      <c r="X309" s="17" t="str">
        <f>IF(W309="","",W309/$X$306)</f>
        <v/>
      </c>
      <c r="Y309" s="254" t="str">
        <f t="shared" ref="Y309:Y311" si="59">IF(OR(W309="",V309=""),"",W309/(V309/1000))</f>
        <v/>
      </c>
    </row>
    <row r="310" spans="1:25" ht="14.1" customHeight="1" thickBot="1">
      <c r="A310" s="21">
        <v>22</v>
      </c>
      <c r="B310" s="72"/>
      <c r="C310" s="494"/>
      <c r="D310" s="323">
        <f t="shared" si="49"/>
        <v>32</v>
      </c>
      <c r="E310" s="323">
        <f t="shared" si="50"/>
        <v>50</v>
      </c>
      <c r="F310" s="333" t="str">
        <f t="shared" si="51"/>
        <v/>
      </c>
      <c r="G310" s="333" t="str">
        <f t="shared" si="52"/>
        <v/>
      </c>
      <c r="H310" s="333" t="str">
        <f t="shared" si="53"/>
        <v/>
      </c>
      <c r="I310" s="324" t="str">
        <f t="shared" si="54"/>
        <v/>
      </c>
      <c r="J310" s="333" t="str">
        <f t="shared" si="55"/>
        <v/>
      </c>
      <c r="K310" s="469" t="str">
        <f t="shared" si="56"/>
        <v/>
      </c>
      <c r="M310" s="74"/>
      <c r="O310" s="364"/>
      <c r="P310" s="369" t="str">
        <f>IF(AQ14="","",AQ14)</f>
        <v/>
      </c>
      <c r="Q310" s="16" t="str">
        <f t="shared" si="57"/>
        <v/>
      </c>
      <c r="R310" s="16" t="str">
        <f t="shared" si="57"/>
        <v/>
      </c>
      <c r="S310" s="17" t="str">
        <f>IF(R310="","",R310/$S$306)</f>
        <v/>
      </c>
      <c r="T310" s="254" t="str">
        <f>IF(OR(R310="",Q310=""),"",R310/(Q310/1000))</f>
        <v/>
      </c>
      <c r="U310" s="369" t="str">
        <f>IF(AQ49="","",AQ49)</f>
        <v/>
      </c>
      <c r="V310" s="16" t="str">
        <f t="shared" si="58"/>
        <v/>
      </c>
      <c r="W310" s="16" t="str">
        <f t="shared" si="58"/>
        <v/>
      </c>
      <c r="X310" s="17" t="str">
        <f>IF(W310="","",W310/$X$306)</f>
        <v/>
      </c>
      <c r="Y310" s="254" t="str">
        <f t="shared" si="59"/>
        <v/>
      </c>
    </row>
    <row r="311" spans="1:25" ht="14.1" customHeight="1" thickBot="1">
      <c r="A311" s="21">
        <v>23</v>
      </c>
      <c r="B311" s="72"/>
      <c r="C311" s="495"/>
      <c r="D311" s="496">
        <f t="shared" si="49"/>
        <v>34</v>
      </c>
      <c r="E311" s="496">
        <f t="shared" si="50"/>
        <v>50</v>
      </c>
      <c r="F311" s="497" t="str">
        <f t="shared" si="51"/>
        <v/>
      </c>
      <c r="G311" s="497" t="str">
        <f t="shared" si="52"/>
        <v/>
      </c>
      <c r="H311" s="497" t="str">
        <f t="shared" si="53"/>
        <v/>
      </c>
      <c r="I311" s="498" t="str">
        <f t="shared" si="54"/>
        <v/>
      </c>
      <c r="J311" s="497" t="str">
        <f t="shared" si="55"/>
        <v/>
      </c>
      <c r="K311" s="460" t="str">
        <f t="shared" si="56"/>
        <v/>
      </c>
      <c r="L311" s="424" t="str">
        <f>IF(K307="","",IF(MAX(K307:K311)&lt;0.05,"Pass","Fail"))</f>
        <v/>
      </c>
      <c r="M311" s="74"/>
      <c r="O311" s="364"/>
      <c r="P311" s="523" t="str">
        <f>IF(AQ15="","",AQ15)</f>
        <v/>
      </c>
      <c r="Q311" s="244" t="str">
        <f t="shared" si="57"/>
        <v/>
      </c>
      <c r="R311" s="244" t="str">
        <f t="shared" si="57"/>
        <v/>
      </c>
      <c r="S311" s="258" t="str">
        <f>IF(R311="","",R311/$S$306)</f>
        <v/>
      </c>
      <c r="T311" s="259" t="str">
        <f>IF(OR(R311="",Q311=""),"",R311/(Q311/1000))</f>
        <v/>
      </c>
      <c r="U311" s="523" t="str">
        <f>IF(AQ50="","",AQ50)</f>
        <v/>
      </c>
      <c r="V311" s="244" t="str">
        <f t="shared" si="58"/>
        <v/>
      </c>
      <c r="W311" s="244" t="str">
        <f t="shared" si="58"/>
        <v/>
      </c>
      <c r="X311" s="258" t="str">
        <f>IF(W311="","",W311/$X$306)</f>
        <v/>
      </c>
      <c r="Y311" s="259" t="str">
        <f t="shared" si="59"/>
        <v/>
      </c>
    </row>
    <row r="312" spans="1:25" ht="14.1" customHeight="1">
      <c r="A312" s="21">
        <v>24</v>
      </c>
      <c r="B312" s="72"/>
      <c r="J312" s="505"/>
      <c r="K312" s="416"/>
      <c r="M312" s="74"/>
      <c r="O312" s="363" t="s">
        <v>210</v>
      </c>
      <c r="P312" s="518" t="str">
        <f t="shared" ref="P312:Y312" si="60">IF(OR(P308="",P309="",P310="",P311=""),"",AVERAGE(P308:P311))</f>
        <v/>
      </c>
      <c r="Q312" s="519" t="str">
        <f t="shared" si="60"/>
        <v/>
      </c>
      <c r="R312" s="520" t="str">
        <f t="shared" si="60"/>
        <v/>
      </c>
      <c r="S312" s="521" t="str">
        <f t="shared" si="60"/>
        <v/>
      </c>
      <c r="T312" s="522" t="str">
        <f t="shared" si="60"/>
        <v/>
      </c>
      <c r="U312" s="518" t="str">
        <f t="shared" si="60"/>
        <v/>
      </c>
      <c r="V312" s="519" t="str">
        <f t="shared" si="60"/>
        <v/>
      </c>
      <c r="W312" s="520" t="str">
        <f t="shared" si="60"/>
        <v/>
      </c>
      <c r="X312" s="521" t="str">
        <f t="shared" si="60"/>
        <v/>
      </c>
      <c r="Y312" s="522" t="str">
        <f t="shared" si="60"/>
        <v/>
      </c>
    </row>
    <row r="313" spans="1:25" ht="14.1" customHeight="1">
      <c r="A313" s="21">
        <v>25</v>
      </c>
      <c r="B313" s="72"/>
      <c r="M313" s="74"/>
      <c r="O313" s="363" t="s">
        <v>344</v>
      </c>
      <c r="P313" s="369" t="str">
        <f t="shared" ref="P313:Y313" si="61">IF(OR(P308="",P309="",P310="",P311=""),"",_xlfn.STDEV.S(P308:P311))</f>
        <v/>
      </c>
      <c r="Q313" s="16" t="str">
        <f t="shared" si="61"/>
        <v/>
      </c>
      <c r="R313" s="16" t="str">
        <f t="shared" si="61"/>
        <v/>
      </c>
      <c r="S313" s="17" t="str">
        <f t="shared" si="61"/>
        <v/>
      </c>
      <c r="T313" s="254" t="str">
        <f t="shared" si="61"/>
        <v/>
      </c>
      <c r="U313" s="369" t="str">
        <f t="shared" si="61"/>
        <v/>
      </c>
      <c r="V313" s="16" t="str">
        <f t="shared" si="61"/>
        <v/>
      </c>
      <c r="W313" s="16" t="str">
        <f t="shared" si="61"/>
        <v/>
      </c>
      <c r="X313" s="17" t="str">
        <f t="shared" si="61"/>
        <v/>
      </c>
      <c r="Y313" s="254" t="str">
        <f t="shared" si="61"/>
        <v/>
      </c>
    </row>
    <row r="314" spans="1:25" ht="14.1" customHeight="1" thickBot="1">
      <c r="A314" s="21">
        <v>26</v>
      </c>
      <c r="B314" s="72"/>
      <c r="M314" s="74"/>
      <c r="O314" s="363" t="s">
        <v>274</v>
      </c>
      <c r="P314" s="199" t="str">
        <f t="shared" ref="P314:Y314" si="62">IF(OR(P312="",P313=""),"",P313/P312)</f>
        <v/>
      </c>
      <c r="Q314" s="193" t="str">
        <f t="shared" si="62"/>
        <v/>
      </c>
      <c r="R314" s="193" t="str">
        <f t="shared" si="62"/>
        <v/>
      </c>
      <c r="S314" s="370" t="str">
        <f t="shared" si="62"/>
        <v/>
      </c>
      <c r="T314" s="371" t="str">
        <f t="shared" si="62"/>
        <v/>
      </c>
      <c r="U314" s="199" t="str">
        <f t="shared" si="62"/>
        <v/>
      </c>
      <c r="V314" s="193" t="str">
        <f t="shared" si="62"/>
        <v/>
      </c>
      <c r="W314" s="193" t="str">
        <f t="shared" si="62"/>
        <v/>
      </c>
      <c r="X314" s="370" t="str">
        <f t="shared" si="62"/>
        <v/>
      </c>
      <c r="Y314" s="371" t="str">
        <f t="shared" si="62"/>
        <v/>
      </c>
    </row>
    <row r="315" spans="1:25" ht="14.1" customHeight="1">
      <c r="A315" s="21">
        <v>27</v>
      </c>
      <c r="B315" s="72"/>
      <c r="I315" s="6"/>
      <c r="J315" s="6"/>
      <c r="M315" s="74"/>
      <c r="O315" s="363" t="s">
        <v>346</v>
      </c>
      <c r="P315" s="218"/>
      <c r="Q315" s="218"/>
      <c r="R315" s="360"/>
      <c r="S315" s="361" t="str">
        <f>IF(AB86="","",AB86)</f>
        <v/>
      </c>
      <c r="T315" s="362" t="str">
        <f>IF(AB87="","",AB87)</f>
        <v/>
      </c>
      <c r="U315" s="218"/>
      <c r="V315" s="218"/>
      <c r="W315" s="360"/>
      <c r="X315" s="361" t="str">
        <f>IF(AG86="","",AG86)</f>
        <v/>
      </c>
      <c r="Y315" s="362" t="str">
        <f>IF(AG87="","",AG87)</f>
        <v/>
      </c>
    </row>
    <row r="316" spans="1:25" ht="14.1" customHeight="1">
      <c r="A316" s="21">
        <v>28</v>
      </c>
      <c r="B316" s="72"/>
      <c r="I316" s="6"/>
      <c r="J316" s="6"/>
      <c r="M316" s="74"/>
      <c r="O316" s="34"/>
      <c r="P316" s="121" t="s">
        <v>204</v>
      </c>
      <c r="Q316" s="146" t="s">
        <v>347</v>
      </c>
      <c r="Y316" s="36"/>
    </row>
    <row r="317" spans="1:25" ht="14.1" customHeight="1">
      <c r="A317" s="21">
        <v>29</v>
      </c>
      <c r="B317" s="72"/>
      <c r="I317" s="6"/>
      <c r="J317" s="6"/>
      <c r="M317" s="74"/>
      <c r="O317" s="34"/>
      <c r="Q317" s="146" t="s">
        <v>348</v>
      </c>
      <c r="Y317" s="36"/>
    </row>
    <row r="318" spans="1:25" ht="14.1" customHeight="1" thickBot="1">
      <c r="A318" s="21">
        <v>30</v>
      </c>
      <c r="B318" s="72"/>
      <c r="M318" s="74"/>
      <c r="O318" s="44"/>
      <c r="P318" s="45"/>
      <c r="Q318" s="289" t="s">
        <v>349</v>
      </c>
      <c r="R318" s="45"/>
      <c r="S318" s="45"/>
      <c r="T318" s="45"/>
      <c r="U318" s="45"/>
      <c r="V318" s="45"/>
      <c r="W318" s="45"/>
      <c r="X318" s="45"/>
      <c r="Y318" s="46"/>
    </row>
    <row r="319" spans="1:25" ht="14.1" customHeight="1">
      <c r="A319" s="21">
        <v>31</v>
      </c>
      <c r="B319" s="72"/>
      <c r="M319" s="74"/>
      <c r="O319" s="144" t="s">
        <v>350</v>
      </c>
      <c r="P319" s="27"/>
      <c r="Q319" s="27"/>
      <c r="R319" s="27"/>
      <c r="S319" s="27"/>
      <c r="T319" s="27"/>
      <c r="U319" s="27"/>
      <c r="V319" s="27"/>
      <c r="W319" s="27"/>
      <c r="X319" s="27"/>
      <c r="Y319" s="28"/>
    </row>
    <row r="320" spans="1:25" ht="14.1" customHeight="1">
      <c r="A320" s="21">
        <v>32</v>
      </c>
      <c r="B320" s="72"/>
      <c r="M320" s="74"/>
      <c r="O320" s="34"/>
      <c r="P320" s="39" t="s">
        <v>95</v>
      </c>
      <c r="Q320" s="157" t="str">
        <f>AK10&amp;"/"&amp;AL10</f>
        <v>Mo/Mo</v>
      </c>
      <c r="R320" s="39" t="s">
        <v>173</v>
      </c>
      <c r="S320" s="157">
        <f>AH12</f>
        <v>28</v>
      </c>
      <c r="T320" s="14"/>
      <c r="Y320" s="36"/>
    </row>
    <row r="321" spans="1:25" ht="14.1" customHeight="1">
      <c r="A321" s="21">
        <v>33</v>
      </c>
      <c r="B321" s="72"/>
      <c r="M321" s="74"/>
      <c r="O321" s="34"/>
      <c r="P321" s="14" t="s">
        <v>72</v>
      </c>
      <c r="Q321" s="14" t="s">
        <v>25</v>
      </c>
      <c r="R321" s="14" t="s">
        <v>26</v>
      </c>
      <c r="S321" s="14" t="s">
        <v>27</v>
      </c>
      <c r="T321" s="14" t="s">
        <v>338</v>
      </c>
      <c r="U321" s="14" t="s">
        <v>339</v>
      </c>
      <c r="V321" s="6"/>
      <c r="W321" s="6"/>
      <c r="X321" s="6"/>
      <c r="Y321" s="36"/>
    </row>
    <row r="322" spans="1:25" ht="14.1" customHeight="1">
      <c r="A322" s="21">
        <v>34</v>
      </c>
      <c r="B322" s="72"/>
      <c r="C322" s="73"/>
      <c r="D322" s="73"/>
      <c r="E322" s="73"/>
      <c r="F322" s="73"/>
      <c r="G322" s="73"/>
      <c r="H322" s="73"/>
      <c r="I322" s="73"/>
      <c r="J322" s="73"/>
      <c r="K322" s="73"/>
      <c r="L322" s="73"/>
      <c r="M322" s="74"/>
      <c r="O322" s="34"/>
      <c r="P322" s="15">
        <f>IF(AI20="","",AI20)</f>
        <v>20</v>
      </c>
      <c r="Q322" s="16" t="str">
        <f>IF(AQ20="","",AQ20)</f>
        <v/>
      </c>
      <c r="R322" s="114" t="str">
        <f>IF(AN20="","",AN20)</f>
        <v/>
      </c>
      <c r="S322" s="16" t="str">
        <f>IF(AO20="","",AO20)</f>
        <v/>
      </c>
      <c r="T322" s="17" t="str">
        <f>IF(S322="","",S322/P322)</f>
        <v/>
      </c>
      <c r="U322" s="16" t="str">
        <f>IF(OR(S322="",R322=""),"",S322/(R322/1000))</f>
        <v/>
      </c>
      <c r="V322" s="6"/>
      <c r="W322" s="6"/>
      <c r="X322" s="6"/>
      <c r="Y322" s="36"/>
    </row>
    <row r="323" spans="1:25" ht="14.1" customHeight="1">
      <c r="A323" s="21">
        <v>35</v>
      </c>
      <c r="B323" s="72"/>
      <c r="C323" s="73"/>
      <c r="D323" s="73"/>
      <c r="E323" s="73"/>
      <c r="F323" s="73"/>
      <c r="G323" s="73"/>
      <c r="H323" s="73"/>
      <c r="I323" s="73"/>
      <c r="J323" s="73"/>
      <c r="K323" s="73"/>
      <c r="L323" s="73"/>
      <c r="M323" s="74"/>
      <c r="O323" s="34"/>
      <c r="P323" s="15">
        <f>IF(AI12="","",AI12)</f>
        <v>50</v>
      </c>
      <c r="Q323" s="16" t="str">
        <f>P312</f>
        <v/>
      </c>
      <c r="R323" s="114" t="str">
        <f>Q312</f>
        <v/>
      </c>
      <c r="S323" s="16" t="str">
        <f>R312</f>
        <v/>
      </c>
      <c r="T323" s="17" t="str">
        <f>S312</f>
        <v/>
      </c>
      <c r="U323" s="16" t="str">
        <f>T312</f>
        <v/>
      </c>
      <c r="V323" s="6"/>
      <c r="W323" s="6"/>
      <c r="X323" s="6"/>
      <c r="Y323" s="36"/>
    </row>
    <row r="324" spans="1:25" ht="14.1" customHeight="1">
      <c r="A324" s="21">
        <v>36</v>
      </c>
      <c r="B324" s="72"/>
      <c r="C324" s="73"/>
      <c r="D324" s="73"/>
      <c r="E324" s="73"/>
      <c r="F324" s="73"/>
      <c r="G324" s="73"/>
      <c r="H324" s="73"/>
      <c r="I324" s="73"/>
      <c r="J324" s="73"/>
      <c r="K324" s="73"/>
      <c r="L324" s="73"/>
      <c r="M324" s="74"/>
      <c r="O324" s="34"/>
      <c r="P324" s="15">
        <f>IF(AI21="","",AI21)</f>
        <v>100</v>
      </c>
      <c r="Q324" s="16" t="str">
        <f>IF(AQ21="","",AQ21)</f>
        <v/>
      </c>
      <c r="R324" s="114" t="str">
        <f>IF(AN21="","",AN21)</f>
        <v/>
      </c>
      <c r="S324" s="16" t="str">
        <f>IF(AO21="","",AO21)</f>
        <v/>
      </c>
      <c r="T324" s="17" t="str">
        <f>IF(S324="","",S324/P324)</f>
        <v/>
      </c>
      <c r="U324" s="16" t="str">
        <f>IF(OR(S324="",R324=""),"",S324/(R324/1000))</f>
        <v/>
      </c>
      <c r="V324" s="6"/>
      <c r="W324" s="6"/>
      <c r="X324" s="6"/>
      <c r="Y324" s="36"/>
    </row>
    <row r="325" spans="1:25" ht="14.1" customHeight="1">
      <c r="A325" s="21">
        <v>37</v>
      </c>
      <c r="B325" s="72"/>
      <c r="C325" s="73"/>
      <c r="D325" s="73"/>
      <c r="E325" s="73"/>
      <c r="F325" s="73"/>
      <c r="G325" s="73"/>
      <c r="H325" s="73"/>
      <c r="I325" s="73"/>
      <c r="J325" s="73"/>
      <c r="K325" s="73"/>
      <c r="L325" s="73"/>
      <c r="M325" s="74"/>
      <c r="O325" s="34"/>
      <c r="P325" s="15">
        <f>IF(AI22="","",AI22)</f>
        <v>320</v>
      </c>
      <c r="Q325" s="16" t="str">
        <f>IF(AQ22="","",AQ22)</f>
        <v/>
      </c>
      <c r="R325" s="114" t="str">
        <f>IF(AN22="","",AN22)</f>
        <v/>
      </c>
      <c r="S325" s="16" t="str">
        <f>IF(AO22="","",AO22)</f>
        <v/>
      </c>
      <c r="T325" s="17" t="str">
        <f>IF(S325="","",S325/P325)</f>
        <v/>
      </c>
      <c r="U325" s="16" t="str">
        <f>IF(OR(S325="",R325=""),"",S325/(R325/1000))</f>
        <v/>
      </c>
      <c r="V325" s="6"/>
      <c r="W325" s="6"/>
      <c r="X325" s="6"/>
      <c r="Y325" s="36"/>
    </row>
    <row r="326" spans="1:25" ht="14.1" customHeight="1">
      <c r="A326" s="21">
        <v>38</v>
      </c>
      <c r="B326" s="72"/>
      <c r="C326" s="73"/>
      <c r="D326" s="73"/>
      <c r="E326" s="73"/>
      <c r="F326" s="73"/>
      <c r="G326" s="73"/>
      <c r="H326" s="73"/>
      <c r="I326" s="73"/>
      <c r="J326" s="73"/>
      <c r="K326" s="73"/>
      <c r="L326" s="73"/>
      <c r="M326" s="74"/>
      <c r="O326" s="34"/>
      <c r="S326" s="39" t="s">
        <v>351</v>
      </c>
      <c r="T326" s="190" t="str">
        <f>IF(OR(T322="",T323="",T324="",T325=""),"",(MAX(T322:T325)-MIN(T322:T325))/(MAX(T322:T325)+MIN(T322:T325)))</f>
        <v/>
      </c>
      <c r="V326" s="6"/>
      <c r="W326" s="6"/>
      <c r="X326" s="6"/>
      <c r="Y326" s="36"/>
    </row>
    <row r="327" spans="1:25" ht="14.1" customHeight="1">
      <c r="A327" s="21">
        <v>39</v>
      </c>
      <c r="B327" s="72"/>
      <c r="C327" s="73"/>
      <c r="D327" s="73"/>
      <c r="E327" s="73"/>
      <c r="F327" s="73"/>
      <c r="G327" s="73"/>
      <c r="H327" s="73"/>
      <c r="I327" s="73"/>
      <c r="J327" s="73"/>
      <c r="K327" s="73"/>
      <c r="L327" s="73"/>
      <c r="M327" s="74"/>
      <c r="O327" s="34"/>
      <c r="P327" s="121" t="s">
        <v>204</v>
      </c>
      <c r="Q327" s="146" t="s">
        <v>352</v>
      </c>
      <c r="Y327" s="36"/>
    </row>
    <row r="328" spans="1:25" ht="14.1" customHeight="1">
      <c r="A328" s="21">
        <v>40</v>
      </c>
      <c r="B328" s="72"/>
      <c r="C328" s="73"/>
      <c r="D328" s="73"/>
      <c r="E328" s="73"/>
      <c r="F328" s="73"/>
      <c r="G328" s="73"/>
      <c r="H328" s="73"/>
      <c r="I328" s="73"/>
      <c r="J328" s="73"/>
      <c r="K328" s="73"/>
      <c r="L328" s="73"/>
      <c r="M328" s="74"/>
      <c r="O328" s="290" t="str">
        <f>IF(R325="","",IF(R325/1000&gt;=3,1,2))</f>
        <v/>
      </c>
      <c r="P328" s="25" t="s">
        <v>353</v>
      </c>
      <c r="Y328" s="36"/>
    </row>
    <row r="329" spans="1:25" ht="14.1" customHeight="1" thickBot="1">
      <c r="A329" s="21">
        <v>41</v>
      </c>
      <c r="B329" s="72"/>
      <c r="C329" s="73"/>
      <c r="D329" s="73"/>
      <c r="E329" s="73"/>
      <c r="F329" s="73"/>
      <c r="G329" s="73"/>
      <c r="H329" s="73"/>
      <c r="I329" s="73"/>
      <c r="J329" s="73"/>
      <c r="K329" s="73"/>
      <c r="L329" s="73"/>
      <c r="M329" s="74"/>
      <c r="O329" s="44"/>
      <c r="P329" s="45"/>
      <c r="Q329" s="45"/>
      <c r="R329" s="45"/>
      <c r="S329" s="45"/>
      <c r="T329" s="45"/>
      <c r="U329" s="45"/>
      <c r="V329" s="45"/>
      <c r="W329" s="45"/>
      <c r="X329" s="45"/>
      <c r="Y329" s="46"/>
    </row>
    <row r="330" spans="1:25" ht="14.1" customHeight="1">
      <c r="A330" s="21">
        <v>42</v>
      </c>
      <c r="B330" s="72"/>
      <c r="C330" s="73"/>
      <c r="D330" s="73"/>
      <c r="E330" s="73"/>
      <c r="F330" s="73"/>
      <c r="G330" s="73"/>
      <c r="H330" s="73"/>
      <c r="I330" s="73"/>
      <c r="J330" s="73"/>
      <c r="K330" s="73"/>
      <c r="L330" s="73"/>
      <c r="M330" s="74"/>
      <c r="O330" s="144" t="s">
        <v>355</v>
      </c>
      <c r="P330" s="27"/>
      <c r="Q330" s="350">
        <v>1</v>
      </c>
      <c r="R330" s="27" t="s">
        <v>520</v>
      </c>
      <c r="S330" s="27"/>
      <c r="T330" s="27"/>
      <c r="U330" s="27"/>
      <c r="V330" s="27"/>
      <c r="W330" s="27"/>
      <c r="X330" s="27"/>
      <c r="Y330" s="28"/>
    </row>
    <row r="331" spans="1:25" ht="14.1" customHeight="1">
      <c r="A331" s="21">
        <v>43</v>
      </c>
      <c r="B331" s="72"/>
      <c r="C331" s="73"/>
      <c r="D331" s="73"/>
      <c r="E331" s="73"/>
      <c r="F331" s="73"/>
      <c r="G331" s="73"/>
      <c r="H331" s="73"/>
      <c r="I331" s="73"/>
      <c r="J331" s="73"/>
      <c r="K331" s="73"/>
      <c r="L331" s="73"/>
      <c r="M331" s="74"/>
      <c r="O331" s="34"/>
      <c r="P331" s="246" t="s">
        <v>71</v>
      </c>
      <c r="Q331" s="246" t="str">
        <f>AK12&amp;"/"&amp;AL12</f>
        <v>Mo/Mo</v>
      </c>
      <c r="R331" s="246" t="str">
        <f>AK24&amp;"/"&amp;AL24</f>
        <v>Mo/Mo</v>
      </c>
      <c r="S331" s="246" t="str">
        <f>AK32&amp;"/"&amp;AL32</f>
        <v>Mo/Rh</v>
      </c>
      <c r="T331" s="246" t="str">
        <f>AK39&amp;"/"&amp;AL39</f>
        <v>Mo/Rh</v>
      </c>
      <c r="U331" s="246" t="str">
        <f>AK47&amp;"/"&amp;AL47</f>
        <v>W/Rh</v>
      </c>
      <c r="V331" s="246" t="str">
        <f>AK56&amp;"/"&amp;AL56</f>
        <v>W/Rh</v>
      </c>
      <c r="W331" s="151"/>
      <c r="X331" s="218"/>
      <c r="Y331" s="36"/>
    </row>
    <row r="332" spans="1:25" ht="14.1" customHeight="1">
      <c r="A332" s="21">
        <v>44</v>
      </c>
      <c r="B332" s="72"/>
      <c r="C332" s="73"/>
      <c r="D332" s="73"/>
      <c r="E332" s="73"/>
      <c r="F332" s="73"/>
      <c r="G332" s="73"/>
      <c r="H332" s="73"/>
      <c r="I332" s="73"/>
      <c r="J332" s="73"/>
      <c r="K332" s="73"/>
      <c r="L332" s="73"/>
      <c r="M332" s="74"/>
      <c r="O332" s="34"/>
      <c r="P332" s="15" t="s">
        <v>269</v>
      </c>
      <c r="Q332" s="15">
        <f>AH12</f>
        <v>28</v>
      </c>
      <c r="R332" s="15">
        <f>AH24</f>
        <v>32</v>
      </c>
      <c r="S332" s="15">
        <f>AH32</f>
        <v>28</v>
      </c>
      <c r="T332" s="15">
        <f>AH39</f>
        <v>32</v>
      </c>
      <c r="U332" s="15">
        <f>AH47</f>
        <v>28</v>
      </c>
      <c r="V332" s="15">
        <f>AH56</f>
        <v>32</v>
      </c>
      <c r="W332" s="151"/>
      <c r="X332" s="218"/>
      <c r="Y332" s="36"/>
    </row>
    <row r="333" spans="1:25" ht="14.1" customHeight="1">
      <c r="A333" s="21">
        <v>45</v>
      </c>
      <c r="B333" s="72"/>
      <c r="C333" s="73"/>
      <c r="D333" s="73"/>
      <c r="E333" s="73"/>
      <c r="F333" s="73"/>
      <c r="G333" s="73"/>
      <c r="H333" s="73"/>
      <c r="I333" s="73"/>
      <c r="J333" s="73"/>
      <c r="K333" s="73"/>
      <c r="L333" s="73"/>
      <c r="M333" s="74"/>
      <c r="O333" s="34"/>
      <c r="P333" s="115" t="s">
        <v>356</v>
      </c>
      <c r="Q333" s="774" t="s">
        <v>357</v>
      </c>
      <c r="R333" s="774"/>
      <c r="S333" s="774"/>
      <c r="T333" s="774"/>
      <c r="U333" s="774"/>
      <c r="V333" s="774"/>
      <c r="W333" s="336"/>
      <c r="X333" s="336"/>
      <c r="Y333" s="36"/>
    </row>
    <row r="334" spans="1:25" ht="14.1" customHeight="1">
      <c r="A334" s="21">
        <v>46</v>
      </c>
      <c r="B334" s="72"/>
      <c r="C334" s="73"/>
      <c r="D334" s="73"/>
      <c r="E334" s="73"/>
      <c r="F334" s="73"/>
      <c r="G334" s="73"/>
      <c r="H334" s="73"/>
      <c r="I334" s="73"/>
      <c r="J334" s="73"/>
      <c r="K334" s="73"/>
      <c r="L334" s="73"/>
      <c r="M334" s="74"/>
      <c r="O334" s="34"/>
      <c r="P334" s="114">
        <v>0</v>
      </c>
      <c r="Q334" s="291" t="str">
        <f>IF(AO12="","",AO12)</f>
        <v/>
      </c>
      <c r="R334" s="291" t="str">
        <f>IF(AO24="","",AO24)</f>
        <v/>
      </c>
      <c r="S334" s="291" t="str">
        <f>IF(AO32="","",AO32)</f>
        <v/>
      </c>
      <c r="T334" s="291" t="str">
        <f>IF(AO39="","",AO39)</f>
        <v/>
      </c>
      <c r="U334" s="291" t="str">
        <f>IF(AO47="","",AO47)</f>
        <v/>
      </c>
      <c r="V334" s="291" t="str">
        <f>IF(AO56="","",AO56)</f>
        <v/>
      </c>
      <c r="W334" s="337"/>
      <c r="X334" s="338"/>
      <c r="Y334" s="36"/>
    </row>
    <row r="335" spans="1:25" ht="14.1" customHeight="1">
      <c r="A335" s="21">
        <v>47</v>
      </c>
      <c r="B335" s="72"/>
      <c r="C335" s="73"/>
      <c r="D335" s="73"/>
      <c r="E335" s="73"/>
      <c r="F335" s="73"/>
      <c r="G335" s="73"/>
      <c r="H335" s="73"/>
      <c r="I335" s="73"/>
      <c r="J335" s="73"/>
      <c r="K335" s="73"/>
      <c r="L335" s="73"/>
      <c r="M335" s="74"/>
      <c r="O335" s="34"/>
      <c r="P335" s="114">
        <v>0.3</v>
      </c>
      <c r="Q335" s="291" t="str">
        <f>IF(OR(AO16="",AO17=""),"",AVERAGE(AO16:AO17))</f>
        <v/>
      </c>
      <c r="R335" s="318"/>
      <c r="S335" s="318"/>
      <c r="T335" s="318"/>
      <c r="U335" s="327"/>
      <c r="V335" s="327"/>
      <c r="W335" s="339"/>
      <c r="X335" s="340"/>
      <c r="Y335" s="36"/>
    </row>
    <row r="336" spans="1:25" ht="14.1" customHeight="1">
      <c r="A336" s="21">
        <v>48</v>
      </c>
      <c r="B336" s="72"/>
      <c r="C336" s="73"/>
      <c r="D336" s="73"/>
      <c r="E336" s="73"/>
      <c r="F336" s="73"/>
      <c r="G336" s="73"/>
      <c r="H336" s="73"/>
      <c r="I336" s="73"/>
      <c r="J336" s="73"/>
      <c r="K336" s="73"/>
      <c r="L336" s="73"/>
      <c r="M336" s="74"/>
      <c r="O336" s="34"/>
      <c r="P336" s="114">
        <v>0.4</v>
      </c>
      <c r="Q336" s="270" t="str">
        <f>IF(OR(AO18="",AO19=""),"",AVERAGE(AO18:AO19))</f>
        <v/>
      </c>
      <c r="R336" s="291" t="str">
        <f>IF(OR(AO26="",AO27=""),"",AVERAGE(AO26:AO27))</f>
        <v/>
      </c>
      <c r="S336" s="291" t="str">
        <f>IF(OR(AO34="",AO35=""),"",AVERAGE(AO34:AO35))</f>
        <v/>
      </c>
      <c r="T336" s="291" t="str">
        <f>IF(OR(AO41="",AO42=""),"",AVERAGE(AO41:AO42))</f>
        <v/>
      </c>
      <c r="U336" s="318"/>
      <c r="V336" s="318"/>
      <c r="W336" s="337"/>
      <c r="X336" s="338"/>
      <c r="Y336" s="36"/>
    </row>
    <row r="337" spans="1:25" ht="14.1" customHeight="1">
      <c r="A337" s="21">
        <v>49</v>
      </c>
      <c r="B337" s="72"/>
      <c r="M337" s="74"/>
      <c r="O337" s="34"/>
      <c r="P337" s="293">
        <v>0.5</v>
      </c>
      <c r="Q337" s="325"/>
      <c r="R337" s="319" t="str">
        <f>IF(OR(AO28="",AO29=""),"",AVERAGE(AO28:AO29))</f>
        <v/>
      </c>
      <c r="S337" s="319" t="str">
        <f>IF(OR(AO36="",AO37=""),"",AVERAGE(AO36:AO37))</f>
        <v/>
      </c>
      <c r="T337" s="319" t="str">
        <f>IF(OR(AO43="",AO44=""),"",AVERAGE(AO43:AO44))</f>
        <v/>
      </c>
      <c r="U337" s="294" t="str">
        <f>IF(OR(AO51="",AO52=""),"",AVERAGE(AO51:AO52))</f>
        <v/>
      </c>
      <c r="V337" s="318"/>
      <c r="W337" s="337"/>
      <c r="X337" s="338"/>
      <c r="Y337" s="36"/>
    </row>
    <row r="338" spans="1:25" ht="14.1" customHeight="1">
      <c r="A338" s="21">
        <v>50</v>
      </c>
      <c r="B338" s="72"/>
      <c r="M338" s="74"/>
      <c r="O338" s="34"/>
      <c r="P338" s="323">
        <v>0.6</v>
      </c>
      <c r="Q338" s="326"/>
      <c r="R338" s="326"/>
      <c r="S338" s="326"/>
      <c r="T338" s="326"/>
      <c r="U338" s="324" t="str">
        <f>IF(OR(AO53="",AO54=""),"",AVERAGE(AO53:AO54))</f>
        <v/>
      </c>
      <c r="V338" s="324" t="str">
        <f>IF(OR(AO58="",AO59=""),"",AVERAGE(AO58:AO59))</f>
        <v/>
      </c>
      <c r="W338" s="341"/>
      <c r="X338" s="340"/>
      <c r="Y338" s="36"/>
    </row>
    <row r="339" spans="1:25" ht="14.1" customHeight="1">
      <c r="A339" s="21">
        <v>51</v>
      </c>
      <c r="B339" s="72"/>
      <c r="M339" s="74"/>
      <c r="O339" s="34"/>
      <c r="P339" s="323">
        <v>0.7</v>
      </c>
      <c r="Q339" s="326"/>
      <c r="R339" s="326"/>
      <c r="S339" s="326"/>
      <c r="T339" s="326"/>
      <c r="U339" s="326"/>
      <c r="V339" s="324" t="str">
        <f>IF(OR(AO60="",AO61=""),"",AVERAGE(AO60:AO61))</f>
        <v/>
      </c>
      <c r="W339" s="341"/>
      <c r="X339" s="340"/>
      <c r="Y339" s="36"/>
    </row>
    <row r="340" spans="1:25" ht="14.1" customHeight="1">
      <c r="A340" s="21">
        <v>52</v>
      </c>
      <c r="B340" s="72"/>
      <c r="M340" s="74"/>
      <c r="O340" s="34"/>
      <c r="P340" s="320">
        <v>0</v>
      </c>
      <c r="Q340" s="321" t="str">
        <f>IF(AO13="","",AO13)</f>
        <v/>
      </c>
      <c r="R340" s="321" t="str">
        <f>IF(AO25="","",AO25)</f>
        <v/>
      </c>
      <c r="S340" s="321" t="str">
        <f>IF(AO33="","",AO33)</f>
        <v/>
      </c>
      <c r="T340" s="321" t="str">
        <f>IF(AO40="","",AO40)</f>
        <v/>
      </c>
      <c r="U340" s="321" t="str">
        <f>IF(AO48="","",AO48)</f>
        <v/>
      </c>
      <c r="V340" s="322" t="str">
        <f>IF(AO57="","",AO57)</f>
        <v/>
      </c>
      <c r="W340" s="337"/>
      <c r="X340" s="338"/>
      <c r="Y340" s="36"/>
    </row>
    <row r="341" spans="1:25" ht="14.1" customHeight="1">
      <c r="A341" s="21">
        <v>53</v>
      </c>
      <c r="B341" s="72"/>
      <c r="M341" s="74"/>
      <c r="O341" s="34"/>
      <c r="P341" s="15" t="s">
        <v>358</v>
      </c>
      <c r="Q341" s="16" t="str">
        <f>IF(OR(Q335="",Q336=""),"",($P$336*LN(2*Q335/AVERAGE(Q334,Q340))-($P$335*LN(2*Q336/AVERAGE(Q334,Q340))))/LN(Q335/Q336))</f>
        <v/>
      </c>
      <c r="R341" s="16" t="str">
        <f>IF(OR(R336="",R337=""),"",($P$337*LN(2*R336/AVERAGE(R334,R340))-($P$336*LN(2*R337/AVERAGE(R334,R340))))/LN(R336/R337))</f>
        <v/>
      </c>
      <c r="S341" s="16" t="str">
        <f>IF(OR(S336="",S337=""),"",($P$337*LN(2*S336/AVERAGE(S334,S340))-($P$336*LN(2*S337/AVERAGE(S334,S340))))/LN(S336/S337))</f>
        <v/>
      </c>
      <c r="T341" s="16" t="str">
        <f>IF(OR(T336="",T337=""),"",($P$337*LN(2*T336/AVERAGE(T334,T340))-($P$336*LN(2*T337/AVERAGE(T334,T340))))/LN(T336/T337))</f>
        <v/>
      </c>
      <c r="U341" s="16" t="str">
        <f>IF(OR(U337="",U338=""),"",($P$338*LN(2*U337/AVERAGE(U334,U340))-($P$337*LN(2*U338/AVERAGE(U334,U340))))/LN(U337/U338))</f>
        <v/>
      </c>
      <c r="V341" s="16" t="str">
        <f>IF(OR(V338="",V339=""),"",($P$339*LN(2*V338/AVERAGE(V334,V340))-($P$338*LN(2*V339/AVERAGE(V334,V340))))/LN(V338/V339))</f>
        <v/>
      </c>
      <c r="W341" s="342"/>
      <c r="X341" s="343"/>
      <c r="Y341" s="36"/>
    </row>
    <row r="342" spans="1:25" ht="14.1" customHeight="1" thickBot="1">
      <c r="A342" s="21">
        <v>54</v>
      </c>
      <c r="B342" s="72"/>
      <c r="C342" s="154" t="s">
        <v>343</v>
      </c>
      <c r="D342" s="73"/>
      <c r="E342" s="73"/>
      <c r="F342" s="73"/>
      <c r="G342" s="73"/>
      <c r="H342" s="73"/>
      <c r="I342" s="73"/>
      <c r="J342" s="73"/>
      <c r="K342" s="73"/>
      <c r="L342" s="73"/>
      <c r="M342" s="74"/>
      <c r="O342" s="34"/>
      <c r="P342" s="15" t="s">
        <v>359</v>
      </c>
      <c r="Q342" s="190" t="str">
        <f t="shared" ref="Q342:V342" si="63">IF(OR(Q334="",Q340=""),"",ABS(Q340-Q334)/Q334)</f>
        <v/>
      </c>
      <c r="R342" s="190" t="str">
        <f t="shared" si="63"/>
        <v/>
      </c>
      <c r="S342" s="190" t="str">
        <f t="shared" si="63"/>
        <v/>
      </c>
      <c r="T342" s="190" t="str">
        <f t="shared" si="63"/>
        <v/>
      </c>
      <c r="U342" s="190" t="str">
        <f t="shared" si="63"/>
        <v/>
      </c>
      <c r="V342" s="190" t="str">
        <f t="shared" si="63"/>
        <v/>
      </c>
      <c r="W342" s="344"/>
      <c r="X342" s="345"/>
      <c r="Y342" s="36"/>
    </row>
    <row r="343" spans="1:25" ht="14.1" customHeight="1">
      <c r="A343" s="21">
        <v>55</v>
      </c>
      <c r="B343" s="72"/>
      <c r="C343" s="171"/>
      <c r="D343" s="365" t="s">
        <v>95</v>
      </c>
      <c r="E343" s="366" t="str">
        <f>Q305</f>
        <v>Mo/Mo</v>
      </c>
      <c r="F343" s="505" t="s">
        <v>173</v>
      </c>
      <c r="G343" s="511">
        <f>S305</f>
        <v>28</v>
      </c>
      <c r="H343" s="28"/>
      <c r="I343" s="365" t="s">
        <v>95</v>
      </c>
      <c r="J343" s="366" t="str">
        <f>V305</f>
        <v>W/Rh</v>
      </c>
      <c r="K343" s="367" t="s">
        <v>173</v>
      </c>
      <c r="L343" s="547">
        <f>X305</f>
        <v>28</v>
      </c>
      <c r="M343" s="527"/>
      <c r="O343" s="34"/>
      <c r="P343" s="15" t="s">
        <v>360</v>
      </c>
      <c r="Q343" s="296">
        <f>IF($Q$330=1,Q332/100+0.03,Q332/100)</f>
        <v>0.31000000000000005</v>
      </c>
      <c r="R343" s="296">
        <f>IF($Q$330=1,R332/100+0.03,R332/100)</f>
        <v>0.35</v>
      </c>
      <c r="S343" s="296">
        <f>IF($Q$330=1,S332/100+0.03,S332/100)</f>
        <v>0.31000000000000005</v>
      </c>
      <c r="T343" s="296">
        <f>IF($Q$330=1,T332/100+0.03,T332/100)</f>
        <v>0.35</v>
      </c>
      <c r="U343" s="296">
        <f>IF($B$175=1,U332/100+0.03,U332/100)</f>
        <v>0.28000000000000003</v>
      </c>
      <c r="V343" s="296">
        <f>IF($B$175=1,V332/100+0.03,V332/100)</f>
        <v>0.32</v>
      </c>
      <c r="W343" s="346"/>
      <c r="X343" s="347"/>
      <c r="Y343" s="36"/>
    </row>
    <row r="344" spans="1:25" ht="14.1" customHeight="1">
      <c r="A344" s="21">
        <v>56</v>
      </c>
      <c r="B344" s="72"/>
      <c r="C344" s="171"/>
      <c r="D344" s="517"/>
      <c r="E344" s="73"/>
      <c r="F344" s="171" t="s">
        <v>219</v>
      </c>
      <c r="G344" s="353">
        <f>S306</f>
        <v>50</v>
      </c>
      <c r="H344" s="219"/>
      <c r="I344" s="73"/>
      <c r="J344" s="73"/>
      <c r="K344" s="171" t="s">
        <v>219</v>
      </c>
      <c r="L344" s="353">
        <f>X306</f>
        <v>50</v>
      </c>
      <c r="M344" s="74"/>
      <c r="O344" s="34"/>
      <c r="P344" s="297" t="s">
        <v>361</v>
      </c>
      <c r="Q344" s="296">
        <f>Q332/100+0.12</f>
        <v>0.4</v>
      </c>
      <c r="R344" s="296">
        <f>R332/100+0.12</f>
        <v>0.44</v>
      </c>
      <c r="S344" s="296">
        <f>S332/100+0.19</f>
        <v>0.47000000000000003</v>
      </c>
      <c r="T344" s="296">
        <f>T332/100+0.19</f>
        <v>0.51</v>
      </c>
      <c r="U344" s="296"/>
      <c r="V344" s="296"/>
      <c r="W344" s="346"/>
      <c r="X344" s="347"/>
      <c r="Y344" s="36"/>
    </row>
    <row r="345" spans="1:25" ht="14.1" customHeight="1" thickBot="1">
      <c r="A345" s="21">
        <v>57</v>
      </c>
      <c r="B345" s="72"/>
      <c r="C345" s="115"/>
      <c r="D345" s="373" t="s">
        <v>25</v>
      </c>
      <c r="E345" s="374" t="s">
        <v>26</v>
      </c>
      <c r="F345" s="374" t="s">
        <v>27</v>
      </c>
      <c r="G345" s="374" t="s">
        <v>338</v>
      </c>
      <c r="H345" s="375" t="s">
        <v>339</v>
      </c>
      <c r="I345" s="373" t="s">
        <v>25</v>
      </c>
      <c r="J345" s="374" t="s">
        <v>26</v>
      </c>
      <c r="K345" s="374" t="s">
        <v>27</v>
      </c>
      <c r="L345" s="374" t="s">
        <v>338</v>
      </c>
      <c r="M345" s="528" t="s">
        <v>339</v>
      </c>
      <c r="O345" s="34"/>
      <c r="P345" s="298"/>
      <c r="Q345" s="299" t="str">
        <f>IF(Q341="","",IF(AND(Q341&gt;=Q343,Q341&lt;=Q344),"Pass","Fail"))</f>
        <v/>
      </c>
      <c r="R345" s="299" t="str">
        <f>IF(R341="","",IF(AND(R341&gt;=R343,R341&lt;=R344),"Pass","Fail"))</f>
        <v/>
      </c>
      <c r="S345" s="299" t="str">
        <f>IF(S341="","",IF(AND(S341&gt;=S343,S341&lt;=S344),"Pass","Fail"))</f>
        <v/>
      </c>
      <c r="T345" s="299" t="str">
        <f>IF(T341="","",IF(AND(T341&gt;=T343,T341&lt;=T344),"Pass","Fail"))</f>
        <v/>
      </c>
      <c r="U345" s="299" t="str">
        <f>IF(U341="","",IF(U341&gt;=U343,"Pass","Fail"))</f>
        <v/>
      </c>
      <c r="V345" s="299" t="str">
        <f>IF(V341="","",IF(V341&gt;=V343,"Pass","Fail"))</f>
        <v/>
      </c>
      <c r="W345" s="151"/>
      <c r="X345" s="218"/>
      <c r="Y345" s="247"/>
    </row>
    <row r="346" spans="1:25" ht="14.1" customHeight="1" thickBot="1">
      <c r="A346" s="21">
        <v>58</v>
      </c>
      <c r="B346" s="72"/>
      <c r="C346" s="115"/>
      <c r="D346" s="510" t="str">
        <f t="shared" ref="D346:M351" si="64">IF(P308="","",P308)</f>
        <v/>
      </c>
      <c r="E346" s="499" t="str">
        <f t="shared" si="64"/>
        <v/>
      </c>
      <c r="F346" s="499" t="str">
        <f t="shared" si="64"/>
        <v/>
      </c>
      <c r="G346" s="500" t="str">
        <f t="shared" si="64"/>
        <v/>
      </c>
      <c r="H346" s="512" t="str">
        <f t="shared" si="64"/>
        <v/>
      </c>
      <c r="I346" s="515" t="str">
        <f t="shared" si="64"/>
        <v/>
      </c>
      <c r="J346" s="490" t="str">
        <f t="shared" si="64"/>
        <v/>
      </c>
      <c r="K346" s="490" t="str">
        <f t="shared" si="64"/>
        <v/>
      </c>
      <c r="L346" s="491" t="str">
        <f t="shared" si="64"/>
        <v/>
      </c>
      <c r="M346" s="529" t="str">
        <f t="shared" si="64"/>
        <v/>
      </c>
      <c r="O346" s="44"/>
      <c r="P346" s="121" t="s">
        <v>204</v>
      </c>
      <c r="Q346" s="200" t="s">
        <v>362</v>
      </c>
      <c r="R346" s="6"/>
      <c r="S346" s="6"/>
      <c r="T346" s="6"/>
      <c r="U346" s="6"/>
      <c r="V346" s="6"/>
      <c r="W346" s="6"/>
      <c r="X346" s="6"/>
      <c r="Y346" s="46"/>
    </row>
    <row r="347" spans="1:25" ht="14.1" customHeight="1">
      <c r="A347" s="21">
        <v>59</v>
      </c>
      <c r="B347" s="72"/>
      <c r="C347" s="115"/>
      <c r="D347" s="506" t="str">
        <f t="shared" si="64"/>
        <v/>
      </c>
      <c r="E347" s="333" t="str">
        <f t="shared" si="64"/>
        <v/>
      </c>
      <c r="F347" s="333" t="str">
        <f t="shared" si="64"/>
        <v/>
      </c>
      <c r="G347" s="324" t="str">
        <f t="shared" si="64"/>
        <v/>
      </c>
      <c r="H347" s="513" t="str">
        <f t="shared" si="64"/>
        <v/>
      </c>
      <c r="I347" s="506" t="str">
        <f t="shared" si="64"/>
        <v/>
      </c>
      <c r="J347" s="333" t="str">
        <f t="shared" si="64"/>
        <v/>
      </c>
      <c r="K347" s="333" t="str">
        <f t="shared" si="64"/>
        <v/>
      </c>
      <c r="L347" s="324" t="str">
        <f t="shared" si="64"/>
        <v/>
      </c>
      <c r="M347" s="530" t="str">
        <f t="shared" si="64"/>
        <v/>
      </c>
      <c r="O347" s="144" t="s">
        <v>325</v>
      </c>
      <c r="P347" s="27"/>
      <c r="Q347" s="27"/>
      <c r="R347" s="27"/>
      <c r="S347" s="27"/>
      <c r="T347" s="27"/>
      <c r="U347" s="27"/>
      <c r="V347" s="27"/>
      <c r="W347" s="27"/>
      <c r="X347" s="27"/>
      <c r="Y347" s="28"/>
    </row>
    <row r="348" spans="1:25" ht="14.1" customHeight="1">
      <c r="A348" s="21">
        <v>60</v>
      </c>
      <c r="B348" s="72"/>
      <c r="C348" s="115"/>
      <c r="D348" s="506" t="str">
        <f t="shared" si="64"/>
        <v/>
      </c>
      <c r="E348" s="333" t="str">
        <f t="shared" si="64"/>
        <v/>
      </c>
      <c r="F348" s="333" t="str">
        <f t="shared" si="64"/>
        <v/>
      </c>
      <c r="G348" s="324" t="str">
        <f t="shared" si="64"/>
        <v/>
      </c>
      <c r="H348" s="513" t="str">
        <f t="shared" si="64"/>
        <v/>
      </c>
      <c r="I348" s="506" t="str">
        <f t="shared" si="64"/>
        <v/>
      </c>
      <c r="J348" s="333" t="str">
        <f t="shared" si="64"/>
        <v/>
      </c>
      <c r="K348" s="333" t="str">
        <f t="shared" si="64"/>
        <v/>
      </c>
      <c r="L348" s="324" t="str">
        <f t="shared" si="64"/>
        <v/>
      </c>
      <c r="M348" s="530" t="str">
        <f t="shared" si="64"/>
        <v/>
      </c>
      <c r="O348" s="300" t="s">
        <v>326</v>
      </c>
      <c r="P348" s="39" t="s">
        <v>44</v>
      </c>
      <c r="Q348" s="278"/>
      <c r="R348" s="39" t="s">
        <v>340</v>
      </c>
      <c r="S348" s="278"/>
      <c r="U348" s="39" t="s">
        <v>363</v>
      </c>
      <c r="V348" s="278"/>
      <c r="Y348" s="36"/>
    </row>
    <row r="349" spans="1:25" ht="14.1" customHeight="1" thickBot="1">
      <c r="A349" s="21">
        <v>61</v>
      </c>
      <c r="B349" s="72"/>
      <c r="C349" s="115"/>
      <c r="D349" s="508" t="str">
        <f t="shared" si="64"/>
        <v/>
      </c>
      <c r="E349" s="497" t="str">
        <f t="shared" si="64"/>
        <v/>
      </c>
      <c r="F349" s="497" t="str">
        <f t="shared" si="64"/>
        <v/>
      </c>
      <c r="G349" s="498" t="str">
        <f t="shared" si="64"/>
        <v/>
      </c>
      <c r="H349" s="514" t="str">
        <f t="shared" si="64"/>
        <v/>
      </c>
      <c r="I349" s="508" t="str">
        <f t="shared" si="64"/>
        <v/>
      </c>
      <c r="J349" s="497" t="str">
        <f t="shared" si="64"/>
        <v/>
      </c>
      <c r="K349" s="497" t="str">
        <f t="shared" si="64"/>
        <v/>
      </c>
      <c r="L349" s="498" t="str">
        <f t="shared" si="64"/>
        <v/>
      </c>
      <c r="M349" s="531" t="str">
        <f t="shared" si="64"/>
        <v/>
      </c>
      <c r="O349" s="34"/>
      <c r="Y349" s="36"/>
    </row>
    <row r="350" spans="1:25" ht="14.1" customHeight="1">
      <c r="A350" s="21">
        <v>62</v>
      </c>
      <c r="B350" s="72"/>
      <c r="C350" s="171" t="s">
        <v>210</v>
      </c>
      <c r="D350" s="510" t="str">
        <f t="shared" si="64"/>
        <v/>
      </c>
      <c r="E350" s="499" t="str">
        <f t="shared" si="64"/>
        <v/>
      </c>
      <c r="F350" s="499" t="str">
        <f t="shared" si="64"/>
        <v/>
      </c>
      <c r="G350" s="500" t="str">
        <f t="shared" si="64"/>
        <v/>
      </c>
      <c r="H350" s="512" t="str">
        <f t="shared" si="64"/>
        <v/>
      </c>
      <c r="I350" s="510" t="str">
        <f t="shared" si="64"/>
        <v/>
      </c>
      <c r="J350" s="499" t="str">
        <f t="shared" si="64"/>
        <v/>
      </c>
      <c r="K350" s="499" t="str">
        <f t="shared" si="64"/>
        <v/>
      </c>
      <c r="L350" s="500" t="str">
        <f t="shared" si="64"/>
        <v/>
      </c>
      <c r="M350" s="532" t="str">
        <f t="shared" si="64"/>
        <v/>
      </c>
      <c r="O350" s="34"/>
      <c r="P350" s="39"/>
      <c r="R350" s="25" t="s">
        <v>322</v>
      </c>
      <c r="V350" s="25" t="s">
        <v>322</v>
      </c>
      <c r="Y350" s="36"/>
    </row>
    <row r="351" spans="1:25" ht="14.1" customHeight="1">
      <c r="A351" s="21">
        <v>63</v>
      </c>
      <c r="B351" s="72"/>
      <c r="C351" s="171" t="s">
        <v>344</v>
      </c>
      <c r="D351" s="506" t="str">
        <f t="shared" si="64"/>
        <v/>
      </c>
      <c r="E351" s="333" t="str">
        <f t="shared" si="64"/>
        <v/>
      </c>
      <c r="F351" s="333" t="str">
        <f t="shared" si="64"/>
        <v/>
      </c>
      <c r="G351" s="324" t="str">
        <f t="shared" si="64"/>
        <v/>
      </c>
      <c r="H351" s="513" t="str">
        <f t="shared" si="64"/>
        <v/>
      </c>
      <c r="I351" s="506" t="str">
        <f t="shared" si="64"/>
        <v/>
      </c>
      <c r="J351" s="333" t="str">
        <f t="shared" si="64"/>
        <v/>
      </c>
      <c r="K351" s="333" t="str">
        <f t="shared" si="64"/>
        <v/>
      </c>
      <c r="L351" s="324" t="str">
        <f t="shared" si="64"/>
        <v/>
      </c>
      <c r="M351" s="530" t="str">
        <f t="shared" si="64"/>
        <v/>
      </c>
      <c r="O351" s="34"/>
      <c r="P351" s="39" t="s">
        <v>173</v>
      </c>
      <c r="Q351" s="153"/>
      <c r="R351" s="130" t="str">
        <f t="shared" ref="R351:R356" si="65">IF(AB91="","",AB91)</f>
        <v/>
      </c>
      <c r="T351" s="39" t="s">
        <v>187</v>
      </c>
      <c r="U351" s="153"/>
      <c r="V351" s="130" t="str">
        <f>IF(AB97="","",AB97)</f>
        <v/>
      </c>
      <c r="Y351" s="36"/>
    </row>
    <row r="352" spans="1:25" ht="14.1" customHeight="1" thickBot="1">
      <c r="A352" s="21">
        <v>64</v>
      </c>
      <c r="B352" s="72"/>
      <c r="C352" s="363" t="s">
        <v>274</v>
      </c>
      <c r="D352" s="458" t="str">
        <f>IF(P314="","",P314)</f>
        <v/>
      </c>
      <c r="E352" s="526"/>
      <c r="F352" s="459" t="str">
        <f>IF(R314="","",R314)</f>
        <v/>
      </c>
      <c r="G352" s="459" t="str">
        <f>IF(S314="","",S314)</f>
        <v/>
      </c>
      <c r="H352" s="525"/>
      <c r="I352" s="458" t="str">
        <f>IF(U314="","",U314)</f>
        <v/>
      </c>
      <c r="J352" s="526"/>
      <c r="K352" s="459" t="str">
        <f>IF(W314="","",W314)</f>
        <v/>
      </c>
      <c r="L352" s="459" t="str">
        <f>IF(X314="","",X314)</f>
        <v/>
      </c>
      <c r="M352" s="533"/>
      <c r="O352" s="34"/>
      <c r="P352" s="39" t="s">
        <v>176</v>
      </c>
      <c r="Q352" s="153"/>
      <c r="R352" s="130" t="str">
        <f t="shared" si="65"/>
        <v/>
      </c>
      <c r="T352" s="39" t="s">
        <v>189</v>
      </c>
      <c r="U352" s="153"/>
      <c r="V352" s="130" t="str">
        <f>IF(AB98="","",AB98)</f>
        <v/>
      </c>
      <c r="Y352" s="36"/>
    </row>
    <row r="353" spans="1:25" ht="14.1" customHeight="1" thickBot="1">
      <c r="A353" s="21">
        <v>65</v>
      </c>
      <c r="B353" s="72"/>
      <c r="C353" s="171"/>
      <c r="D353" s="379"/>
      <c r="E353" s="379"/>
      <c r="F353" s="379"/>
      <c r="G353" s="524" t="s">
        <v>547</v>
      </c>
      <c r="H353" s="424" t="str">
        <f>IF(H350="","",IF(H350&gt;7,"Pass","Fail"))</f>
        <v/>
      </c>
      <c r="I353" s="73"/>
      <c r="J353" s="73"/>
      <c r="K353" s="73"/>
      <c r="L353" s="171" t="s">
        <v>548</v>
      </c>
      <c r="M353" s="534" t="str">
        <f>IF(M350="","",IF(M350&gt;2,"Pass","Fail"))</f>
        <v/>
      </c>
      <c r="O353" s="34"/>
      <c r="P353" s="39" t="s">
        <v>332</v>
      </c>
      <c r="Q353" s="153"/>
      <c r="R353" s="130" t="str">
        <f t="shared" si="65"/>
        <v/>
      </c>
      <c r="T353" s="39" t="s">
        <v>191</v>
      </c>
      <c r="U353" s="153"/>
      <c r="V353" s="130" t="str">
        <f>IF(AB99="","",AB99)</f>
        <v/>
      </c>
      <c r="Y353" s="36"/>
    </row>
    <row r="354" spans="1:25" ht="14.1" customHeight="1" thickBot="1">
      <c r="A354" s="21">
        <v>66</v>
      </c>
      <c r="B354" s="72"/>
      <c r="C354" s="171"/>
      <c r="D354" s="73"/>
      <c r="E354" s="73"/>
      <c r="F354" s="115"/>
      <c r="G354" s="115"/>
      <c r="H354" s="73"/>
      <c r="I354" s="73"/>
      <c r="J354" s="73"/>
      <c r="K354" s="73"/>
      <c r="L354" s="73"/>
      <c r="M354" s="74"/>
      <c r="O354" s="34"/>
      <c r="P354" s="39" t="s">
        <v>182</v>
      </c>
      <c r="Q354" s="153"/>
      <c r="R354" s="130" t="str">
        <f t="shared" si="65"/>
        <v/>
      </c>
      <c r="T354" s="39" t="s">
        <v>218</v>
      </c>
      <c r="U354" s="152" t="str">
        <f>IF(OR(U351="",U352="",U353=""),"",IF(AND(U351&gt;=5,U352&gt;=4,U353&gt;=4),"Pass","Fail"))</f>
        <v/>
      </c>
      <c r="Y354" s="36"/>
    </row>
    <row r="355" spans="1:25" ht="14.1" customHeight="1">
      <c r="A355" s="21">
        <v>67</v>
      </c>
      <c r="B355" s="72"/>
      <c r="C355" s="73"/>
      <c r="D355" s="5" t="s">
        <v>204</v>
      </c>
      <c r="E355" s="109" t="s">
        <v>347</v>
      </c>
      <c r="F355" s="73"/>
      <c r="G355" s="73"/>
      <c r="H355" s="73"/>
      <c r="I355" s="73"/>
      <c r="J355" s="73"/>
      <c r="K355" s="73"/>
      <c r="L355" s="73"/>
      <c r="M355" s="74"/>
      <c r="O355" s="34"/>
      <c r="P355" s="39" t="s">
        <v>184</v>
      </c>
      <c r="Q355" s="153"/>
      <c r="R355" s="130" t="str">
        <f t="shared" si="65"/>
        <v/>
      </c>
      <c r="T355" s="121" t="s">
        <v>204</v>
      </c>
      <c r="U355" s="146" t="s">
        <v>364</v>
      </c>
      <c r="Y355" s="36"/>
    </row>
    <row r="356" spans="1:25" ht="14.1" customHeight="1">
      <c r="A356" s="21">
        <v>68</v>
      </c>
      <c r="B356" s="72"/>
      <c r="C356" s="73"/>
      <c r="D356" s="73"/>
      <c r="E356" s="109" t="s">
        <v>348</v>
      </c>
      <c r="F356" s="73"/>
      <c r="G356" s="73"/>
      <c r="H356" s="73"/>
      <c r="I356" s="73"/>
      <c r="J356" s="73"/>
      <c r="K356" s="73"/>
      <c r="L356" s="73"/>
      <c r="M356" s="74"/>
      <c r="O356" s="34"/>
      <c r="P356" s="39" t="s">
        <v>185</v>
      </c>
      <c r="Q356" s="20" t="str">
        <f>IF(OR(Q354="",Q355=""),"",Q355-Q354)</f>
        <v/>
      </c>
      <c r="R356" s="130" t="str">
        <f t="shared" si="65"/>
        <v/>
      </c>
      <c r="Y356" s="36"/>
    </row>
    <row r="357" spans="1:25" ht="14.1" customHeight="1">
      <c r="A357" s="21">
        <v>69</v>
      </c>
      <c r="B357" s="72"/>
      <c r="C357" s="73"/>
      <c r="D357" s="73"/>
      <c r="E357" s="109" t="s">
        <v>349</v>
      </c>
      <c r="F357" s="73"/>
      <c r="G357" s="73"/>
      <c r="H357" s="73"/>
      <c r="I357" s="73"/>
      <c r="J357" s="73"/>
      <c r="K357" s="73"/>
      <c r="L357" s="73"/>
      <c r="M357" s="74"/>
      <c r="O357" s="34"/>
      <c r="Y357" s="36"/>
    </row>
    <row r="358" spans="1:25" ht="14.1" customHeight="1" thickBot="1">
      <c r="A358" s="21">
        <v>70</v>
      </c>
      <c r="B358" s="85"/>
      <c r="C358" s="86"/>
      <c r="D358" s="86"/>
      <c r="E358" s="86"/>
      <c r="F358" s="86"/>
      <c r="G358" s="86"/>
      <c r="H358" s="86"/>
      <c r="I358" s="86"/>
      <c r="J358" s="86"/>
      <c r="K358" s="86"/>
      <c r="L358" s="86"/>
      <c r="M358" s="87"/>
      <c r="O358" s="300" t="s">
        <v>365</v>
      </c>
      <c r="Y358" s="36"/>
    </row>
    <row r="359" spans="1:25" ht="14.1" customHeight="1" thickTop="1">
      <c r="A359" s="21">
        <v>71</v>
      </c>
      <c r="C359" s="117" t="s">
        <v>11</v>
      </c>
      <c r="D359" s="422" t="str">
        <f>IF($P$7="","",$P$7)</f>
        <v/>
      </c>
      <c r="E359" s="31"/>
      <c r="F359" s="31"/>
      <c r="G359" s="31"/>
      <c r="H359" s="31"/>
      <c r="I359" s="31"/>
      <c r="J359" s="31"/>
      <c r="K359" s="31"/>
      <c r="L359" s="117" t="s">
        <v>12</v>
      </c>
      <c r="M359" s="423" t="str">
        <f>IF($X$7="","",$X$7)</f>
        <v>Eugene Mah</v>
      </c>
      <c r="O359" s="34"/>
      <c r="Q359" s="39" t="s">
        <v>330</v>
      </c>
      <c r="R359" s="278"/>
      <c r="U359" s="39" t="s">
        <v>330</v>
      </c>
      <c r="V359" s="278"/>
      <c r="Y359" s="36"/>
    </row>
    <row r="360" spans="1:25" ht="14.1" customHeight="1">
      <c r="A360" s="21">
        <v>72</v>
      </c>
      <c r="C360" s="117" t="s">
        <v>121</v>
      </c>
      <c r="D360" s="548" t="str">
        <f>IF($R$14="","",$R$14)</f>
        <v/>
      </c>
      <c r="E360" s="31"/>
      <c r="F360" s="31"/>
      <c r="G360" s="31"/>
      <c r="H360" s="31"/>
      <c r="I360" s="31"/>
      <c r="J360" s="31"/>
      <c r="K360" s="31"/>
      <c r="L360" s="117" t="s">
        <v>37</v>
      </c>
      <c r="M360" s="548" t="str">
        <f>IF($R$13="","",$R$13)</f>
        <v/>
      </c>
      <c r="O360" s="34"/>
      <c r="Q360" s="607" t="s">
        <v>254</v>
      </c>
      <c r="R360" s="607" t="s">
        <v>255</v>
      </c>
      <c r="U360" s="607" t="s">
        <v>254</v>
      </c>
      <c r="V360" s="607" t="s">
        <v>255</v>
      </c>
      <c r="Y360" s="36"/>
    </row>
    <row r="361" spans="1:25" ht="14.1" customHeight="1">
      <c r="A361" s="21">
        <v>1</v>
      </c>
      <c r="B361" s="73"/>
      <c r="C361" s="73"/>
      <c r="D361" s="73"/>
      <c r="E361" s="73"/>
      <c r="F361" s="73"/>
      <c r="G361" s="73"/>
      <c r="H361" s="73"/>
      <c r="I361" s="73"/>
      <c r="J361" s="73"/>
      <c r="K361" s="73"/>
      <c r="L361" s="73"/>
      <c r="M361" s="689" t="str">
        <f>$H$2</f>
        <v>Medical University of South Carolina</v>
      </c>
      <c r="O361" s="170"/>
      <c r="P361" s="39" t="s">
        <v>187</v>
      </c>
      <c r="Q361" s="153"/>
      <c r="R361" s="153"/>
      <c r="T361" s="39" t="s">
        <v>187</v>
      </c>
      <c r="U361" s="153"/>
      <c r="V361" s="153"/>
      <c r="Y361" s="36"/>
    </row>
    <row r="362" spans="1:25" ht="14.1" customHeight="1" thickBot="1">
      <c r="A362" s="21">
        <v>2</v>
      </c>
      <c r="B362" s="86"/>
      <c r="C362" s="86"/>
      <c r="D362" s="86"/>
      <c r="E362" s="86"/>
      <c r="F362" s="86"/>
      <c r="G362" s="86"/>
      <c r="H362" s="690" t="s">
        <v>73</v>
      </c>
      <c r="I362" s="86"/>
      <c r="J362" s="86"/>
      <c r="K362" s="86"/>
      <c r="L362" s="86"/>
      <c r="M362" s="691" t="str">
        <f>$H$5</f>
        <v>Mammography System Compliance Inspection</v>
      </c>
      <c r="O362" s="170"/>
      <c r="P362" s="39" t="s">
        <v>189</v>
      </c>
      <c r="Q362" s="153"/>
      <c r="R362" s="153"/>
      <c r="T362" s="39" t="s">
        <v>189</v>
      </c>
      <c r="U362" s="153"/>
      <c r="V362" s="153"/>
      <c r="Y362" s="36"/>
    </row>
    <row r="363" spans="1:25" ht="14.1" customHeight="1" thickTop="1">
      <c r="A363" s="21">
        <v>3</v>
      </c>
      <c r="B363" s="72"/>
      <c r="C363" s="154" t="s">
        <v>350</v>
      </c>
      <c r="D363" s="73"/>
      <c r="E363" s="73"/>
      <c r="F363" s="73"/>
      <c r="G363" s="73"/>
      <c r="H363" s="73"/>
      <c r="I363" s="73"/>
      <c r="J363" s="73"/>
      <c r="K363" s="73"/>
      <c r="L363" s="73"/>
      <c r="M363" s="74"/>
      <c r="O363" s="170"/>
      <c r="P363" s="39" t="s">
        <v>191</v>
      </c>
      <c r="Q363" s="153"/>
      <c r="R363" s="153"/>
      <c r="T363" s="39" t="s">
        <v>191</v>
      </c>
      <c r="U363" s="153"/>
      <c r="V363" s="153"/>
      <c r="Y363" s="36"/>
    </row>
    <row r="364" spans="1:25" ht="14.1" customHeight="1">
      <c r="A364" s="21">
        <v>4</v>
      </c>
      <c r="B364" s="72"/>
      <c r="C364" s="171" t="s">
        <v>51</v>
      </c>
      <c r="D364" s="148" t="str">
        <f>IF(Q320="","",Q320)</f>
        <v>Mo/Mo</v>
      </c>
      <c r="E364" s="171" t="s">
        <v>54</v>
      </c>
      <c r="F364" s="148">
        <f>IF(S320="","",S320)</f>
        <v>28</v>
      </c>
      <c r="G364" s="73"/>
      <c r="H364" s="73"/>
      <c r="I364" s="73"/>
      <c r="J364" s="73"/>
      <c r="K364" s="73"/>
      <c r="L364" s="73"/>
      <c r="M364" s="74"/>
      <c r="O364" s="34"/>
      <c r="Y364" s="36"/>
    </row>
    <row r="365" spans="1:25" ht="14.1" customHeight="1" thickBot="1">
      <c r="A365" s="21">
        <v>5</v>
      </c>
      <c r="B365" s="72"/>
      <c r="C365" s="73"/>
      <c r="D365" s="115"/>
      <c r="E365" s="73"/>
      <c r="F365" s="73"/>
      <c r="G365" s="73"/>
      <c r="H365" s="73"/>
      <c r="I365" s="73"/>
      <c r="J365" s="73"/>
      <c r="K365" s="73"/>
      <c r="L365" s="73"/>
      <c r="M365" s="74"/>
      <c r="O365" s="300" t="s">
        <v>366</v>
      </c>
      <c r="Q365" s="6"/>
      <c r="R365" s="39" t="s">
        <v>367</v>
      </c>
      <c r="S365" s="695">
        <f>Q265</f>
        <v>0</v>
      </c>
      <c r="Y365" s="36"/>
    </row>
    <row r="366" spans="1:25" ht="14.1" customHeight="1" thickBot="1">
      <c r="A366" s="21">
        <v>6</v>
      </c>
      <c r="B366" s="72"/>
      <c r="C366" s="283" t="s">
        <v>354</v>
      </c>
      <c r="D366" s="283" t="s">
        <v>25</v>
      </c>
      <c r="E366" s="283" t="s">
        <v>345</v>
      </c>
      <c r="F366" s="283" t="s">
        <v>338</v>
      </c>
      <c r="G366" s="283" t="s">
        <v>339</v>
      </c>
      <c r="H366" s="73"/>
      <c r="I366" s="424" t="str">
        <f>IF(F371="","",IF(F371&lt;=0.1,"Pass","Fail"))</f>
        <v/>
      </c>
      <c r="J366" s="73" t="s">
        <v>549</v>
      </c>
      <c r="K366" s="73"/>
      <c r="L366" s="73"/>
      <c r="M366" s="74"/>
      <c r="O366" s="34"/>
      <c r="P366" s="39" t="s">
        <v>71</v>
      </c>
      <c r="Q366" s="301" t="s">
        <v>237</v>
      </c>
      <c r="R366" s="301" t="s">
        <v>262</v>
      </c>
      <c r="S366" s="301" t="s">
        <v>238</v>
      </c>
      <c r="T366" s="39" t="s">
        <v>322</v>
      </c>
      <c r="U366" s="39" t="s">
        <v>71</v>
      </c>
      <c r="V366" s="301" t="s">
        <v>237</v>
      </c>
      <c r="W366" s="301" t="s">
        <v>262</v>
      </c>
      <c r="X366" s="301" t="s">
        <v>238</v>
      </c>
      <c r="Y366" s="36"/>
    </row>
    <row r="367" spans="1:25" ht="14.1" customHeight="1" thickBot="1">
      <c r="A367" s="21">
        <v>7</v>
      </c>
      <c r="B367" s="72"/>
      <c r="C367" s="15">
        <f t="shared" ref="C367:D370" si="66">IF(P322="","",P322)</f>
        <v>20</v>
      </c>
      <c r="D367" s="16" t="str">
        <f t="shared" si="66"/>
        <v/>
      </c>
      <c r="E367" s="16" t="str">
        <f t="shared" ref="E367:G370" si="67">IF(S322="","",S322)</f>
        <v/>
      </c>
      <c r="F367" s="17" t="str">
        <f t="shared" si="67"/>
        <v/>
      </c>
      <c r="G367" s="16" t="str">
        <f t="shared" si="67"/>
        <v/>
      </c>
      <c r="H367" s="73"/>
      <c r="I367" s="424" t="str">
        <f>IF(O328="","",IF(O328=1,"Pass","Fail"))</f>
        <v/>
      </c>
      <c r="J367" s="73" t="s">
        <v>550</v>
      </c>
      <c r="K367" s="73"/>
      <c r="L367" s="73"/>
      <c r="M367" s="74"/>
      <c r="O367" s="34"/>
      <c r="P367" s="39" t="s">
        <v>269</v>
      </c>
      <c r="Q367" s="302"/>
      <c r="R367" s="303"/>
      <c r="S367" s="304"/>
      <c r="T367" s="6"/>
      <c r="U367" s="39" t="s">
        <v>269</v>
      </c>
      <c r="V367" s="305" t="str">
        <f>IF(AB101="","",AB101)</f>
        <v/>
      </c>
      <c r="W367" s="306" t="str">
        <f>IF(AB106="","",AB106)</f>
        <v/>
      </c>
      <c r="X367" s="307" t="str">
        <f>IF(AB111="","",AB111)</f>
        <v/>
      </c>
      <c r="Y367" s="36"/>
    </row>
    <row r="368" spans="1:25" ht="14.1" customHeight="1">
      <c r="A368" s="21">
        <v>8</v>
      </c>
      <c r="B368" s="72"/>
      <c r="C368" s="15">
        <f t="shared" si="66"/>
        <v>50</v>
      </c>
      <c r="D368" s="16" t="str">
        <f t="shared" si="66"/>
        <v/>
      </c>
      <c r="E368" s="16" t="str">
        <f t="shared" si="67"/>
        <v/>
      </c>
      <c r="F368" s="17" t="str">
        <f t="shared" si="67"/>
        <v/>
      </c>
      <c r="G368" s="16" t="str">
        <f t="shared" si="67"/>
        <v/>
      </c>
      <c r="H368" s="73"/>
      <c r="I368" s="73"/>
      <c r="J368" s="73"/>
      <c r="K368" s="73"/>
      <c r="L368" s="73"/>
      <c r="M368" s="74"/>
      <c r="O368" s="34"/>
      <c r="P368" s="39" t="s">
        <v>72</v>
      </c>
      <c r="Q368" s="308"/>
      <c r="R368" s="309"/>
      <c r="S368" s="310"/>
      <c r="T368" s="6"/>
      <c r="U368" s="39" t="s">
        <v>72</v>
      </c>
      <c r="V368" s="311" t="str">
        <f>IF(AB102="","",AB102)</f>
        <v/>
      </c>
      <c r="W368" s="312" t="str">
        <f>IF(AB107="","",AB107)</f>
        <v/>
      </c>
      <c r="X368" s="313" t="str">
        <f>IF(AB112="","",AB112)</f>
        <v/>
      </c>
      <c r="Y368" s="36"/>
    </row>
    <row r="369" spans="1:25" ht="14.1" customHeight="1">
      <c r="A369" s="21">
        <v>9</v>
      </c>
      <c r="B369" s="72"/>
      <c r="C369" s="15">
        <f t="shared" si="66"/>
        <v>100</v>
      </c>
      <c r="D369" s="16" t="str">
        <f t="shared" si="66"/>
        <v/>
      </c>
      <c r="E369" s="16" t="str">
        <f t="shared" si="67"/>
        <v/>
      </c>
      <c r="F369" s="17" t="str">
        <f t="shared" si="67"/>
        <v/>
      </c>
      <c r="G369" s="16" t="str">
        <f t="shared" si="67"/>
        <v/>
      </c>
      <c r="H369" s="73"/>
      <c r="I369" s="73"/>
      <c r="J369" s="73"/>
      <c r="K369" s="73"/>
      <c r="L369" s="73"/>
      <c r="M369" s="74"/>
      <c r="O369" s="34"/>
      <c r="P369" s="39" t="s">
        <v>368</v>
      </c>
      <c r="Q369" s="308"/>
      <c r="R369" s="309"/>
      <c r="S369" s="310"/>
      <c r="T369" s="6"/>
      <c r="U369" s="39" t="s">
        <v>368</v>
      </c>
      <c r="V369" s="311" t="str">
        <f>IF(AB103="","",AB103)</f>
        <v/>
      </c>
      <c r="W369" s="312" t="str">
        <f>IF(AB108="","",AB108)</f>
        <v/>
      </c>
      <c r="X369" s="313" t="str">
        <f>IF(AB113="","",AB113)</f>
        <v/>
      </c>
      <c r="Y369" s="36"/>
    </row>
    <row r="370" spans="1:25" ht="14.1" customHeight="1" thickBot="1">
      <c r="A370" s="21">
        <v>10</v>
      </c>
      <c r="B370" s="72"/>
      <c r="C370" s="15">
        <f t="shared" si="66"/>
        <v>320</v>
      </c>
      <c r="D370" s="16" t="str">
        <f t="shared" si="66"/>
        <v/>
      </c>
      <c r="E370" s="16" t="str">
        <f t="shared" si="67"/>
        <v/>
      </c>
      <c r="F370" s="17" t="str">
        <f t="shared" si="67"/>
        <v/>
      </c>
      <c r="G370" s="16" t="str">
        <f t="shared" si="67"/>
        <v/>
      </c>
      <c r="H370" s="73"/>
      <c r="I370" s="73"/>
      <c r="J370" s="73"/>
      <c r="K370" s="73"/>
      <c r="L370" s="73"/>
      <c r="M370" s="74"/>
      <c r="O370" s="34"/>
      <c r="P370" s="39" t="s">
        <v>369</v>
      </c>
      <c r="Q370" s="308"/>
      <c r="R370" s="309"/>
      <c r="S370" s="310"/>
      <c r="T370" s="6"/>
      <c r="U370" s="39" t="s">
        <v>369</v>
      </c>
      <c r="V370" s="311" t="str">
        <f>IF(AB104="","",AB104)</f>
        <v/>
      </c>
      <c r="W370" s="312" t="str">
        <f>IF(AB109="","",AB109)</f>
        <v/>
      </c>
      <c r="X370" s="313" t="str">
        <f>IF(AB114="","",AB114)</f>
        <v/>
      </c>
      <c r="Y370" s="36"/>
    </row>
    <row r="371" spans="1:25" ht="14.1" customHeight="1" thickBot="1">
      <c r="A371" s="21">
        <v>11</v>
      </c>
      <c r="B371" s="72"/>
      <c r="C371" s="73"/>
      <c r="D371" s="73"/>
      <c r="E371" s="171" t="s">
        <v>351</v>
      </c>
      <c r="F371" s="292" t="str">
        <f>IF(T326="","",T326)</f>
        <v/>
      </c>
      <c r="G371" s="73"/>
      <c r="H371" s="73"/>
      <c r="I371" s="73"/>
      <c r="J371" s="73"/>
      <c r="K371" s="73"/>
      <c r="L371" s="73"/>
      <c r="M371" s="74"/>
      <c r="O371" s="34"/>
      <c r="P371" s="39" t="s">
        <v>370</v>
      </c>
      <c r="Q371" s="308"/>
      <c r="R371" s="309"/>
      <c r="S371" s="310"/>
      <c r="T371" s="6"/>
      <c r="U371" s="39" t="s">
        <v>370</v>
      </c>
      <c r="V371" s="311" t="str">
        <f>IF(AB105="","",AB105)</f>
        <v/>
      </c>
      <c r="W371" s="312" t="str">
        <f>IF(AB110="","",AB110)</f>
        <v/>
      </c>
      <c r="X371" s="313" t="str">
        <f>IF(AB115="","",AB115)</f>
        <v/>
      </c>
      <c r="Y371" s="36"/>
    </row>
    <row r="372" spans="1:25" ht="14.1" customHeight="1">
      <c r="A372" s="21">
        <v>12</v>
      </c>
      <c r="B372" s="72"/>
      <c r="C372" s="73"/>
      <c r="D372" s="5" t="s">
        <v>204</v>
      </c>
      <c r="E372" s="109" t="s">
        <v>352</v>
      </c>
      <c r="F372" s="73"/>
      <c r="G372" s="73"/>
      <c r="H372" s="73"/>
      <c r="I372" s="73"/>
      <c r="J372" s="73"/>
      <c r="K372" s="73"/>
      <c r="L372" s="73"/>
      <c r="M372" s="74"/>
      <c r="O372" s="34"/>
      <c r="P372" s="314"/>
      <c r="Q372" s="4" t="str">
        <f>IF(Q369="","",IF(AND(Q369&gt;=5,Q370&gt;=4,Q371&gt;=4),"Pass","Fail"))</f>
        <v/>
      </c>
      <c r="R372" s="4" t="str">
        <f>IF(R369="","",IF(AND(R369&gt;=5,R370&gt;=4,R371&gt;=4),"Pass","Fail"))</f>
        <v/>
      </c>
      <c r="S372" s="4" t="str">
        <f>IF(S369="","",IF(AND(S369&gt;=5,S370&gt;=4,S371&gt;=4),"Pass","Fail"))</f>
        <v/>
      </c>
      <c r="T372" s="6"/>
      <c r="U372" s="6"/>
      <c r="V372" s="6"/>
      <c r="Y372" s="36"/>
    </row>
    <row r="373" spans="1:25" ht="14.1" customHeight="1" thickBot="1">
      <c r="A373" s="21">
        <v>13</v>
      </c>
      <c r="B373" s="72"/>
      <c r="C373" s="154" t="s">
        <v>355</v>
      </c>
      <c r="D373" s="73"/>
      <c r="E373" s="73"/>
      <c r="F373" s="73"/>
      <c r="G373" s="73"/>
      <c r="H373" s="73"/>
      <c r="I373" s="73"/>
      <c r="J373" s="73"/>
      <c r="K373" s="73"/>
      <c r="L373" s="73"/>
      <c r="M373" s="74"/>
      <c r="O373" s="44"/>
      <c r="P373" s="315" t="s">
        <v>204</v>
      </c>
      <c r="Q373" s="316" t="s">
        <v>371</v>
      </c>
      <c r="R373" s="201"/>
      <c r="S373" s="201"/>
      <c r="T373" s="45"/>
      <c r="U373" s="45"/>
      <c r="V373" s="45"/>
      <c r="W373" s="45"/>
      <c r="X373" s="45"/>
      <c r="Y373" s="46"/>
    </row>
    <row r="374" spans="1:25" ht="14.1" customHeight="1">
      <c r="A374" s="21">
        <v>14</v>
      </c>
      <c r="B374" s="72"/>
      <c r="C374" s="466" t="s">
        <v>71</v>
      </c>
      <c r="D374" s="467" t="str">
        <f t="shared" ref="D374:I374" si="68">Q331</f>
        <v>Mo/Mo</v>
      </c>
      <c r="E374" s="467" t="str">
        <f t="shared" si="68"/>
        <v>Mo/Mo</v>
      </c>
      <c r="F374" s="467" t="str">
        <f t="shared" si="68"/>
        <v>Mo/Rh</v>
      </c>
      <c r="G374" s="467" t="str">
        <f t="shared" si="68"/>
        <v>Mo/Rh</v>
      </c>
      <c r="H374" s="467" t="str">
        <f t="shared" si="68"/>
        <v>W/Rh</v>
      </c>
      <c r="I374" s="468" t="str">
        <f t="shared" si="68"/>
        <v>W/Rh</v>
      </c>
      <c r="J374" s="73"/>
      <c r="K374" s="73"/>
      <c r="L374" s="73"/>
      <c r="M374" s="74"/>
      <c r="O374" s="147" t="s">
        <v>372</v>
      </c>
      <c r="Y374" s="36"/>
    </row>
    <row r="375" spans="1:25" ht="14.1" customHeight="1">
      <c r="A375" s="21">
        <v>15</v>
      </c>
      <c r="B375" s="72"/>
      <c r="C375" s="384" t="s">
        <v>25</v>
      </c>
      <c r="D375" s="381" t="str">
        <f>IF(OR(Q341="",Q332=""),"",Q332)</f>
        <v/>
      </c>
      <c r="E375" s="333" t="str">
        <f t="shared" ref="E375:I375" si="69">IF(OR(R341="",R332=""),"",R332)</f>
        <v/>
      </c>
      <c r="F375" s="333" t="str">
        <f t="shared" si="69"/>
        <v/>
      </c>
      <c r="G375" s="333" t="str">
        <f t="shared" si="69"/>
        <v/>
      </c>
      <c r="H375" s="333" t="str">
        <f t="shared" si="69"/>
        <v/>
      </c>
      <c r="I375" s="507" t="str">
        <f t="shared" si="69"/>
        <v/>
      </c>
      <c r="J375" s="73"/>
      <c r="K375" s="73"/>
      <c r="L375" s="73"/>
      <c r="M375" s="74"/>
      <c r="O375" s="34"/>
      <c r="T375" s="25" t="s">
        <v>373</v>
      </c>
      <c r="U375" s="25" t="s">
        <v>374</v>
      </c>
      <c r="Y375" s="36"/>
    </row>
    <row r="376" spans="1:25" ht="14.1" customHeight="1">
      <c r="A376" s="21">
        <v>16</v>
      </c>
      <c r="B376" s="72"/>
      <c r="C376" s="471" t="s">
        <v>452</v>
      </c>
      <c r="D376" s="333" t="str">
        <f t="shared" ref="D376:I377" si="70">IF(Q341="","",Q341)</f>
        <v/>
      </c>
      <c r="E376" s="333" t="str">
        <f t="shared" si="70"/>
        <v/>
      </c>
      <c r="F376" s="333" t="str">
        <f t="shared" si="70"/>
        <v/>
      </c>
      <c r="G376" s="333" t="str">
        <f t="shared" si="70"/>
        <v/>
      </c>
      <c r="H376" s="333" t="str">
        <f t="shared" si="70"/>
        <v/>
      </c>
      <c r="I376" s="507" t="str">
        <f t="shared" si="70"/>
        <v/>
      </c>
      <c r="J376" s="73"/>
      <c r="K376" s="73"/>
      <c r="L376" s="73"/>
      <c r="M376" s="74"/>
      <c r="O376" s="34"/>
      <c r="P376" s="39" t="s">
        <v>173</v>
      </c>
      <c r="Q376" s="145"/>
      <c r="R376" s="39"/>
      <c r="S376" s="39" t="s">
        <v>375</v>
      </c>
      <c r="T376" s="153"/>
      <c r="U376" s="153"/>
      <c r="Y376" s="36"/>
    </row>
    <row r="377" spans="1:25" ht="14.1" customHeight="1">
      <c r="A377" s="21">
        <v>17</v>
      </c>
      <c r="B377" s="72"/>
      <c r="C377" s="471" t="s">
        <v>551</v>
      </c>
      <c r="D377" s="19" t="str">
        <f t="shared" si="70"/>
        <v/>
      </c>
      <c r="E377" s="19" t="str">
        <f t="shared" si="70"/>
        <v/>
      </c>
      <c r="F377" s="19" t="str">
        <f t="shared" si="70"/>
        <v/>
      </c>
      <c r="G377" s="19" t="str">
        <f t="shared" si="70"/>
        <v/>
      </c>
      <c r="H377" s="19" t="str">
        <f t="shared" si="70"/>
        <v/>
      </c>
      <c r="I377" s="469" t="str">
        <f t="shared" si="70"/>
        <v/>
      </c>
      <c r="J377" s="73"/>
      <c r="K377" s="73"/>
      <c r="L377" s="73"/>
      <c r="M377" s="74"/>
      <c r="O377" s="34"/>
      <c r="P377" s="39" t="s">
        <v>176</v>
      </c>
      <c r="Q377" s="145"/>
      <c r="R377" s="39"/>
      <c r="S377" s="39" t="s">
        <v>376</v>
      </c>
      <c r="T377" s="153"/>
      <c r="U377" s="153"/>
      <c r="Y377" s="36"/>
    </row>
    <row r="378" spans="1:25" ht="14.1" customHeight="1">
      <c r="A378" s="21">
        <v>18</v>
      </c>
      <c r="B378" s="72"/>
      <c r="C378" s="384" t="s">
        <v>360</v>
      </c>
      <c r="D378" s="333">
        <f t="shared" ref="D378:I380" si="71">Q343</f>
        <v>0.31000000000000005</v>
      </c>
      <c r="E378" s="333">
        <f t="shared" si="71"/>
        <v>0.35</v>
      </c>
      <c r="F378" s="333">
        <f t="shared" si="71"/>
        <v>0.31000000000000005</v>
      </c>
      <c r="G378" s="333">
        <f t="shared" si="71"/>
        <v>0.35</v>
      </c>
      <c r="H378" s="333">
        <f t="shared" si="71"/>
        <v>0.28000000000000003</v>
      </c>
      <c r="I378" s="507">
        <f t="shared" si="71"/>
        <v>0.32</v>
      </c>
      <c r="J378" s="73"/>
      <c r="K378" s="73"/>
      <c r="L378" s="73"/>
      <c r="M378" s="74"/>
      <c r="O378" s="34"/>
      <c r="P378" s="39" t="s">
        <v>51</v>
      </c>
      <c r="Q378" s="278"/>
      <c r="Y378" s="36"/>
    </row>
    <row r="379" spans="1:25" ht="14.1" customHeight="1" thickBot="1">
      <c r="A379" s="21">
        <v>19</v>
      </c>
      <c r="B379" s="72"/>
      <c r="C379" s="536" t="s">
        <v>361</v>
      </c>
      <c r="D379" s="497">
        <f t="shared" si="71"/>
        <v>0.4</v>
      </c>
      <c r="E379" s="497">
        <f t="shared" si="71"/>
        <v>0.44</v>
      </c>
      <c r="F379" s="497">
        <f t="shared" si="71"/>
        <v>0.47000000000000003</v>
      </c>
      <c r="G379" s="497">
        <f t="shared" si="71"/>
        <v>0.51</v>
      </c>
      <c r="H379" s="497"/>
      <c r="I379" s="509"/>
      <c r="J379" s="73"/>
      <c r="K379" s="73"/>
      <c r="L379" s="73"/>
      <c r="M379" s="74"/>
      <c r="O379" s="34"/>
      <c r="P379" s="39" t="s">
        <v>54</v>
      </c>
      <c r="Q379" s="278"/>
      <c r="T379" s="14" t="s">
        <v>321</v>
      </c>
      <c r="U379" s="14" t="s">
        <v>322</v>
      </c>
      <c r="V379" s="14" t="s">
        <v>290</v>
      </c>
      <c r="W379" s="14" t="s">
        <v>377</v>
      </c>
      <c r="X379" s="14" t="s">
        <v>291</v>
      </c>
      <c r="Y379" s="36"/>
    </row>
    <row r="380" spans="1:25" ht="14.1" customHeight="1" thickBot="1">
      <c r="A380" s="21">
        <v>20</v>
      </c>
      <c r="B380" s="72"/>
      <c r="C380" s="73"/>
      <c r="D380" s="535" t="str">
        <f t="shared" si="71"/>
        <v/>
      </c>
      <c r="E380" s="535" t="str">
        <f t="shared" si="71"/>
        <v/>
      </c>
      <c r="F380" s="535" t="str">
        <f t="shared" si="71"/>
        <v/>
      </c>
      <c r="G380" s="535" t="str">
        <f t="shared" si="71"/>
        <v/>
      </c>
      <c r="H380" s="535" t="str">
        <f>U345</f>
        <v/>
      </c>
      <c r="I380" s="535" t="str">
        <f>V345</f>
        <v/>
      </c>
      <c r="J380" s="73"/>
      <c r="K380" s="73"/>
      <c r="L380" s="73"/>
      <c r="M380" s="74"/>
      <c r="O380" s="34"/>
      <c r="S380" s="25" t="s">
        <v>198</v>
      </c>
      <c r="T380" s="263" t="str">
        <f>IF(OR(T377="",U377=""),"",(T377-50)/U377)</f>
        <v/>
      </c>
      <c r="U380" s="130" t="str">
        <f>IF(AB116="","",AB116)</f>
        <v/>
      </c>
      <c r="V380" s="264" t="str">
        <f>IF(OR(T380="",W380=""),"",(T380-W380)/W380)</f>
        <v/>
      </c>
      <c r="W380" s="317"/>
      <c r="X380" s="265" t="str">
        <f>IF(T380="","",IF(AND(T380&gt;=40,ABS(V380)&lt;=0.15),"Pass","Fail"))</f>
        <v/>
      </c>
      <c r="Y380" s="36"/>
    </row>
    <row r="381" spans="1:25" ht="14.1" customHeight="1">
      <c r="A381" s="21">
        <v>21</v>
      </c>
      <c r="B381" s="72"/>
      <c r="C381" s="73"/>
      <c r="D381" s="5" t="s">
        <v>204</v>
      </c>
      <c r="E381" s="484" t="s">
        <v>362</v>
      </c>
      <c r="F381" s="73"/>
      <c r="G381" s="73"/>
      <c r="H381" s="73"/>
      <c r="I381" s="73"/>
      <c r="J381" s="73"/>
      <c r="K381" s="73"/>
      <c r="L381" s="73"/>
      <c r="M381" s="74"/>
      <c r="O381" s="34"/>
      <c r="S381" s="25" t="s">
        <v>199</v>
      </c>
      <c r="T381" s="263" t="str">
        <f>IF(OR(T377="",T376=""),"",(T377-T376)/U377)</f>
        <v/>
      </c>
      <c r="U381" s="130" t="str">
        <f>IF(AB117="","",AB117)</f>
        <v/>
      </c>
      <c r="V381" s="264" t="str">
        <f>IF(OR(T381="",W381=""),"",(T381-W381)/W381)</f>
        <v/>
      </c>
      <c r="W381" s="317"/>
      <c r="X381" s="20" t="str">
        <f>IF(T381="","",IF(AND(T381&gt;=2,ABS(V381)&lt;=0.15),"Pass","Fail"))</f>
        <v/>
      </c>
      <c r="Y381" s="36"/>
    </row>
    <row r="382" spans="1:25" ht="14.1" customHeight="1">
      <c r="A382" s="21">
        <v>22</v>
      </c>
      <c r="B382" s="72"/>
      <c r="C382" s="73"/>
      <c r="D382" s="73"/>
      <c r="E382" s="73"/>
      <c r="F382" s="73"/>
      <c r="G382" s="73"/>
      <c r="H382" s="73"/>
      <c r="I382" s="73"/>
      <c r="J382" s="73"/>
      <c r="K382" s="73"/>
      <c r="L382" s="73"/>
      <c r="M382" s="74"/>
      <c r="O382" s="34"/>
      <c r="P382" s="121" t="s">
        <v>204</v>
      </c>
      <c r="Q382" s="109" t="s">
        <v>378</v>
      </c>
      <c r="R382" s="73"/>
      <c r="S382" s="73"/>
      <c r="T382" s="73"/>
      <c r="U382" s="73"/>
      <c r="V382" s="73"/>
      <c r="W382" s="73"/>
      <c r="X382" s="73"/>
      <c r="Y382" s="36"/>
    </row>
    <row r="383" spans="1:25" ht="14.1" customHeight="1">
      <c r="A383" s="21">
        <v>23</v>
      </c>
      <c r="B383" s="72"/>
      <c r="C383" s="154" t="s">
        <v>320</v>
      </c>
      <c r="D383" s="73"/>
      <c r="E383" s="73"/>
      <c r="F383" s="73"/>
      <c r="G383" s="73"/>
      <c r="H383" s="73"/>
      <c r="I383" s="73"/>
      <c r="J383" s="73"/>
      <c r="K383" s="73"/>
      <c r="L383" s="73"/>
      <c r="M383" s="74"/>
      <c r="O383" s="34"/>
      <c r="Q383" s="146" t="s">
        <v>379</v>
      </c>
      <c r="Y383" s="36"/>
    </row>
    <row r="384" spans="1:25" ht="14.1" customHeight="1" thickBot="1">
      <c r="A384" s="21">
        <v>24</v>
      </c>
      <c r="B384" s="72"/>
      <c r="C384" s="73"/>
      <c r="D384" s="171" t="s">
        <v>173</v>
      </c>
      <c r="E384" s="148" t="str">
        <f>IF(Q376="","",Q376)</f>
        <v/>
      </c>
      <c r="F384" s="73"/>
      <c r="G384" s="73"/>
      <c r="H384" s="73" t="s">
        <v>321</v>
      </c>
      <c r="I384" s="73" t="s">
        <v>322</v>
      </c>
      <c r="J384" s="73" t="s">
        <v>290</v>
      </c>
      <c r="K384" s="73" t="s">
        <v>291</v>
      </c>
      <c r="L384" s="73"/>
      <c r="M384" s="74"/>
      <c r="O384" s="44"/>
      <c r="P384" s="45"/>
      <c r="Q384" s="45"/>
      <c r="R384" s="45"/>
      <c r="S384" s="45"/>
      <c r="T384" s="45"/>
      <c r="U384" s="45"/>
      <c r="V384" s="45"/>
      <c r="W384" s="45"/>
      <c r="X384" s="45"/>
      <c r="Y384" s="46"/>
    </row>
    <row r="385" spans="1:25" ht="14.1" customHeight="1" thickBot="1">
      <c r="A385" s="21">
        <v>25</v>
      </c>
      <c r="B385" s="72"/>
      <c r="C385" s="73"/>
      <c r="D385" s="171" t="s">
        <v>176</v>
      </c>
      <c r="E385" s="148" t="str">
        <f>IF(Q377="","",Q377)</f>
        <v/>
      </c>
      <c r="F385" s="73"/>
      <c r="G385" s="171" t="s">
        <v>198</v>
      </c>
      <c r="H385" s="537" t="str">
        <f t="shared" ref="H385:J386" si="72">IF(T380="","",T380)</f>
        <v/>
      </c>
      <c r="I385" s="426" t="str">
        <f t="shared" si="72"/>
        <v/>
      </c>
      <c r="J385" s="539" t="str">
        <f t="shared" si="72"/>
        <v/>
      </c>
      <c r="K385" s="540" t="str">
        <f>IF(X380="","",X380)</f>
        <v/>
      </c>
      <c r="L385" s="73"/>
      <c r="M385" s="74"/>
      <c r="O385" s="546"/>
      <c r="P385" s="377"/>
    </row>
    <row r="386" spans="1:25" ht="14.1" customHeight="1" thickBot="1">
      <c r="A386" s="21">
        <v>26</v>
      </c>
      <c r="B386" s="72"/>
      <c r="C386" s="73"/>
      <c r="D386" s="171" t="s">
        <v>51</v>
      </c>
      <c r="E386" s="148" t="str">
        <f>IF(Q378="","",Q378)</f>
        <v/>
      </c>
      <c r="F386" s="73"/>
      <c r="G386" s="171" t="s">
        <v>199</v>
      </c>
      <c r="H386" s="538" t="str">
        <f t="shared" si="72"/>
        <v/>
      </c>
      <c r="I386" s="431" t="str">
        <f t="shared" si="72"/>
        <v/>
      </c>
      <c r="J386" s="541" t="str">
        <f t="shared" si="72"/>
        <v/>
      </c>
      <c r="K386" s="483" t="str">
        <f>IF(X381="","",X381)</f>
        <v/>
      </c>
      <c r="L386" s="73"/>
      <c r="M386" s="74"/>
      <c r="O386" s="550"/>
      <c r="P386" s="550"/>
      <c r="Q386" s="550"/>
      <c r="R386" s="550"/>
      <c r="S386" s="550"/>
      <c r="T386" s="551" t="s">
        <v>558</v>
      </c>
      <c r="U386" s="550"/>
      <c r="V386" s="550"/>
      <c r="W386" s="550"/>
      <c r="X386" s="550"/>
      <c r="Y386" s="550"/>
    </row>
    <row r="387" spans="1:25" ht="14.1" customHeight="1" thickBot="1">
      <c r="A387" s="21">
        <v>27</v>
      </c>
      <c r="B387" s="72"/>
      <c r="C387" s="73"/>
      <c r="D387" s="171" t="s">
        <v>54</v>
      </c>
      <c r="E387" s="148" t="str">
        <f>IF(Q379="","",Q379)</f>
        <v/>
      </c>
      <c r="F387" s="73"/>
      <c r="G387" s="73"/>
      <c r="H387" s="73"/>
      <c r="I387" s="73"/>
      <c r="J387" s="73"/>
      <c r="K387" s="73"/>
      <c r="L387" s="73"/>
      <c r="M387" s="74"/>
      <c r="O387" s="550"/>
      <c r="P387" s="552" t="s">
        <v>559</v>
      </c>
      <c r="Q387" s="550"/>
      <c r="R387" s="550"/>
      <c r="S387" s="550"/>
      <c r="T387" s="550"/>
      <c r="U387" s="550"/>
      <c r="V387" s="550"/>
      <c r="W387" s="550"/>
      <c r="X387" s="550"/>
      <c r="Y387" s="550"/>
    </row>
    <row r="388" spans="1:25" ht="14.1" customHeight="1" thickTop="1">
      <c r="A388" s="21">
        <v>28</v>
      </c>
      <c r="B388" s="72"/>
      <c r="C388" s="73"/>
      <c r="D388" s="5" t="s">
        <v>204</v>
      </c>
      <c r="E388" s="109" t="s">
        <v>323</v>
      </c>
      <c r="F388" s="73"/>
      <c r="G388" s="73"/>
      <c r="H388" s="73"/>
      <c r="I388" s="73"/>
      <c r="J388" s="73"/>
      <c r="K388" s="73"/>
      <c r="L388" s="73"/>
      <c r="M388" s="74"/>
      <c r="O388" s="553"/>
      <c r="P388" s="554"/>
      <c r="Q388" s="554"/>
      <c r="R388" s="555"/>
      <c r="S388" s="556" t="s">
        <v>560</v>
      </c>
      <c r="T388" s="554"/>
      <c r="U388" s="554"/>
      <c r="V388" s="554"/>
      <c r="W388" s="554"/>
      <c r="X388" s="554"/>
      <c r="Y388" s="557"/>
    </row>
    <row r="389" spans="1:25" ht="14.1" customHeight="1">
      <c r="A389" s="21">
        <v>29</v>
      </c>
      <c r="B389" s="72"/>
      <c r="C389" s="73"/>
      <c r="D389" s="73"/>
      <c r="E389" s="109" t="s">
        <v>324</v>
      </c>
      <c r="F389" s="73"/>
      <c r="G389" s="73"/>
      <c r="H389" s="73"/>
      <c r="I389" s="73"/>
      <c r="J389" s="73"/>
      <c r="K389" s="73"/>
      <c r="L389" s="73"/>
      <c r="M389" s="74"/>
      <c r="O389" s="558"/>
      <c r="P389" s="559" t="s">
        <v>224</v>
      </c>
      <c r="Q389" s="560"/>
      <c r="R389" s="561"/>
      <c r="S389" s="601" t="str">
        <f>IF(OR(AD720=0,AD720=""),"",AD720)</f>
        <v/>
      </c>
      <c r="T389" s="562"/>
      <c r="U389" s="562"/>
      <c r="V389" s="562"/>
      <c r="W389" s="562"/>
      <c r="X389" s="562"/>
      <c r="Y389" s="563"/>
    </row>
    <row r="390" spans="1:25" ht="14.1" customHeight="1">
      <c r="A390" s="21">
        <v>30</v>
      </c>
      <c r="B390" s="72"/>
      <c r="C390" s="73"/>
      <c r="D390" s="73"/>
      <c r="E390" s="73"/>
      <c r="F390" s="73"/>
      <c r="G390" s="73"/>
      <c r="H390" s="73"/>
      <c r="I390" s="73"/>
      <c r="J390" s="73"/>
      <c r="K390" s="73"/>
      <c r="L390" s="73"/>
      <c r="M390" s="74"/>
      <c r="O390" s="564"/>
      <c r="P390" s="565" t="s">
        <v>561</v>
      </c>
      <c r="Q390" s="566"/>
      <c r="R390" s="567">
        <f>LEN(Q389)</f>
        <v>0</v>
      </c>
      <c r="S390" s="602"/>
      <c r="T390" s="568">
        <f>LEN(S389)</f>
        <v>0</v>
      </c>
      <c r="U390" s="569"/>
      <c r="V390" s="570"/>
      <c r="W390" s="570"/>
      <c r="X390" s="570"/>
      <c r="Y390" s="571"/>
    </row>
    <row r="391" spans="1:25" ht="14.1" customHeight="1">
      <c r="A391" s="21">
        <v>31</v>
      </c>
      <c r="B391" s="72"/>
      <c r="C391" s="154" t="s">
        <v>325</v>
      </c>
      <c r="D391" s="73"/>
      <c r="E391" s="73"/>
      <c r="F391" s="73"/>
      <c r="G391" s="73"/>
      <c r="H391" s="73"/>
      <c r="I391" s="73"/>
      <c r="J391" s="73"/>
      <c r="K391" s="73"/>
      <c r="L391" s="73"/>
      <c r="M391" s="74"/>
      <c r="O391" s="564"/>
      <c r="P391" s="559" t="s">
        <v>562</v>
      </c>
      <c r="Q391" s="560"/>
      <c r="R391" s="561"/>
      <c r="S391" s="601" t="str">
        <f>IF(OR(AD722=0,AD722=""),"",AD722)</f>
        <v/>
      </c>
      <c r="T391" s="562"/>
      <c r="U391" s="562"/>
      <c r="V391" s="562"/>
      <c r="W391" s="562"/>
      <c r="X391" s="562"/>
      <c r="Y391" s="563"/>
    </row>
    <row r="392" spans="1:25" ht="14.1" customHeight="1" thickBot="1">
      <c r="A392" s="21">
        <v>32</v>
      </c>
      <c r="B392" s="72"/>
      <c r="C392" s="73"/>
      <c r="D392" s="549" t="s">
        <v>326</v>
      </c>
      <c r="E392" s="549"/>
      <c r="F392" s="378"/>
      <c r="G392" s="378"/>
      <c r="H392" s="549" t="s">
        <v>327</v>
      </c>
      <c r="I392" s="549"/>
      <c r="J392" s="73"/>
      <c r="K392" s="378"/>
      <c r="L392" s="356" t="s">
        <v>328</v>
      </c>
      <c r="M392" s="356"/>
      <c r="O392" s="564"/>
      <c r="P392" s="565" t="s">
        <v>561</v>
      </c>
      <c r="Q392" s="566"/>
      <c r="R392" s="567">
        <f>LEN(Q391)</f>
        <v>0</v>
      </c>
      <c r="S392" s="602"/>
      <c r="T392" s="568">
        <f>LEN(S391)</f>
        <v>0</v>
      </c>
      <c r="U392" s="569"/>
      <c r="V392" s="562"/>
      <c r="W392" s="562"/>
      <c r="X392" s="562"/>
      <c r="Y392" s="563"/>
    </row>
    <row r="393" spans="1:25" ht="14.1" customHeight="1">
      <c r="A393" s="21">
        <v>33</v>
      </c>
      <c r="B393" s="72"/>
      <c r="C393" s="378"/>
      <c r="D393" s="171" t="s">
        <v>173</v>
      </c>
      <c r="E393" s="542" t="str">
        <f t="shared" ref="E393:E398" si="73">IF(Q351="","",Q351)</f>
        <v/>
      </c>
      <c r="F393" s="378"/>
      <c r="G393" s="171" t="s">
        <v>71</v>
      </c>
      <c r="H393" s="384" t="str">
        <f>IF(Q366="","",Q366)</f>
        <v>Mo/Mo</v>
      </c>
      <c r="I393" s="323" t="str">
        <f t="shared" ref="I393:J398" si="74">IF(R366="","",R366)</f>
        <v>Mo/Rh</v>
      </c>
      <c r="J393" s="385" t="str">
        <f t="shared" si="74"/>
        <v>W/Rh</v>
      </c>
      <c r="K393" s="378"/>
      <c r="L393" s="115" t="s">
        <v>254</v>
      </c>
      <c r="M393" s="274" t="s">
        <v>255</v>
      </c>
      <c r="O393" s="572"/>
      <c r="P393" s="559" t="s">
        <v>562</v>
      </c>
      <c r="Q393" s="560"/>
      <c r="R393" s="561"/>
      <c r="S393" s="601" t="str">
        <f>IF(OR(AD724=0,AD724=""),"",AD724)</f>
        <v/>
      </c>
      <c r="T393" s="570"/>
      <c r="U393" s="570"/>
      <c r="V393" s="570"/>
      <c r="W393" s="570"/>
      <c r="X393" s="570"/>
      <c r="Y393" s="571"/>
    </row>
    <row r="394" spans="1:25" ht="14.1" customHeight="1" thickBot="1">
      <c r="A394" s="21">
        <v>34</v>
      </c>
      <c r="B394" s="72"/>
      <c r="C394" s="378"/>
      <c r="D394" s="171" t="s">
        <v>176</v>
      </c>
      <c r="E394" s="543" t="str">
        <f t="shared" si="73"/>
        <v/>
      </c>
      <c r="F394" s="378"/>
      <c r="G394" s="171" t="s">
        <v>173</v>
      </c>
      <c r="H394" s="384" t="str">
        <f t="shared" ref="H394:H398" si="75">IF(Q367="","",Q367)</f>
        <v/>
      </c>
      <c r="I394" s="323" t="str">
        <f t="shared" si="74"/>
        <v/>
      </c>
      <c r="J394" s="385" t="str">
        <f t="shared" si="74"/>
        <v/>
      </c>
      <c r="K394" s="378"/>
      <c r="L394" s="171" t="s">
        <v>330</v>
      </c>
      <c r="M394" s="276" t="str">
        <f>IF(R359="","",R359)</f>
        <v/>
      </c>
      <c r="O394" s="564"/>
      <c r="P394" s="565" t="s">
        <v>561</v>
      </c>
      <c r="Q394" s="566"/>
      <c r="R394" s="567">
        <f>LEN(Q393)</f>
        <v>0</v>
      </c>
      <c r="S394" s="602"/>
      <c r="T394" s="568">
        <f>LEN(S393)</f>
        <v>0</v>
      </c>
      <c r="U394" s="569"/>
      <c r="V394" s="562"/>
      <c r="W394" s="562"/>
      <c r="X394" s="562"/>
      <c r="Y394" s="563"/>
    </row>
    <row r="395" spans="1:25" ht="14.1" customHeight="1">
      <c r="A395" s="21">
        <v>35</v>
      </c>
      <c r="B395" s="72"/>
      <c r="C395" s="378"/>
      <c r="D395" s="171" t="s">
        <v>332</v>
      </c>
      <c r="E395" s="543" t="str">
        <f t="shared" si="73"/>
        <v/>
      </c>
      <c r="F395" s="378"/>
      <c r="G395" s="171" t="s">
        <v>176</v>
      </c>
      <c r="H395" s="384" t="str">
        <f t="shared" si="75"/>
        <v/>
      </c>
      <c r="I395" s="323" t="str">
        <f t="shared" si="74"/>
        <v/>
      </c>
      <c r="J395" s="385" t="str">
        <f t="shared" si="74"/>
        <v/>
      </c>
      <c r="K395" s="171" t="s">
        <v>187</v>
      </c>
      <c r="L395" s="213" t="str">
        <f t="shared" ref="L395:M397" si="76">IF(Q361="","",Q361)</f>
        <v/>
      </c>
      <c r="M395" s="277" t="str">
        <f t="shared" si="76"/>
        <v/>
      </c>
      <c r="O395" s="564"/>
      <c r="P395" s="559" t="s">
        <v>562</v>
      </c>
      <c r="Q395" s="560"/>
      <c r="R395" s="561"/>
      <c r="S395" s="601" t="str">
        <f>IF(OR(AD726=0,AD726=""),"",AD726)</f>
        <v/>
      </c>
      <c r="T395" s="562"/>
      <c r="U395" s="562"/>
      <c r="V395" s="562"/>
      <c r="W395" s="562"/>
      <c r="X395" s="562"/>
      <c r="Y395" s="563"/>
    </row>
    <row r="396" spans="1:25" ht="14.1" customHeight="1">
      <c r="A396" s="21">
        <v>36</v>
      </c>
      <c r="B396" s="72"/>
      <c r="C396" s="378"/>
      <c r="D396" s="171" t="s">
        <v>182</v>
      </c>
      <c r="E396" s="543" t="str">
        <f t="shared" si="73"/>
        <v/>
      </c>
      <c r="F396" s="378"/>
      <c r="G396" s="171" t="s">
        <v>187</v>
      </c>
      <c r="H396" s="384" t="str">
        <f t="shared" si="75"/>
        <v/>
      </c>
      <c r="I396" s="323" t="str">
        <f t="shared" si="74"/>
        <v/>
      </c>
      <c r="J396" s="385" t="str">
        <f t="shared" si="74"/>
        <v/>
      </c>
      <c r="K396" s="171" t="s">
        <v>189</v>
      </c>
      <c r="L396" s="215" t="str">
        <f t="shared" si="76"/>
        <v/>
      </c>
      <c r="M396" s="279" t="str">
        <f t="shared" si="76"/>
        <v/>
      </c>
      <c r="O396" s="572"/>
      <c r="P396" s="565" t="s">
        <v>561</v>
      </c>
      <c r="Q396" s="566"/>
      <c r="R396" s="567">
        <f>LEN(Q395)</f>
        <v>0</v>
      </c>
      <c r="S396" s="602"/>
      <c r="T396" s="568">
        <f>LEN(S395)</f>
        <v>0</v>
      </c>
      <c r="U396" s="569"/>
      <c r="V396" s="570"/>
      <c r="W396" s="570"/>
      <c r="X396" s="570"/>
      <c r="Y396" s="571"/>
    </row>
    <row r="397" spans="1:25" ht="14.1" customHeight="1" thickBot="1">
      <c r="A397" s="21">
        <v>37</v>
      </c>
      <c r="B397" s="72"/>
      <c r="C397" s="378"/>
      <c r="D397" s="171" t="s">
        <v>184</v>
      </c>
      <c r="E397" s="543" t="str">
        <f t="shared" si="73"/>
        <v/>
      </c>
      <c r="F397" s="378"/>
      <c r="G397" s="171" t="s">
        <v>189</v>
      </c>
      <c r="H397" s="434" t="str">
        <f t="shared" si="75"/>
        <v/>
      </c>
      <c r="I397" s="496" t="str">
        <f t="shared" si="74"/>
        <v/>
      </c>
      <c r="J397" s="435" t="str">
        <f t="shared" si="74"/>
        <v/>
      </c>
      <c r="K397" s="171" t="s">
        <v>191</v>
      </c>
      <c r="L397" s="216" t="str">
        <f t="shared" si="76"/>
        <v/>
      </c>
      <c r="M397" s="280" t="str">
        <f t="shared" si="76"/>
        <v/>
      </c>
      <c r="O397" s="564"/>
      <c r="P397" s="559" t="s">
        <v>562</v>
      </c>
      <c r="Q397" s="560"/>
      <c r="R397" s="561"/>
      <c r="S397" s="601" t="str">
        <f>IF(OR(AD728=0,AD728=""),"",AD728)</f>
        <v/>
      </c>
      <c r="T397" s="562"/>
      <c r="U397" s="562"/>
      <c r="V397" s="562"/>
      <c r="W397" s="562"/>
      <c r="X397" s="562"/>
      <c r="Y397" s="563"/>
    </row>
    <row r="398" spans="1:25" ht="14.1" customHeight="1" thickBot="1">
      <c r="A398" s="21">
        <v>38</v>
      </c>
      <c r="B398" s="72"/>
      <c r="C398" s="378"/>
      <c r="D398" s="171" t="s">
        <v>185</v>
      </c>
      <c r="E398" s="543" t="str">
        <f t="shared" si="73"/>
        <v/>
      </c>
      <c r="F398" s="378"/>
      <c r="G398" s="171" t="s">
        <v>191</v>
      </c>
      <c r="H398" s="696" t="str">
        <f t="shared" si="75"/>
        <v/>
      </c>
      <c r="I398" s="697" t="str">
        <f t="shared" si="74"/>
        <v/>
      </c>
      <c r="J398" s="698" t="str">
        <f t="shared" si="74"/>
        <v/>
      </c>
      <c r="K398" s="378"/>
      <c r="L398" s="171" t="s">
        <v>330</v>
      </c>
      <c r="M398" s="276" t="str">
        <f>IF(V359="","",V359)</f>
        <v/>
      </c>
      <c r="O398" s="564"/>
      <c r="P398" s="565" t="s">
        <v>561</v>
      </c>
      <c r="Q398" s="566"/>
      <c r="R398" s="567">
        <f>LEN(Q397)</f>
        <v>0</v>
      </c>
      <c r="S398" s="602"/>
      <c r="T398" s="568">
        <f>LEN(S397)</f>
        <v>0</v>
      </c>
      <c r="U398" s="569"/>
      <c r="V398" s="562"/>
      <c r="W398" s="562"/>
      <c r="X398" s="562"/>
      <c r="Y398" s="563"/>
    </row>
    <row r="399" spans="1:25" ht="14.1" customHeight="1" thickBot="1">
      <c r="A399" s="21">
        <v>39</v>
      </c>
      <c r="B399" s="72"/>
      <c r="C399" s="73"/>
      <c r="D399" s="171" t="s">
        <v>187</v>
      </c>
      <c r="E399" s="543" t="str">
        <f>IF(U351="","",U351)</f>
        <v/>
      </c>
      <c r="F399" s="378"/>
      <c r="G399" s="171"/>
      <c r="H399" s="502" t="str">
        <f t="shared" ref="H399:J399" si="77">Q372</f>
        <v/>
      </c>
      <c r="I399" s="476" t="str">
        <f t="shared" si="77"/>
        <v/>
      </c>
      <c r="J399" s="699" t="str">
        <f t="shared" si="77"/>
        <v/>
      </c>
      <c r="K399" s="171" t="s">
        <v>187</v>
      </c>
      <c r="L399" s="213" t="str">
        <f t="shared" ref="L399:M401" si="78">IF(U361="","",U361)</f>
        <v/>
      </c>
      <c r="M399" s="277" t="str">
        <f t="shared" si="78"/>
        <v/>
      </c>
      <c r="O399" s="572"/>
      <c r="P399" s="559" t="s">
        <v>562</v>
      </c>
      <c r="Q399" s="560"/>
      <c r="R399" s="561"/>
      <c r="S399" s="601" t="str">
        <f>IF(OR(AD730=0,AD730=""),"",AD730)</f>
        <v/>
      </c>
      <c r="T399" s="570"/>
      <c r="U399" s="570"/>
      <c r="V399" s="570"/>
      <c r="W399" s="570"/>
      <c r="X399" s="570"/>
      <c r="Y399" s="571"/>
    </row>
    <row r="400" spans="1:25" ht="14.1" customHeight="1">
      <c r="A400" s="21">
        <v>40</v>
      </c>
      <c r="B400" s="72"/>
      <c r="C400" s="73"/>
      <c r="D400" s="171" t="s">
        <v>189</v>
      </c>
      <c r="E400" s="543" t="str">
        <f>IF(U352="","",U352)</f>
        <v/>
      </c>
      <c r="F400" s="73"/>
      <c r="G400" s="73"/>
      <c r="H400" s="73"/>
      <c r="I400" s="115"/>
      <c r="J400" s="115"/>
      <c r="K400" s="171" t="s">
        <v>189</v>
      </c>
      <c r="L400" s="215" t="str">
        <f t="shared" si="78"/>
        <v/>
      </c>
      <c r="M400" s="279" t="str">
        <f t="shared" si="78"/>
        <v/>
      </c>
      <c r="O400" s="564"/>
      <c r="P400" s="565" t="s">
        <v>561</v>
      </c>
      <c r="Q400" s="585"/>
      <c r="R400" s="586">
        <f>LEN(Q399)</f>
        <v>0</v>
      </c>
      <c r="S400" s="603"/>
      <c r="T400" s="587">
        <f>LEN(S399)</f>
        <v>0</v>
      </c>
      <c r="U400" s="588"/>
      <c r="V400" s="575"/>
      <c r="W400" s="575"/>
      <c r="X400" s="575"/>
      <c r="Y400" s="563"/>
    </row>
    <row r="401" spans="1:25" ht="14.1" customHeight="1" thickBot="1">
      <c r="A401" s="21">
        <v>41</v>
      </c>
      <c r="B401" s="72"/>
      <c r="C401" s="73"/>
      <c r="D401" s="171" t="s">
        <v>191</v>
      </c>
      <c r="E401" s="544" t="str">
        <f>IF(U353="","",U353)</f>
        <v/>
      </c>
      <c r="F401" s="73"/>
      <c r="G401" s="73"/>
      <c r="H401" s="73"/>
      <c r="I401" s="73"/>
      <c r="J401" s="73"/>
      <c r="K401" s="171" t="s">
        <v>191</v>
      </c>
      <c r="L401" s="216" t="str">
        <f t="shared" si="78"/>
        <v/>
      </c>
      <c r="M401" s="280" t="str">
        <f t="shared" si="78"/>
        <v/>
      </c>
      <c r="O401" s="564"/>
      <c r="P401" s="559" t="s">
        <v>562</v>
      </c>
      <c r="Q401" s="560"/>
      <c r="R401" s="561"/>
      <c r="S401" s="601" t="str">
        <f>IF(OR(AD732=0,AD732=""),"",AD732)</f>
        <v/>
      </c>
      <c r="T401" s="570"/>
      <c r="U401" s="570"/>
      <c r="V401" s="570"/>
      <c r="W401" s="570"/>
      <c r="X401" s="570"/>
      <c r="Y401" s="563"/>
    </row>
    <row r="402" spans="1:25" ht="14.1" customHeight="1">
      <c r="A402" s="21">
        <v>42</v>
      </c>
      <c r="B402" s="72"/>
      <c r="C402" s="73"/>
      <c r="D402" s="73"/>
      <c r="E402" s="73"/>
      <c r="F402" s="73"/>
      <c r="G402" s="73"/>
      <c r="H402" s="73"/>
      <c r="I402" s="73"/>
      <c r="J402" s="73"/>
      <c r="K402" s="73"/>
      <c r="L402" s="73"/>
      <c r="M402" s="74"/>
      <c r="O402" s="572"/>
      <c r="P402" s="565" t="s">
        <v>561</v>
      </c>
      <c r="Q402" s="585"/>
      <c r="R402" s="586">
        <f>LEN(Q401)</f>
        <v>0</v>
      </c>
      <c r="S402" s="603"/>
      <c r="T402" s="587">
        <f>LEN(S401)</f>
        <v>0</v>
      </c>
      <c r="U402" s="588"/>
      <c r="V402" s="575"/>
      <c r="W402" s="575"/>
      <c r="X402" s="575"/>
      <c r="Y402" s="571"/>
    </row>
    <row r="403" spans="1:25" ht="14.1" customHeight="1">
      <c r="A403" s="21">
        <v>43</v>
      </c>
      <c r="B403" s="72"/>
      <c r="C403" s="73"/>
      <c r="D403" s="5" t="s">
        <v>204</v>
      </c>
      <c r="E403" s="12" t="s">
        <v>371</v>
      </c>
      <c r="F403" s="73"/>
      <c r="G403" s="73"/>
      <c r="H403" s="73"/>
      <c r="I403" s="73"/>
      <c r="J403" s="73"/>
      <c r="K403" s="73"/>
      <c r="L403" s="73"/>
      <c r="M403" s="74"/>
      <c r="O403" s="564"/>
      <c r="P403" s="559" t="s">
        <v>562</v>
      </c>
      <c r="Q403" s="560"/>
      <c r="R403" s="561"/>
      <c r="S403" s="601" t="str">
        <f>IF(OR(AD734=0,AD734=""),"",AD734)</f>
        <v/>
      </c>
      <c r="T403" s="570"/>
      <c r="U403" s="570"/>
      <c r="V403" s="570"/>
      <c r="W403" s="570"/>
      <c r="X403" s="570"/>
      <c r="Y403" s="563"/>
    </row>
    <row r="404" spans="1:25" ht="14.1" customHeight="1">
      <c r="A404" s="21">
        <v>44</v>
      </c>
      <c r="B404" s="72"/>
      <c r="C404" s="73"/>
      <c r="D404" s="73"/>
      <c r="E404" s="73"/>
      <c r="F404" s="73"/>
      <c r="G404" s="73"/>
      <c r="H404" s="73"/>
      <c r="I404" s="73"/>
      <c r="J404" s="73"/>
      <c r="K404" s="73"/>
      <c r="L404" s="73"/>
      <c r="M404" s="74"/>
      <c r="O404" s="564"/>
      <c r="P404" s="565" t="s">
        <v>561</v>
      </c>
      <c r="Q404" s="585"/>
      <c r="R404" s="586">
        <f>LEN(Q403)</f>
        <v>0</v>
      </c>
      <c r="S404" s="603"/>
      <c r="T404" s="587">
        <f>LEN(S403)</f>
        <v>0</v>
      </c>
      <c r="U404" s="588"/>
      <c r="V404" s="575"/>
      <c r="W404" s="575"/>
      <c r="X404" s="575"/>
      <c r="Y404" s="563"/>
    </row>
    <row r="405" spans="1:25" ht="14.1" customHeight="1">
      <c r="A405" s="21">
        <v>45</v>
      </c>
      <c r="B405" s="72"/>
      <c r="C405" s="606" t="s">
        <v>224</v>
      </c>
      <c r="D405" s="692" t="str">
        <f>IF(Q389="","",IF(LEN(Q389)&lt;=135,Q389,IF(LEN(Q389)&lt;=260,LEFT(Q389,SEARCH(" ",Q389,125)),LEFT(Q389,SEARCH(" ",Q389,130)))))</f>
        <v/>
      </c>
      <c r="E405" s="582"/>
      <c r="F405" s="582"/>
      <c r="G405" s="582"/>
      <c r="H405" s="582"/>
      <c r="I405" s="582"/>
      <c r="J405" s="582"/>
      <c r="K405" s="582"/>
      <c r="L405" s="582"/>
      <c r="M405" s="74"/>
      <c r="O405" s="572"/>
      <c r="P405" s="559"/>
      <c r="Q405" s="591"/>
      <c r="R405" s="592"/>
      <c r="S405" s="593"/>
      <c r="T405" s="597"/>
      <c r="U405" s="597"/>
      <c r="V405" s="597"/>
      <c r="W405" s="597"/>
      <c r="X405" s="597"/>
      <c r="Y405" s="571"/>
    </row>
    <row r="406" spans="1:25" ht="14.1" customHeight="1">
      <c r="A406" s="21">
        <v>46</v>
      </c>
      <c r="B406" s="72"/>
      <c r="C406" s="576"/>
      <c r="D406" s="693" t="str">
        <f>IF(LEN(Q389)&lt;=135,"",IF(LEN(Q389)&lt;=260,RIGHT(Q389,LEN(Q389)-SEARCH(" ",Q389,125)),MID(Q389,SEARCH(" ",Q389,130),IF(LEN(Q389)&lt;=265,LEN(Q389),SEARCH(" ",Q389,255)-SEARCH(" ",Q389,130)))))</f>
        <v/>
      </c>
      <c r="E406" s="608"/>
      <c r="F406" s="608"/>
      <c r="G406" s="608"/>
      <c r="H406" s="608"/>
      <c r="I406" s="608"/>
      <c r="J406" s="608"/>
      <c r="K406" s="608"/>
      <c r="L406" s="608"/>
      <c r="M406" s="74"/>
      <c r="O406" s="564"/>
      <c r="P406" s="565"/>
      <c r="Q406" s="595"/>
      <c r="R406" s="596"/>
      <c r="S406" s="596"/>
      <c r="T406" s="596"/>
      <c r="U406" s="598"/>
      <c r="V406" s="594"/>
      <c r="W406" s="594"/>
      <c r="X406" s="594"/>
      <c r="Y406" s="563"/>
    </row>
    <row r="407" spans="1:25" ht="14.1" customHeight="1">
      <c r="A407" s="21">
        <v>47</v>
      </c>
      <c r="B407" s="72"/>
      <c r="C407" s="576"/>
      <c r="D407" s="693" t="str">
        <f>IF(LEN(Q389)&lt;=265,"",RIGHT(Q389,LEN(Q389)-SEARCH(" ",Q389,255)))</f>
        <v/>
      </c>
      <c r="E407" s="608"/>
      <c r="F407" s="608"/>
      <c r="G407" s="608"/>
      <c r="H407" s="608"/>
      <c r="I407" s="608"/>
      <c r="J407" s="608"/>
      <c r="K407" s="608"/>
      <c r="L407" s="608"/>
      <c r="M407" s="74"/>
      <c r="O407" s="564"/>
      <c r="P407" s="573"/>
      <c r="Q407" s="574"/>
      <c r="R407" s="589"/>
      <c r="S407" s="590"/>
      <c r="T407" s="575"/>
      <c r="U407" s="575"/>
      <c r="V407" s="575"/>
      <c r="W407" s="575"/>
      <c r="X407" s="575"/>
      <c r="Y407" s="563"/>
    </row>
    <row r="408" spans="1:25" ht="14.1" customHeight="1">
      <c r="A408" s="21">
        <v>48</v>
      </c>
      <c r="B408" s="72"/>
      <c r="C408" s="583"/>
      <c r="D408" s="693" t="str">
        <f>IF(Q391="","",IF(LEN(Q391)&lt;=135,Q391,IF(LEN(Q391)&lt;=260,LEFT(Q391,SEARCH(" ",Q391,125)),LEFT(Q391,SEARCH(" ",Q391,130)))))</f>
        <v/>
      </c>
      <c r="E408" s="608"/>
      <c r="F408" s="608"/>
      <c r="G408" s="608"/>
      <c r="H408" s="608"/>
      <c r="I408" s="608"/>
      <c r="J408" s="608"/>
      <c r="K408" s="608"/>
      <c r="L408" s="608"/>
      <c r="M408" s="74"/>
      <c r="O408" s="572"/>
      <c r="P408" s="599"/>
      <c r="Q408" s="599"/>
      <c r="R408" s="592"/>
      <c r="S408" s="597"/>
      <c r="T408" s="597"/>
      <c r="U408" s="597"/>
      <c r="V408" s="597"/>
      <c r="W408" s="597"/>
      <c r="X408" s="597"/>
      <c r="Y408" s="571"/>
    </row>
    <row r="409" spans="1:25" ht="14.1" customHeight="1">
      <c r="A409" s="21">
        <v>49</v>
      </c>
      <c r="B409" s="72"/>
      <c r="C409" s="583"/>
      <c r="D409" s="693" t="str">
        <f>IF(LEN(Q391)&lt;=135,"",IF(LEN(Q391)&lt;=260,RIGHT(Q391,LEN(Q391)-SEARCH(" ",Q391,125)),MID(Q391,SEARCH(" ",Q391,130),IF(LEN(Q391)&lt;=265,LEN(Q391),SEARCH(" ",Q391,255)-SEARCH(" ",Q391,130)))))</f>
        <v/>
      </c>
      <c r="E409" s="608"/>
      <c r="F409" s="608"/>
      <c r="G409" s="608"/>
      <c r="H409" s="608"/>
      <c r="I409" s="608"/>
      <c r="J409" s="608"/>
      <c r="K409" s="608"/>
      <c r="L409" s="608"/>
      <c r="M409" s="74"/>
      <c r="O409" s="564"/>
      <c r="P409" s="599"/>
      <c r="Q409" s="599"/>
      <c r="R409" s="592"/>
      <c r="S409" s="594"/>
      <c r="T409" s="594"/>
      <c r="U409" s="594"/>
      <c r="V409" s="594"/>
      <c r="W409" s="594"/>
      <c r="X409" s="594"/>
      <c r="Y409" s="563"/>
    </row>
    <row r="410" spans="1:25" ht="14.1" customHeight="1">
      <c r="A410" s="21">
        <v>50</v>
      </c>
      <c r="B410" s="72"/>
      <c r="C410" s="583"/>
      <c r="D410" s="693" t="str">
        <f>IF(LEN(Q391)&lt;=265,"",RIGHT(Q391,LEN(Q391)-SEARCH(" ",Q391,255)))</f>
        <v/>
      </c>
      <c r="E410" s="608"/>
      <c r="F410" s="608"/>
      <c r="G410" s="608"/>
      <c r="H410" s="608"/>
      <c r="I410" s="608"/>
      <c r="J410" s="608"/>
      <c r="K410" s="608"/>
      <c r="L410" s="608"/>
      <c r="M410" s="74"/>
      <c r="O410" s="564"/>
      <c r="P410" s="599"/>
      <c r="Q410" s="599"/>
      <c r="R410" s="592"/>
      <c r="S410" s="594"/>
      <c r="T410" s="594"/>
      <c r="U410" s="594"/>
      <c r="V410" s="594"/>
      <c r="W410" s="594"/>
      <c r="X410" s="594"/>
      <c r="Y410" s="563"/>
    </row>
    <row r="411" spans="1:25" ht="14.1" customHeight="1">
      <c r="A411" s="21">
        <v>51</v>
      </c>
      <c r="B411" s="72"/>
      <c r="C411" s="584"/>
      <c r="D411" s="693" t="str">
        <f>IF(Q393="","",IF(LEN(Q393)&lt;=135,Q393,IF(LEN(Q393)&lt;=260,LEFT(Q393,SEARCH(" ",Q393,125)),LEFT(Q393,SEARCH(" ",Q393,130)))))</f>
        <v/>
      </c>
      <c r="E411" s="608"/>
      <c r="F411" s="608"/>
      <c r="G411" s="608"/>
      <c r="H411" s="608"/>
      <c r="I411" s="608"/>
      <c r="J411" s="608"/>
      <c r="K411" s="608"/>
      <c r="L411" s="608"/>
      <c r="M411" s="74"/>
      <c r="O411" s="572"/>
      <c r="P411" s="599"/>
      <c r="Q411" s="599"/>
      <c r="R411" s="592"/>
      <c r="S411" s="600"/>
      <c r="T411" s="597"/>
      <c r="U411" s="597"/>
      <c r="V411" s="594"/>
      <c r="W411" s="594"/>
      <c r="X411" s="594"/>
      <c r="Y411" s="571"/>
    </row>
    <row r="412" spans="1:25" ht="14.1" customHeight="1">
      <c r="A412" s="21">
        <v>52</v>
      </c>
      <c r="B412" s="72"/>
      <c r="C412" s="584"/>
      <c r="D412" s="693" t="str">
        <f>IF(LEN(Q393)&lt;=135,"",IF(LEN(Q393)&lt;=260,RIGHT(Q393,LEN(Q393)-SEARCH(" ",Q393,125)),MID(Q393,SEARCH(" ",Q393,130),IF(LEN(Q393)&lt;=265,LEN(Q393),SEARCH(" ",Q393,255)-SEARCH(" ",Q393,130)))))</f>
        <v/>
      </c>
      <c r="E412" s="608"/>
      <c r="F412" s="608"/>
      <c r="G412" s="608"/>
      <c r="H412" s="608"/>
      <c r="I412" s="608"/>
      <c r="J412" s="608"/>
      <c r="K412" s="608"/>
      <c r="L412" s="608"/>
      <c r="M412" s="74"/>
      <c r="O412" s="564"/>
      <c r="P412" s="599"/>
      <c r="Q412" s="599"/>
      <c r="R412" s="592"/>
      <c r="S412" s="594"/>
      <c r="T412" s="592"/>
      <c r="U412" s="594"/>
      <c r="V412" s="592"/>
      <c r="W412" s="594"/>
      <c r="X412" s="594"/>
      <c r="Y412" s="563"/>
    </row>
    <row r="413" spans="1:25" ht="14.1" customHeight="1">
      <c r="A413" s="21">
        <v>53</v>
      </c>
      <c r="B413" s="72"/>
      <c r="C413" s="584"/>
      <c r="D413" s="693" t="str">
        <f>IF(LEN(Q393)&lt;=265,"",RIGHT(Q393,LEN(Q393)-SEARCH(" ",Q393,255)))</f>
        <v/>
      </c>
      <c r="E413" s="608"/>
      <c r="F413" s="608"/>
      <c r="G413" s="608"/>
      <c r="H413" s="608"/>
      <c r="I413" s="608"/>
      <c r="J413" s="608"/>
      <c r="K413" s="608"/>
      <c r="L413" s="608"/>
      <c r="M413" s="74"/>
      <c r="O413" s="564"/>
      <c r="P413" s="599"/>
      <c r="Q413" s="599"/>
      <c r="R413" s="592"/>
      <c r="S413" s="594"/>
      <c r="T413" s="592"/>
      <c r="U413" s="594"/>
      <c r="V413" s="592"/>
      <c r="W413" s="594"/>
      <c r="X413" s="594"/>
      <c r="Y413" s="563"/>
    </row>
    <row r="414" spans="1:25" ht="14.1" customHeight="1">
      <c r="A414" s="21">
        <v>54</v>
      </c>
      <c r="B414" s="72"/>
      <c r="C414" s="559"/>
      <c r="D414" s="693" t="str">
        <f>IF(Q395="","",IF(LEN(Q395)&lt;=135,Q395,IF(LEN(Q395)&lt;=260,LEFT(Q395,SEARCH(" ",Q395,125)),LEFT(Q395,SEARCH(" ",Q395,130)))))</f>
        <v/>
      </c>
      <c r="E414" s="608"/>
      <c r="F414" s="608"/>
      <c r="G414" s="608"/>
      <c r="H414" s="608"/>
      <c r="I414" s="608"/>
      <c r="J414" s="608"/>
      <c r="K414" s="608"/>
      <c r="L414" s="608"/>
      <c r="M414" s="74"/>
      <c r="O414" s="572"/>
      <c r="P414" s="599"/>
      <c r="Q414" s="599"/>
      <c r="R414" s="592"/>
      <c r="S414" s="594"/>
      <c r="T414" s="592"/>
      <c r="U414" s="594"/>
      <c r="V414" s="592"/>
      <c r="W414" s="594"/>
      <c r="X414" s="594"/>
      <c r="Y414" s="571"/>
    </row>
    <row r="415" spans="1:25" ht="14.1" customHeight="1" thickBot="1">
      <c r="A415" s="21">
        <v>55</v>
      </c>
      <c r="B415" s="72"/>
      <c r="C415" s="576"/>
      <c r="D415" s="693" t="str">
        <f>IF(LEN(Q395)&lt;=135,"",IF(LEN(Q395)&lt;=260,RIGHT(Q395,LEN(Q395)-SEARCH(" ",Q395,125)),MID(Q395,SEARCH(" ",Q395,130),IF(LEN(Q395)&lt;=265,LEN(Q395),SEARCH(" ",Q395,255)-SEARCH(" ",Q395,130)))))</f>
        <v/>
      </c>
      <c r="E415" s="608"/>
      <c r="F415" s="608"/>
      <c r="G415" s="608"/>
      <c r="H415" s="608"/>
      <c r="I415" s="608"/>
      <c r="J415" s="608"/>
      <c r="K415" s="608"/>
      <c r="L415" s="608"/>
      <c r="M415" s="74"/>
      <c r="O415" s="577"/>
      <c r="P415" s="578"/>
      <c r="Q415" s="579"/>
      <c r="R415" s="580"/>
      <c r="S415" s="578"/>
      <c r="T415" s="578"/>
      <c r="U415" s="578"/>
      <c r="V415" s="578"/>
      <c r="W415" s="578"/>
      <c r="X415" s="578"/>
      <c r="Y415" s="581"/>
    </row>
    <row r="416" spans="1:25" ht="14.1" customHeight="1" thickTop="1">
      <c r="A416" s="21">
        <v>56</v>
      </c>
      <c r="B416" s="72"/>
      <c r="C416" s="576"/>
      <c r="D416" s="693" t="str">
        <f>IF(LEN(Q395)&lt;=265,"",RIGHT(Q395,LEN(Q395)-SEARCH(" ",Q395,255)))</f>
        <v/>
      </c>
      <c r="E416" s="608"/>
      <c r="F416" s="608"/>
      <c r="G416" s="608"/>
      <c r="H416" s="608"/>
      <c r="I416" s="608"/>
      <c r="J416" s="608"/>
      <c r="K416" s="608"/>
      <c r="L416" s="608"/>
      <c r="M416" s="74"/>
    </row>
    <row r="417" spans="1:13" ht="14.1" customHeight="1">
      <c r="A417" s="21">
        <v>57</v>
      </c>
      <c r="B417" s="72"/>
      <c r="C417" s="559"/>
      <c r="D417" s="693" t="str">
        <f>IF(Q397="","",IF(LEN(Q397)&lt;=135,Q397,IF(LEN(Q397)&lt;=260,LEFT(Q397,SEARCH(" ",Q397,125)),LEFT(Q397,SEARCH(" ",Q397,130)))))</f>
        <v/>
      </c>
      <c r="E417" s="608"/>
      <c r="F417" s="608"/>
      <c r="G417" s="608"/>
      <c r="H417" s="608"/>
      <c r="I417" s="608"/>
      <c r="J417" s="608"/>
      <c r="K417" s="608"/>
      <c r="L417" s="608"/>
      <c r="M417" s="74"/>
    </row>
    <row r="418" spans="1:13" ht="14.1" customHeight="1">
      <c r="A418" s="21">
        <v>58</v>
      </c>
      <c r="B418" s="72"/>
      <c r="C418" s="576"/>
      <c r="D418" s="693" t="str">
        <f>IF(LEN(Q397)&lt;=135,"",IF(LEN(Q397)&lt;=260,RIGHT(Q397,LEN(Q397)-SEARCH(" ",Q397,125)),MID(Q397,SEARCH(" ",Q397,130),IF(LEN(Q397)&lt;=265,LEN(Q397),SEARCH(" ",Q397,255)-SEARCH(" ",Q397,130)))))</f>
        <v/>
      </c>
      <c r="E418" s="608"/>
      <c r="F418" s="608"/>
      <c r="G418" s="608"/>
      <c r="H418" s="608"/>
      <c r="I418" s="608"/>
      <c r="J418" s="608"/>
      <c r="K418" s="608"/>
      <c r="L418" s="608"/>
      <c r="M418" s="74"/>
    </row>
    <row r="419" spans="1:13" ht="14.1" customHeight="1">
      <c r="A419" s="21">
        <v>59</v>
      </c>
      <c r="B419" s="72"/>
      <c r="C419" s="576"/>
      <c r="D419" s="693" t="str">
        <f>IF(LEN(Q397)&lt;=265,"",RIGHT(Q397,LEN(Q397)-SEARCH(" ",Q397,255)))</f>
        <v/>
      </c>
      <c r="E419" s="608"/>
      <c r="F419" s="608"/>
      <c r="G419" s="608"/>
      <c r="H419" s="608"/>
      <c r="I419" s="608"/>
      <c r="J419" s="608"/>
      <c r="K419" s="608"/>
      <c r="L419" s="608"/>
      <c r="M419" s="74"/>
    </row>
    <row r="420" spans="1:13" ht="14.1" customHeight="1">
      <c r="A420" s="21">
        <v>60</v>
      </c>
      <c r="B420" s="72"/>
      <c r="C420" s="559"/>
      <c r="D420" s="693" t="str">
        <f>IF(Q399="","",IF(LEN(Q399)&lt;=135,Q399,IF(LEN(Q399)&lt;=260,LEFT(Q399,SEARCH(" ",Q399,125)),LEFT(Q399,SEARCH(" ",Q399,130)))))</f>
        <v/>
      </c>
      <c r="E420" s="608"/>
      <c r="F420" s="608"/>
      <c r="G420" s="608"/>
      <c r="H420" s="608"/>
      <c r="I420" s="608"/>
      <c r="J420" s="608"/>
      <c r="K420" s="608"/>
      <c r="L420" s="608"/>
      <c r="M420" s="74"/>
    </row>
    <row r="421" spans="1:13" ht="14.1" customHeight="1">
      <c r="A421" s="21">
        <v>61</v>
      </c>
      <c r="B421" s="72"/>
      <c r="C421" s="576"/>
      <c r="D421" s="693" t="str">
        <f>IF(LEN(Q399)&lt;=135,"",IF(LEN(Q399)&lt;=260,RIGHT(Q399,LEN(Q399)-SEARCH(" ",Q399,125)),MID(Q399,SEARCH(" ",Q399,130),IF(LEN(Q399)&lt;=265,LEN(Q399),SEARCH(" ",Q399,255)-SEARCH(" ",Q399,130)))))</f>
        <v/>
      </c>
      <c r="E421" s="608"/>
      <c r="F421" s="608"/>
      <c r="G421" s="608"/>
      <c r="H421" s="608"/>
      <c r="I421" s="608"/>
      <c r="J421" s="608"/>
      <c r="K421" s="608"/>
      <c r="L421" s="608"/>
      <c r="M421" s="74"/>
    </row>
    <row r="422" spans="1:13" ht="14.1" customHeight="1">
      <c r="A422" s="21">
        <v>62</v>
      </c>
      <c r="B422" s="72"/>
      <c r="C422" s="576"/>
      <c r="D422" s="693" t="str">
        <f>IF(LEN(Q399)&lt;=265,"",RIGHT(Q399,LEN(Q399)-SEARCH(" ",Q399,255)))</f>
        <v/>
      </c>
      <c r="E422" s="608"/>
      <c r="F422" s="608"/>
      <c r="G422" s="608"/>
      <c r="H422" s="608"/>
      <c r="I422" s="608"/>
      <c r="J422" s="608"/>
      <c r="K422" s="608"/>
      <c r="L422" s="609"/>
      <c r="M422" s="74"/>
    </row>
    <row r="423" spans="1:13" ht="14.1" customHeight="1">
      <c r="A423" s="21">
        <v>63</v>
      </c>
      <c r="B423" s="72"/>
      <c r="C423" s="559"/>
      <c r="D423" s="693" t="str">
        <f>IF(Q401="","",IF(LEN(Q401)&lt;=135,Q401,IF(LEN(Q401)&lt;=260,LEFT(Q401,SEARCH(" ",Q401,125)),LEFT(Q401,SEARCH(" ",Q401,130)))))</f>
        <v/>
      </c>
      <c r="E423" s="608"/>
      <c r="F423" s="608"/>
      <c r="G423" s="608"/>
      <c r="H423" s="608"/>
      <c r="I423" s="608"/>
      <c r="J423" s="608"/>
      <c r="K423" s="608"/>
      <c r="L423" s="609"/>
      <c r="M423" s="74"/>
    </row>
    <row r="424" spans="1:13" ht="14.1" customHeight="1">
      <c r="A424" s="21">
        <v>64</v>
      </c>
      <c r="B424" s="72"/>
      <c r="C424" s="73"/>
      <c r="D424" s="693" t="str">
        <f>IF(LEN(Q401)&lt;=135,"",IF(LEN(Q401)&lt;=260,RIGHT(Q401,LEN(Q401)-SEARCH(" ",Q401,125)),MID(Q401,SEARCH(" ",Q401,130),IF(LEN(Q401)&lt;=265,LEN(Q401),SEARCH(" ",Q401,255)-SEARCH(" ",Q401,130)))))</f>
        <v/>
      </c>
      <c r="E424" s="609"/>
      <c r="F424" s="609"/>
      <c r="G424" s="609"/>
      <c r="H424" s="609"/>
      <c r="I424" s="609"/>
      <c r="J424" s="609"/>
      <c r="K424" s="609"/>
      <c r="L424" s="609"/>
      <c r="M424" s="74"/>
    </row>
    <row r="425" spans="1:13" ht="14.1" customHeight="1">
      <c r="A425" s="21">
        <v>65</v>
      </c>
      <c r="B425" s="72"/>
      <c r="C425" s="73"/>
      <c r="D425" s="693" t="str">
        <f>IF(LEN(Q401)&lt;=265,"",RIGHT(Q401,LEN(Q401)-SEARCH(" ",Q401,255)))</f>
        <v/>
      </c>
      <c r="E425" s="609"/>
      <c r="F425" s="609"/>
      <c r="G425" s="609"/>
      <c r="H425" s="609"/>
      <c r="I425" s="609"/>
      <c r="J425" s="609"/>
      <c r="K425" s="609"/>
      <c r="L425" s="609"/>
      <c r="M425" s="74"/>
    </row>
    <row r="426" spans="1:13" ht="14.1" customHeight="1">
      <c r="A426" s="21">
        <v>66</v>
      </c>
      <c r="B426" s="72"/>
      <c r="C426" s="73"/>
      <c r="D426" s="693" t="str">
        <f>IF(Q403="","",IF(LEN(Q403)&lt;=135,Q403,IF(LEN(Q403)&lt;=260,LEFT(Q403,SEARCH(" ",Q403,125)),LEFT(Q403,SEARCH(" ",Q403,130)))))</f>
        <v/>
      </c>
      <c r="E426" s="609"/>
      <c r="F426" s="609"/>
      <c r="G426" s="609"/>
      <c r="H426" s="609"/>
      <c r="I426" s="609"/>
      <c r="J426" s="609"/>
      <c r="K426" s="609"/>
      <c r="L426" s="609"/>
      <c r="M426" s="74"/>
    </row>
    <row r="427" spans="1:13" ht="14.1" customHeight="1">
      <c r="A427" s="21">
        <v>67</v>
      </c>
      <c r="B427" s="72"/>
      <c r="C427" s="576"/>
      <c r="D427" s="693" t="str">
        <f>IF(LEN(Q403)&lt;=135,"",IF(LEN(Q403)&lt;=260,RIGHT(Q403,LEN(Q403)-SEARCH(" ",Q403,125)),MID(Q403,SEARCH(" ",Q403,130),IF(LEN(Q403)&lt;=265,LEN(Q403),SEARCH(" ",Q403,255)-SEARCH(" ",Q403,130)))))</f>
        <v/>
      </c>
      <c r="E427" s="608"/>
      <c r="F427" s="608"/>
      <c r="G427" s="608"/>
      <c r="H427" s="608"/>
      <c r="I427" s="608"/>
      <c r="J427" s="608"/>
      <c r="K427" s="608"/>
      <c r="L427" s="610"/>
      <c r="M427" s="74"/>
    </row>
    <row r="428" spans="1:13" ht="14.1" customHeight="1">
      <c r="A428" s="21">
        <v>68</v>
      </c>
      <c r="B428" s="72"/>
      <c r="C428" s="73"/>
      <c r="D428" s="693" t="str">
        <f>IF(LEN(Q403)&lt;=265,"",RIGHT(Q403,LEN(Q403)-SEARCH(" ",Q403,255)))</f>
        <v/>
      </c>
      <c r="E428" s="609"/>
      <c r="F428" s="609"/>
      <c r="G428" s="609"/>
      <c r="H428" s="609"/>
      <c r="I428" s="609"/>
      <c r="J428" s="609"/>
      <c r="K428" s="609"/>
      <c r="L428" s="609"/>
      <c r="M428" s="74"/>
    </row>
    <row r="429" spans="1:13" ht="14.1" customHeight="1">
      <c r="A429" s="21">
        <v>69</v>
      </c>
      <c r="B429" s="72"/>
      <c r="C429" s="73"/>
      <c r="D429" s="73"/>
      <c r="E429" s="73"/>
      <c r="F429" s="73"/>
      <c r="G429" s="73"/>
      <c r="H429" s="73"/>
      <c r="I429" s="73"/>
      <c r="J429" s="73"/>
      <c r="K429" s="73"/>
      <c r="L429" s="73"/>
      <c r="M429" s="74"/>
    </row>
    <row r="430" spans="1:13" ht="14.1" customHeight="1" thickBot="1">
      <c r="A430" s="21">
        <v>70</v>
      </c>
      <c r="B430" s="85"/>
      <c r="C430" s="604"/>
      <c r="D430" s="605"/>
      <c r="E430" s="578"/>
      <c r="F430" s="578"/>
      <c r="G430" s="578"/>
      <c r="H430" s="578"/>
      <c r="I430" s="578"/>
      <c r="J430" s="578"/>
      <c r="K430" s="578"/>
      <c r="L430" s="86"/>
      <c r="M430" s="87"/>
    </row>
    <row r="431" spans="1:13" ht="14.1" customHeight="1" thickTop="1">
      <c r="A431" s="21">
        <v>71</v>
      </c>
      <c r="C431" s="117" t="s">
        <v>11</v>
      </c>
      <c r="D431" s="422" t="str">
        <f>IF($P$7="","",$P$7)</f>
        <v/>
      </c>
      <c r="E431" s="31"/>
      <c r="F431" s="31"/>
      <c r="G431" s="31"/>
      <c r="H431" s="31"/>
      <c r="I431" s="31"/>
      <c r="J431" s="31"/>
      <c r="K431" s="31"/>
      <c r="L431" s="117" t="s">
        <v>12</v>
      </c>
      <c r="M431" s="423" t="str">
        <f>IF($X$7="","",$X$7)</f>
        <v>Eugene Mah</v>
      </c>
    </row>
    <row r="432" spans="1:13" ht="14.1" customHeight="1">
      <c r="A432" s="21">
        <v>72</v>
      </c>
      <c r="C432" s="117" t="s">
        <v>121</v>
      </c>
      <c r="D432" s="423" t="str">
        <f>IF($R$14="","",$R$14)</f>
        <v/>
      </c>
      <c r="E432" s="31"/>
      <c r="F432" s="31"/>
      <c r="G432" s="31"/>
      <c r="H432" s="31"/>
      <c r="I432" s="31"/>
      <c r="J432" s="31"/>
      <c r="K432" s="31"/>
      <c r="L432" s="117" t="s">
        <v>37</v>
      </c>
      <c r="M432" s="423" t="str">
        <f>IF($R$13="","",$R$13)</f>
        <v/>
      </c>
    </row>
  </sheetData>
  <mergeCells count="57">
    <mergeCell ref="P129:R130"/>
    <mergeCell ref="S129:U130"/>
    <mergeCell ref="V129:X130"/>
    <mergeCell ref="P173:S173"/>
    <mergeCell ref="Q182:S182"/>
    <mergeCell ref="U182:W182"/>
    <mergeCell ref="U197:W197"/>
    <mergeCell ref="U251:W251"/>
    <mergeCell ref="S282:U282"/>
    <mergeCell ref="Q333:V333"/>
    <mergeCell ref="Q197:S197"/>
    <mergeCell ref="G36:I36"/>
    <mergeCell ref="L44:M44"/>
    <mergeCell ref="P121:R122"/>
    <mergeCell ref="V121:X122"/>
    <mergeCell ref="S121:U122"/>
    <mergeCell ref="F29:G29"/>
    <mergeCell ref="K29:L29"/>
    <mergeCell ref="F30:G30"/>
    <mergeCell ref="K30:L30"/>
    <mergeCell ref="D35:F35"/>
    <mergeCell ref="G35:I35"/>
    <mergeCell ref="J35:L35"/>
    <mergeCell ref="K24:L24"/>
    <mergeCell ref="F25:G25"/>
    <mergeCell ref="F26:G26"/>
    <mergeCell ref="F28:G28"/>
    <mergeCell ref="K28:L28"/>
    <mergeCell ref="K27:L27"/>
    <mergeCell ref="F10:G10"/>
    <mergeCell ref="K10:L10"/>
    <mergeCell ref="F11:G11"/>
    <mergeCell ref="K11:L11"/>
    <mergeCell ref="F12:G12"/>
    <mergeCell ref="K12:L12"/>
    <mergeCell ref="F13:G13"/>
    <mergeCell ref="K13:L13"/>
    <mergeCell ref="F16:G16"/>
    <mergeCell ref="K16:L16"/>
    <mergeCell ref="F17:G17"/>
    <mergeCell ref="K17:L17"/>
    <mergeCell ref="F294:H294"/>
    <mergeCell ref="I291:J291"/>
    <mergeCell ref="I292:J292"/>
    <mergeCell ref="F18:G18"/>
    <mergeCell ref="K18:L18"/>
    <mergeCell ref="H250:J250"/>
    <mergeCell ref="D179:G179"/>
    <mergeCell ref="D186:F186"/>
    <mergeCell ref="H186:J186"/>
    <mergeCell ref="K186:M186"/>
    <mergeCell ref="F21:G21"/>
    <mergeCell ref="K21:L21"/>
    <mergeCell ref="F22:G22"/>
    <mergeCell ref="K22:L22"/>
    <mergeCell ref="K23:L23"/>
    <mergeCell ref="F24:G24"/>
  </mergeCells>
  <conditionalFormatting sqref="Q266:S266">
    <cfRule type="cellIs" dxfId="57" priority="70" stopIfTrue="1" operator="equal">
      <formula>"Fail"</formula>
    </cfRule>
  </conditionalFormatting>
  <conditionalFormatting sqref="Q305">
    <cfRule type="cellIs" dxfId="56" priority="72" stopIfTrue="1" operator="equal">
      <formula>"Fail"</formula>
    </cfRule>
  </conditionalFormatting>
  <conditionalFormatting sqref="Q320">
    <cfRule type="cellIs" dxfId="55" priority="74" stopIfTrue="1" operator="equal">
      <formula>"Fail"</formula>
    </cfRule>
  </conditionalFormatting>
  <conditionalFormatting sqref="Q266:S266">
    <cfRule type="cellIs" dxfId="54" priority="69" stopIfTrue="1" operator="equal">
      <formula>"Pass"</formula>
    </cfRule>
  </conditionalFormatting>
  <conditionalFormatting sqref="Q305">
    <cfRule type="cellIs" dxfId="53" priority="71" stopIfTrue="1" operator="equal">
      <formula>"Pass"</formula>
    </cfRule>
  </conditionalFormatting>
  <conditionalFormatting sqref="Q320">
    <cfRule type="cellIs" dxfId="52" priority="73" stopIfTrue="1" operator="equal">
      <formula>"Pass"</formula>
    </cfRule>
  </conditionalFormatting>
  <conditionalFormatting sqref="X284:X299">
    <cfRule type="cellIs" dxfId="51" priority="61" operator="lessThan">
      <formula>0.05</formula>
    </cfRule>
    <cfRule type="cellIs" dxfId="50" priority="64" operator="greaterThan">
      <formula>0.05</formula>
    </cfRule>
  </conditionalFormatting>
  <conditionalFormatting sqref="U224:U227">
    <cfRule type="cellIs" dxfId="49" priority="62" operator="lessThan">
      <formula>0.1</formula>
    </cfRule>
    <cfRule type="cellIs" dxfId="48" priority="63" operator="greaterThan">
      <formula>0.1</formula>
    </cfRule>
  </conditionalFormatting>
  <conditionalFormatting sqref="T381">
    <cfRule type="cellIs" dxfId="47" priority="59" operator="lessThan">
      <formula>2</formula>
    </cfRule>
    <cfRule type="cellIs" dxfId="46" priority="60" operator="greaterThan">
      <formula>2</formula>
    </cfRule>
  </conditionalFormatting>
  <conditionalFormatting sqref="T380">
    <cfRule type="cellIs" dxfId="45" priority="57" operator="lessThan">
      <formula>40</formula>
    </cfRule>
    <cfRule type="cellIs" dxfId="44" priority="58" operator="greaterThan">
      <formula>40</formula>
    </cfRule>
  </conditionalFormatting>
  <conditionalFormatting sqref="V380:V381">
    <cfRule type="cellIs" dxfId="43" priority="55" operator="greaterThan">
      <formula>0.15</formula>
    </cfRule>
    <cfRule type="cellIs" dxfId="42" priority="56" operator="lessThan">
      <formula>0.15</formula>
    </cfRule>
  </conditionalFormatting>
  <conditionalFormatting sqref="X243:Y243">
    <cfRule type="cellIs" dxfId="41" priority="53" operator="lessThan">
      <formula>0.15</formula>
    </cfRule>
    <cfRule type="cellIs" dxfId="40" priority="54" operator="greaterThan">
      <formula>0.15</formula>
    </cfRule>
  </conditionalFormatting>
  <conditionalFormatting sqref="P245:V245">
    <cfRule type="cellIs" dxfId="39" priority="51" operator="lessThan">
      <formula>0.05</formula>
    </cfRule>
    <cfRule type="cellIs" dxfId="38" priority="52" operator="greaterThan">
      <formula>0.05</formula>
    </cfRule>
  </conditionalFormatting>
  <conditionalFormatting sqref="X226">
    <cfRule type="cellIs" dxfId="37" priority="49" operator="lessThan">
      <formula>0.05</formula>
    </cfRule>
    <cfRule type="cellIs" dxfId="36" priority="50" operator="greaterThan">
      <formula>0.05</formula>
    </cfRule>
  </conditionalFormatting>
  <conditionalFormatting sqref="Q188:S189 U188:W189 Q203:S204 U203:W204">
    <cfRule type="cellIs" dxfId="35" priority="47" operator="lessThan">
      <formula>13</formula>
    </cfRule>
    <cfRule type="cellIs" dxfId="34" priority="48" operator="greaterThan">
      <formula>13</formula>
    </cfRule>
  </conditionalFormatting>
  <conditionalFormatting sqref="Q205:S205 U205:W205">
    <cfRule type="cellIs" dxfId="33" priority="45" operator="lessThan">
      <formula>6.5</formula>
    </cfRule>
    <cfRule type="cellIs" dxfId="32" priority="46" operator="greaterThan">
      <formula>6.5</formula>
    </cfRule>
  </conditionalFormatting>
  <conditionalFormatting sqref="Q206:S206 U206:W206">
    <cfRule type="cellIs" dxfId="31" priority="43" operator="lessThan">
      <formula>5</formula>
    </cfRule>
    <cfRule type="cellIs" dxfId="30" priority="44" operator="greaterThan">
      <formula>5</formula>
    </cfRule>
  </conditionalFormatting>
  <conditionalFormatting sqref="X271">
    <cfRule type="cellIs" dxfId="29" priority="39" operator="lessThan">
      <formula>3</formula>
    </cfRule>
    <cfRule type="cellIs" dxfId="28" priority="40" operator="greaterThan">
      <formula>3</formula>
    </cfRule>
  </conditionalFormatting>
  <conditionalFormatting sqref="X276">
    <cfRule type="cellIs" dxfId="27" priority="38" operator="between">
      <formula>-0.15</formula>
      <formula>0.15</formula>
    </cfRule>
  </conditionalFormatting>
  <conditionalFormatting sqref="P314:S314">
    <cfRule type="cellIs" dxfId="26" priority="35" operator="greaterThan">
      <formula>0.02</formula>
    </cfRule>
    <cfRule type="cellIs" dxfId="25" priority="36" operator="lessThan">
      <formula>0.02</formula>
    </cfRule>
  </conditionalFormatting>
  <conditionalFormatting sqref="Q341">
    <cfRule type="cellIs" dxfId="24" priority="34" operator="between">
      <formula>$Q$343</formula>
      <formula>"$Q$320"</formula>
    </cfRule>
  </conditionalFormatting>
  <conditionalFormatting sqref="R341">
    <cfRule type="cellIs" dxfId="23" priority="33" operator="between">
      <formula>$R$343</formula>
      <formula>$R$344</formula>
    </cfRule>
  </conditionalFormatting>
  <conditionalFormatting sqref="S341">
    <cfRule type="cellIs" dxfId="22" priority="31" operator="between">
      <formula>$S$343</formula>
      <formula>$S$344</formula>
    </cfRule>
  </conditionalFormatting>
  <conditionalFormatting sqref="T341">
    <cfRule type="cellIs" dxfId="21" priority="30" operator="between">
      <formula>$T$343</formula>
      <formula>$T$344</formula>
    </cfRule>
  </conditionalFormatting>
  <conditionalFormatting sqref="U341">
    <cfRule type="cellIs" dxfId="20" priority="29" operator="greaterThan">
      <formula>$U$343</formula>
    </cfRule>
  </conditionalFormatting>
  <conditionalFormatting sqref="V341">
    <cfRule type="cellIs" dxfId="19" priority="28" operator="greaterThan">
      <formula>$V$343</formula>
    </cfRule>
  </conditionalFormatting>
  <conditionalFormatting sqref="Q217:R217">
    <cfRule type="containsText" dxfId="18" priority="26" operator="containsText" text="Fail">
      <formula>NOT(ISERROR(SEARCH("Fail",Q217)))</formula>
    </cfRule>
    <cfRule type="containsText" dxfId="17" priority="27" operator="containsText" text="Pass">
      <formula>NOT(ISERROR(SEARCH("Pass",Q217)))</formula>
    </cfRule>
  </conditionalFormatting>
  <conditionalFormatting sqref="V305">
    <cfRule type="cellIs" dxfId="16" priority="25" stopIfTrue="1" operator="equal">
      <formula>"Fail"</formula>
    </cfRule>
  </conditionalFormatting>
  <conditionalFormatting sqref="V305">
    <cfRule type="cellIs" dxfId="15" priority="24" stopIfTrue="1" operator="equal">
      <formula>"Pass"</formula>
    </cfRule>
  </conditionalFormatting>
  <conditionalFormatting sqref="U314:X314">
    <cfRule type="cellIs" dxfId="14" priority="22" operator="greaterThan">
      <formula>0.02</formula>
    </cfRule>
    <cfRule type="cellIs" dxfId="13" priority="23" operator="lessThan">
      <formula>0.02</formula>
    </cfRule>
  </conditionalFormatting>
  <conditionalFormatting sqref="T312">
    <cfRule type="cellIs" dxfId="12" priority="20" operator="lessThan">
      <formula>7</formula>
    </cfRule>
    <cfRule type="cellIs" dxfId="11" priority="21" operator="greaterThan">
      <formula>7</formula>
    </cfRule>
  </conditionalFormatting>
  <conditionalFormatting sqref="Y312">
    <cfRule type="cellIs" dxfId="10" priority="18" operator="lessThan">
      <formula>2</formula>
    </cfRule>
    <cfRule type="cellIs" dxfId="9" priority="19" operator="greaterThan">
      <formula>2</formula>
    </cfRule>
  </conditionalFormatting>
  <conditionalFormatting sqref="U253:W257">
    <cfRule type="cellIs" dxfId="8" priority="17" operator="greaterThan">
      <formula>0.07</formula>
    </cfRule>
  </conditionalFormatting>
  <conditionalFormatting sqref="J343">
    <cfRule type="cellIs" dxfId="7" priority="6" stopIfTrue="1" operator="equal">
      <formula>"Fail"</formula>
    </cfRule>
  </conditionalFormatting>
  <conditionalFormatting sqref="J343">
    <cfRule type="cellIs" dxfId="6" priority="5" stopIfTrue="1" operator="equal">
      <formula>"Pass"</formula>
    </cfRule>
  </conditionalFormatting>
  <conditionalFormatting sqref="E343">
    <cfRule type="cellIs" dxfId="5" priority="8" stopIfTrue="1" operator="equal">
      <formula>"Fail"</formula>
    </cfRule>
  </conditionalFormatting>
  <conditionalFormatting sqref="E343">
    <cfRule type="cellIs" dxfId="4" priority="7" stopIfTrue="1" operator="equal">
      <formula>"Pass"</formula>
    </cfRule>
  </conditionalFormatting>
  <conditionalFormatting sqref="R147:R154">
    <cfRule type="cellIs" dxfId="3" priority="4" operator="greaterThan">
      <formula>0.5</formula>
    </cfRule>
    <cfRule type="cellIs" dxfId="2" priority="3" operator="lessThan">
      <formula>0.5</formula>
    </cfRule>
  </conditionalFormatting>
  <conditionalFormatting sqref="Q260:S260">
    <cfRule type="cellIs" dxfId="1" priority="1" operator="lessThan">
      <formula>0.07</formula>
    </cfRule>
    <cfRule type="cellIs" dxfId="0" priority="2" operator="greaterThan">
      <formula>0.07</formula>
    </cfRule>
  </conditionalFormatting>
  <pageMargins left="0.7" right="0.7" top="0.75" bottom="0.75" header="0.3" footer="0.3"/>
  <pageSetup scale="69" fitToHeight="0" pageOrder="overThenDown" orientation="portrait" r:id="rId1"/>
  <headerFooter>
    <oddFooter>&amp;CPage &amp;P</oddFooter>
  </headerFooter>
  <rowBreaks count="5" manualBreakCount="5">
    <brk id="72" min="1" max="12" man="1"/>
    <brk id="144" min="1" max="12" man="1"/>
    <brk id="216" min="1" max="12" man="1"/>
    <brk id="288" min="1" max="12" man="1"/>
    <brk id="360" min="1" max="12" man="1"/>
  </rowBreaks>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D125"/>
  <sheetViews>
    <sheetView tabSelected="1" workbookViewId="0">
      <selection activeCell="N28" sqref="N28:N48"/>
    </sheetView>
  </sheetViews>
  <sheetFormatPr defaultRowHeight="14.1" customHeight="1"/>
  <cols>
    <col min="1" max="30" width="10.625" style="25" customWidth="1"/>
    <col min="31" max="16384" width="9" style="25"/>
  </cols>
  <sheetData>
    <row r="1" spans="1:30" ht="14.1" customHeight="1" thickBot="1">
      <c r="A1" s="80" t="s">
        <v>444</v>
      </c>
      <c r="K1" s="80" t="s">
        <v>445</v>
      </c>
      <c r="U1" s="25" t="s">
        <v>446</v>
      </c>
    </row>
    <row r="2" spans="1:30" ht="14.1" customHeight="1">
      <c r="A2" s="334"/>
      <c r="B2" s="780" t="s">
        <v>25</v>
      </c>
      <c r="C2" s="780"/>
      <c r="D2" s="780"/>
      <c r="E2" s="780"/>
      <c r="F2" s="780"/>
      <c r="G2" s="780"/>
      <c r="H2" s="780"/>
      <c r="I2" s="780"/>
      <c r="J2" s="780"/>
      <c r="K2" s="334"/>
      <c r="L2" s="780" t="s">
        <v>25</v>
      </c>
      <c r="M2" s="780"/>
      <c r="N2" s="780"/>
      <c r="O2" s="780"/>
      <c r="P2" s="780"/>
      <c r="Q2" s="780"/>
      <c r="R2" s="780"/>
      <c r="S2" s="780"/>
      <c r="T2" s="780"/>
      <c r="U2" s="334"/>
      <c r="V2" s="780" t="s">
        <v>25</v>
      </c>
      <c r="W2" s="780"/>
      <c r="X2" s="780"/>
      <c r="Y2" s="780"/>
      <c r="Z2" s="780"/>
      <c r="AA2" s="780"/>
      <c r="AB2" s="780"/>
      <c r="AC2" s="780"/>
      <c r="AD2" s="780"/>
    </row>
    <row r="3" spans="1:30" ht="14.1" customHeight="1">
      <c r="A3" s="215" t="s">
        <v>358</v>
      </c>
      <c r="B3" s="15">
        <v>23</v>
      </c>
      <c r="C3" s="15">
        <v>24</v>
      </c>
      <c r="D3" s="15">
        <v>25</v>
      </c>
      <c r="E3" s="15">
        <v>26</v>
      </c>
      <c r="F3" s="15">
        <v>27</v>
      </c>
      <c r="G3" s="15">
        <v>28</v>
      </c>
      <c r="H3" s="15">
        <v>29</v>
      </c>
      <c r="I3" s="15">
        <v>30</v>
      </c>
      <c r="J3" s="234">
        <v>31</v>
      </c>
      <c r="K3" s="215" t="s">
        <v>358</v>
      </c>
      <c r="L3" s="15">
        <v>23</v>
      </c>
      <c r="M3" s="15">
        <v>24</v>
      </c>
      <c r="N3" s="15">
        <v>25</v>
      </c>
      <c r="O3" s="15">
        <v>26</v>
      </c>
      <c r="P3" s="15">
        <v>27</v>
      </c>
      <c r="Q3" s="15">
        <v>28</v>
      </c>
      <c r="R3" s="15">
        <v>29</v>
      </c>
      <c r="S3" s="15">
        <v>30</v>
      </c>
      <c r="T3" s="234">
        <v>31</v>
      </c>
      <c r="U3" s="215" t="s">
        <v>358</v>
      </c>
      <c r="V3" s="15">
        <v>23</v>
      </c>
      <c r="W3" s="15">
        <v>24</v>
      </c>
      <c r="X3" s="15">
        <v>25</v>
      </c>
      <c r="Y3" s="15">
        <v>26</v>
      </c>
      <c r="Z3" s="15">
        <v>27</v>
      </c>
      <c r="AA3" s="15">
        <v>28</v>
      </c>
      <c r="AB3" s="15">
        <v>29</v>
      </c>
      <c r="AC3" s="15">
        <v>30</v>
      </c>
      <c r="AD3" s="234">
        <v>31</v>
      </c>
    </row>
    <row r="4" spans="1:30" ht="14.1" customHeight="1">
      <c r="A4" s="215">
        <v>0.23</v>
      </c>
      <c r="B4" s="15">
        <v>116</v>
      </c>
      <c r="C4" s="15"/>
      <c r="D4" s="15"/>
      <c r="E4" s="15"/>
      <c r="F4" s="15"/>
      <c r="G4" s="15"/>
      <c r="H4" s="15"/>
      <c r="I4" s="15"/>
      <c r="J4" s="234"/>
      <c r="K4" s="215">
        <v>0.23</v>
      </c>
      <c r="L4" s="15"/>
      <c r="M4" s="15"/>
      <c r="N4" s="15"/>
      <c r="O4" s="15"/>
      <c r="P4" s="15"/>
      <c r="Q4" s="15"/>
      <c r="R4" s="15"/>
      <c r="S4" s="15"/>
      <c r="T4" s="234"/>
      <c r="U4" s="215">
        <v>0.23</v>
      </c>
      <c r="V4" s="15"/>
      <c r="W4" s="15"/>
      <c r="X4" s="15"/>
      <c r="Y4" s="15"/>
      <c r="Z4" s="15"/>
      <c r="AA4" s="15"/>
      <c r="AB4" s="15"/>
      <c r="AC4" s="15"/>
      <c r="AD4" s="234"/>
    </row>
    <row r="5" spans="1:30" ht="14.1" customHeight="1">
      <c r="A5" s="215">
        <v>0.24</v>
      </c>
      <c r="B5" s="15">
        <v>121</v>
      </c>
      <c r="C5" s="15">
        <v>124</v>
      </c>
      <c r="D5" s="15"/>
      <c r="E5" s="15"/>
      <c r="F5" s="15"/>
      <c r="G5" s="15"/>
      <c r="H5" s="15"/>
      <c r="I5" s="15"/>
      <c r="J5" s="234"/>
      <c r="K5" s="215">
        <v>0.24</v>
      </c>
      <c r="L5" s="15"/>
      <c r="M5" s="15"/>
      <c r="N5" s="15"/>
      <c r="O5" s="15"/>
      <c r="P5" s="15"/>
      <c r="Q5" s="15"/>
      <c r="R5" s="15"/>
      <c r="S5" s="15"/>
      <c r="T5" s="234"/>
      <c r="U5" s="215">
        <v>0.24</v>
      </c>
      <c r="V5" s="15"/>
      <c r="W5" s="15"/>
      <c r="X5" s="15"/>
      <c r="Y5" s="15"/>
      <c r="Z5" s="15"/>
      <c r="AA5" s="15"/>
      <c r="AB5" s="15"/>
      <c r="AC5" s="15"/>
      <c r="AD5" s="234"/>
    </row>
    <row r="6" spans="1:30" ht="14.1" customHeight="1">
      <c r="A6" s="215">
        <v>0.25</v>
      </c>
      <c r="B6" s="15">
        <v>126</v>
      </c>
      <c r="C6" s="15">
        <v>129</v>
      </c>
      <c r="D6" s="15">
        <v>131</v>
      </c>
      <c r="E6" s="15"/>
      <c r="F6" s="15"/>
      <c r="G6" s="15"/>
      <c r="H6" s="15"/>
      <c r="I6" s="15"/>
      <c r="J6" s="234"/>
      <c r="K6" s="215">
        <v>0.25</v>
      </c>
      <c r="L6" s="15"/>
      <c r="M6" s="15"/>
      <c r="N6" s="15"/>
      <c r="O6" s="15"/>
      <c r="P6" s="15"/>
      <c r="Q6" s="15"/>
      <c r="R6" s="15"/>
      <c r="S6" s="15"/>
      <c r="T6" s="234"/>
      <c r="U6" s="215">
        <v>0.25</v>
      </c>
      <c r="V6" s="15"/>
      <c r="W6" s="15"/>
      <c r="X6" s="15"/>
      <c r="Y6" s="15"/>
      <c r="Z6" s="15"/>
      <c r="AA6" s="15"/>
      <c r="AB6" s="15"/>
      <c r="AC6" s="15"/>
      <c r="AD6" s="234"/>
    </row>
    <row r="7" spans="1:30" ht="14.1" customHeight="1">
      <c r="A7" s="215">
        <v>0.26</v>
      </c>
      <c r="B7" s="15">
        <v>130</v>
      </c>
      <c r="C7" s="15">
        <v>133</v>
      </c>
      <c r="D7" s="15">
        <v>135</v>
      </c>
      <c r="E7" s="15">
        <v>138</v>
      </c>
      <c r="F7" s="15"/>
      <c r="G7" s="15"/>
      <c r="H7" s="15"/>
      <c r="I7" s="15"/>
      <c r="J7" s="234"/>
      <c r="K7" s="215">
        <v>0.26</v>
      </c>
      <c r="L7" s="15"/>
      <c r="M7" s="15"/>
      <c r="N7" s="15"/>
      <c r="O7" s="15"/>
      <c r="P7" s="15"/>
      <c r="Q7" s="15"/>
      <c r="R7" s="15"/>
      <c r="S7" s="15"/>
      <c r="T7" s="234"/>
      <c r="U7" s="215">
        <v>0.26</v>
      </c>
      <c r="V7" s="15"/>
      <c r="W7" s="15"/>
      <c r="X7" s="15"/>
      <c r="Y7" s="15"/>
      <c r="Z7" s="15"/>
      <c r="AA7" s="15"/>
      <c r="AB7" s="15"/>
      <c r="AC7" s="15"/>
      <c r="AD7" s="234"/>
    </row>
    <row r="8" spans="1:30" ht="14.1" customHeight="1">
      <c r="A8" s="215">
        <v>0.27</v>
      </c>
      <c r="B8" s="15">
        <v>135</v>
      </c>
      <c r="C8" s="15">
        <v>138</v>
      </c>
      <c r="D8" s="15">
        <v>140</v>
      </c>
      <c r="E8" s="15">
        <v>142</v>
      </c>
      <c r="F8" s="15">
        <v>143</v>
      </c>
      <c r="G8" s="15"/>
      <c r="H8" s="15"/>
      <c r="I8" s="15"/>
      <c r="J8" s="234"/>
      <c r="K8" s="215">
        <v>0.27</v>
      </c>
      <c r="L8" s="15"/>
      <c r="M8" s="15"/>
      <c r="N8" s="15"/>
      <c r="O8" s="15"/>
      <c r="P8" s="15"/>
      <c r="Q8" s="15"/>
      <c r="R8" s="15"/>
      <c r="S8" s="15"/>
      <c r="T8" s="234"/>
      <c r="U8" s="215">
        <v>0.27</v>
      </c>
      <c r="V8" s="15"/>
      <c r="W8" s="15"/>
      <c r="X8" s="15"/>
      <c r="Y8" s="15"/>
      <c r="Z8" s="15"/>
      <c r="AA8" s="15"/>
      <c r="AB8" s="15"/>
      <c r="AC8" s="15"/>
      <c r="AD8" s="234"/>
    </row>
    <row r="9" spans="1:30" ht="14.1" customHeight="1">
      <c r="A9" s="215">
        <v>0.28000000000000003</v>
      </c>
      <c r="B9" s="15">
        <v>140</v>
      </c>
      <c r="C9" s="15">
        <v>142</v>
      </c>
      <c r="D9" s="15">
        <v>144</v>
      </c>
      <c r="E9" s="15">
        <v>146</v>
      </c>
      <c r="F9" s="15">
        <v>147</v>
      </c>
      <c r="G9" s="15">
        <v>149</v>
      </c>
      <c r="H9" s="15"/>
      <c r="I9" s="15"/>
      <c r="J9" s="234"/>
      <c r="K9" s="215">
        <v>0.28000000000000003</v>
      </c>
      <c r="L9" s="15"/>
      <c r="M9" s="15"/>
      <c r="N9" s="15">
        <v>149</v>
      </c>
      <c r="O9" s="15">
        <v>151</v>
      </c>
      <c r="P9" s="15">
        <v>154</v>
      </c>
      <c r="Q9" s="15"/>
      <c r="R9" s="15"/>
      <c r="S9" s="15"/>
      <c r="T9" s="234"/>
      <c r="U9" s="215">
        <v>0.28000000000000003</v>
      </c>
      <c r="V9" s="15"/>
      <c r="W9" s="15"/>
      <c r="X9" s="15">
        <v>150</v>
      </c>
      <c r="Y9" s="15">
        <v>155</v>
      </c>
      <c r="Z9" s="15">
        <v>159</v>
      </c>
      <c r="AA9" s="15"/>
      <c r="AB9" s="15"/>
      <c r="AC9" s="15"/>
      <c r="AD9" s="234"/>
    </row>
    <row r="10" spans="1:30" ht="14.1" customHeight="1">
      <c r="A10" s="215">
        <v>0.28999999999999998</v>
      </c>
      <c r="B10" s="15">
        <v>144</v>
      </c>
      <c r="C10" s="15">
        <v>146</v>
      </c>
      <c r="D10" s="15">
        <v>148</v>
      </c>
      <c r="E10" s="15">
        <v>150</v>
      </c>
      <c r="F10" s="15">
        <v>151</v>
      </c>
      <c r="G10" s="15">
        <v>153</v>
      </c>
      <c r="H10" s="15">
        <v>154</v>
      </c>
      <c r="I10" s="15"/>
      <c r="J10" s="234"/>
      <c r="K10" s="215">
        <v>0.28999999999999998</v>
      </c>
      <c r="L10" s="15"/>
      <c r="M10" s="15"/>
      <c r="N10" s="15">
        <v>154</v>
      </c>
      <c r="O10" s="15">
        <v>156</v>
      </c>
      <c r="P10" s="15">
        <v>158</v>
      </c>
      <c r="Q10" s="15">
        <v>159</v>
      </c>
      <c r="R10" s="15"/>
      <c r="S10" s="15"/>
      <c r="T10" s="234"/>
      <c r="U10" s="215">
        <v>0.28999999999999998</v>
      </c>
      <c r="V10" s="15"/>
      <c r="W10" s="15"/>
      <c r="X10" s="15">
        <v>155</v>
      </c>
      <c r="Y10" s="15">
        <v>160</v>
      </c>
      <c r="Z10" s="15">
        <v>164</v>
      </c>
      <c r="AA10" s="15">
        <v>168</v>
      </c>
      <c r="AB10" s="15"/>
      <c r="AC10" s="15"/>
      <c r="AD10" s="234"/>
    </row>
    <row r="11" spans="1:30" ht="14.1" customHeight="1">
      <c r="A11" s="215">
        <v>0.3</v>
      </c>
      <c r="B11" s="15">
        <v>149</v>
      </c>
      <c r="C11" s="15">
        <v>151</v>
      </c>
      <c r="D11" s="15">
        <v>153</v>
      </c>
      <c r="E11" s="15">
        <v>155</v>
      </c>
      <c r="F11" s="15">
        <v>156</v>
      </c>
      <c r="G11" s="15">
        <v>157</v>
      </c>
      <c r="H11" s="15">
        <v>158</v>
      </c>
      <c r="I11" s="15">
        <v>159</v>
      </c>
      <c r="J11" s="234"/>
      <c r="K11" s="215">
        <v>0.3</v>
      </c>
      <c r="L11" s="15"/>
      <c r="M11" s="15"/>
      <c r="N11" s="15">
        <v>158</v>
      </c>
      <c r="O11" s="15">
        <v>160</v>
      </c>
      <c r="P11" s="15">
        <v>162</v>
      </c>
      <c r="Q11" s="15">
        <v>162</v>
      </c>
      <c r="R11" s="15">
        <v>163</v>
      </c>
      <c r="S11" s="15"/>
      <c r="T11" s="234"/>
      <c r="U11" s="215">
        <v>0.3</v>
      </c>
      <c r="V11" s="15"/>
      <c r="W11" s="15"/>
      <c r="X11" s="15">
        <v>160</v>
      </c>
      <c r="Y11" s="15">
        <v>164</v>
      </c>
      <c r="Z11" s="15">
        <v>168</v>
      </c>
      <c r="AA11" s="15">
        <v>172</v>
      </c>
      <c r="AB11" s="15">
        <v>176</v>
      </c>
      <c r="AC11" s="15"/>
      <c r="AD11" s="234"/>
    </row>
    <row r="12" spans="1:30" ht="14.1" customHeight="1">
      <c r="A12" s="215">
        <v>0.31</v>
      </c>
      <c r="B12" s="15">
        <v>154</v>
      </c>
      <c r="C12" s="15">
        <v>156</v>
      </c>
      <c r="D12" s="15">
        <v>157</v>
      </c>
      <c r="E12" s="15">
        <v>159</v>
      </c>
      <c r="F12" s="15">
        <v>160</v>
      </c>
      <c r="G12" s="15">
        <v>161</v>
      </c>
      <c r="H12" s="15">
        <v>162</v>
      </c>
      <c r="I12" s="15">
        <v>163</v>
      </c>
      <c r="J12" s="234">
        <v>164</v>
      </c>
      <c r="K12" s="215">
        <v>0.31</v>
      </c>
      <c r="L12" s="15"/>
      <c r="M12" s="15"/>
      <c r="N12" s="15">
        <v>163</v>
      </c>
      <c r="O12" s="15">
        <v>164</v>
      </c>
      <c r="P12" s="15">
        <v>166</v>
      </c>
      <c r="Q12" s="15">
        <v>166</v>
      </c>
      <c r="R12" s="15">
        <v>167</v>
      </c>
      <c r="S12" s="15">
        <v>167</v>
      </c>
      <c r="T12" s="234"/>
      <c r="U12" s="215">
        <v>0.31</v>
      </c>
      <c r="V12" s="15"/>
      <c r="W12" s="15"/>
      <c r="X12" s="15">
        <v>165</v>
      </c>
      <c r="Y12" s="15">
        <v>168</v>
      </c>
      <c r="Z12" s="15">
        <v>172</v>
      </c>
      <c r="AA12" s="15">
        <v>174</v>
      </c>
      <c r="AB12" s="15">
        <v>180</v>
      </c>
      <c r="AC12" s="15">
        <v>182</v>
      </c>
      <c r="AD12" s="234"/>
    </row>
    <row r="13" spans="1:30" ht="14.1" customHeight="1">
      <c r="A13" s="215">
        <v>0.32</v>
      </c>
      <c r="B13" s="15">
        <v>158</v>
      </c>
      <c r="C13" s="15">
        <v>160</v>
      </c>
      <c r="D13" s="15">
        <v>162</v>
      </c>
      <c r="E13" s="15">
        <v>163</v>
      </c>
      <c r="F13" s="15">
        <v>164</v>
      </c>
      <c r="G13" s="15">
        <v>166</v>
      </c>
      <c r="H13" s="15">
        <v>167</v>
      </c>
      <c r="I13" s="15">
        <v>168</v>
      </c>
      <c r="J13" s="234">
        <v>168</v>
      </c>
      <c r="K13" s="215">
        <v>0.32</v>
      </c>
      <c r="L13" s="15"/>
      <c r="M13" s="15"/>
      <c r="N13" s="15">
        <v>167</v>
      </c>
      <c r="O13" s="15">
        <v>169</v>
      </c>
      <c r="P13" s="15">
        <v>171</v>
      </c>
      <c r="Q13" s="15">
        <v>171</v>
      </c>
      <c r="R13" s="15">
        <v>171</v>
      </c>
      <c r="S13" s="15">
        <v>172</v>
      </c>
      <c r="T13" s="234">
        <v>172</v>
      </c>
      <c r="U13" s="215">
        <v>0.32</v>
      </c>
      <c r="V13" s="15"/>
      <c r="W13" s="15"/>
      <c r="X13" s="15">
        <v>169</v>
      </c>
      <c r="Y13" s="15">
        <v>173</v>
      </c>
      <c r="Z13" s="15">
        <v>177</v>
      </c>
      <c r="AA13" s="15">
        <v>181</v>
      </c>
      <c r="AB13" s="15">
        <v>184</v>
      </c>
      <c r="AC13" s="15">
        <v>186</v>
      </c>
      <c r="AD13" s="234">
        <v>188</v>
      </c>
    </row>
    <row r="14" spans="1:30" ht="14.1" customHeight="1">
      <c r="A14" s="215">
        <v>0.33</v>
      </c>
      <c r="B14" s="15">
        <v>163</v>
      </c>
      <c r="C14" s="15">
        <v>165</v>
      </c>
      <c r="D14" s="15">
        <v>166</v>
      </c>
      <c r="E14" s="15">
        <v>168</v>
      </c>
      <c r="F14" s="15">
        <v>169</v>
      </c>
      <c r="G14" s="15">
        <v>170</v>
      </c>
      <c r="H14" s="15">
        <v>171</v>
      </c>
      <c r="I14" s="15">
        <v>173</v>
      </c>
      <c r="J14" s="234">
        <v>173</v>
      </c>
      <c r="K14" s="215">
        <v>0.33</v>
      </c>
      <c r="L14" s="15"/>
      <c r="M14" s="15"/>
      <c r="N14" s="15">
        <v>171</v>
      </c>
      <c r="O14" s="15">
        <v>173</v>
      </c>
      <c r="P14" s="15">
        <v>175</v>
      </c>
      <c r="Q14" s="15">
        <v>176</v>
      </c>
      <c r="R14" s="15">
        <v>176</v>
      </c>
      <c r="S14" s="15">
        <v>176</v>
      </c>
      <c r="T14" s="234">
        <v>176</v>
      </c>
      <c r="U14" s="215">
        <v>0.33</v>
      </c>
      <c r="V14" s="15"/>
      <c r="W14" s="15"/>
      <c r="X14" s="15">
        <v>174</v>
      </c>
      <c r="Y14" s="15">
        <v>178</v>
      </c>
      <c r="Z14" s="15">
        <v>181</v>
      </c>
      <c r="AA14" s="15">
        <v>185</v>
      </c>
      <c r="AB14" s="15">
        <v>188</v>
      </c>
      <c r="AC14" s="15">
        <v>190</v>
      </c>
      <c r="AD14" s="234">
        <v>192</v>
      </c>
    </row>
    <row r="15" spans="1:30" ht="14.1" customHeight="1">
      <c r="A15" s="215">
        <v>0.34</v>
      </c>
      <c r="B15" s="15">
        <v>168</v>
      </c>
      <c r="C15" s="15">
        <v>170</v>
      </c>
      <c r="D15" s="15">
        <v>171</v>
      </c>
      <c r="E15" s="15">
        <v>172</v>
      </c>
      <c r="F15" s="15">
        <v>173</v>
      </c>
      <c r="G15" s="15">
        <v>174</v>
      </c>
      <c r="H15" s="15">
        <v>175</v>
      </c>
      <c r="I15" s="15">
        <v>176</v>
      </c>
      <c r="J15" s="234">
        <v>177</v>
      </c>
      <c r="K15" s="215">
        <v>0.34</v>
      </c>
      <c r="L15" s="15"/>
      <c r="M15" s="15"/>
      <c r="N15" s="15">
        <v>176</v>
      </c>
      <c r="O15" s="15">
        <v>178</v>
      </c>
      <c r="P15" s="15">
        <v>179</v>
      </c>
      <c r="Q15" s="15">
        <v>179</v>
      </c>
      <c r="R15" s="15">
        <v>180</v>
      </c>
      <c r="S15" s="15">
        <v>180</v>
      </c>
      <c r="T15" s="234">
        <v>180</v>
      </c>
      <c r="U15" s="215">
        <v>0.34</v>
      </c>
      <c r="V15" s="15"/>
      <c r="W15" s="15"/>
      <c r="X15" s="15">
        <v>179</v>
      </c>
      <c r="Y15" s="15">
        <v>183</v>
      </c>
      <c r="Z15" s="15">
        <v>186</v>
      </c>
      <c r="AA15" s="15">
        <v>190</v>
      </c>
      <c r="AB15" s="15">
        <v>193</v>
      </c>
      <c r="AC15" s="15">
        <v>195</v>
      </c>
      <c r="AD15" s="234">
        <v>196</v>
      </c>
    </row>
    <row r="16" spans="1:30" ht="14.1" customHeight="1">
      <c r="A16" s="215">
        <v>0.35</v>
      </c>
      <c r="B16" s="15"/>
      <c r="C16" s="15">
        <v>174</v>
      </c>
      <c r="D16" s="15">
        <v>175</v>
      </c>
      <c r="E16" s="15">
        <v>176</v>
      </c>
      <c r="F16" s="15">
        <v>177</v>
      </c>
      <c r="G16" s="15">
        <v>178</v>
      </c>
      <c r="H16" s="15">
        <v>179</v>
      </c>
      <c r="I16" s="15">
        <v>180</v>
      </c>
      <c r="J16" s="234">
        <v>181</v>
      </c>
      <c r="K16" s="215">
        <v>0.35</v>
      </c>
      <c r="L16" s="15"/>
      <c r="M16" s="15"/>
      <c r="N16" s="15">
        <v>180</v>
      </c>
      <c r="O16" s="15">
        <v>181</v>
      </c>
      <c r="P16" s="15">
        <v>183</v>
      </c>
      <c r="Q16" s="15">
        <v>183</v>
      </c>
      <c r="R16" s="15">
        <v>184</v>
      </c>
      <c r="S16" s="15">
        <v>185</v>
      </c>
      <c r="T16" s="234">
        <v>185</v>
      </c>
      <c r="U16" s="215">
        <v>0.35</v>
      </c>
      <c r="V16" s="15"/>
      <c r="W16" s="15"/>
      <c r="X16" s="15">
        <v>184</v>
      </c>
      <c r="Y16" s="15">
        <v>187</v>
      </c>
      <c r="Z16" s="15">
        <v>190</v>
      </c>
      <c r="AA16" s="15">
        <v>194</v>
      </c>
      <c r="AB16" s="15">
        <v>197</v>
      </c>
      <c r="AC16" s="15">
        <v>199</v>
      </c>
      <c r="AD16" s="234">
        <v>201</v>
      </c>
    </row>
    <row r="17" spans="1:30" ht="14.1" customHeight="1">
      <c r="A17" s="215">
        <v>0.36</v>
      </c>
      <c r="B17" s="15"/>
      <c r="C17" s="15"/>
      <c r="D17" s="15">
        <v>179</v>
      </c>
      <c r="E17" s="15">
        <v>181</v>
      </c>
      <c r="F17" s="15">
        <v>182</v>
      </c>
      <c r="G17" s="15">
        <v>183</v>
      </c>
      <c r="H17" s="15">
        <v>184</v>
      </c>
      <c r="I17" s="15">
        <v>185</v>
      </c>
      <c r="J17" s="234">
        <v>185</v>
      </c>
      <c r="K17" s="215">
        <v>0.36</v>
      </c>
      <c r="L17" s="15"/>
      <c r="M17" s="15"/>
      <c r="N17" s="15">
        <v>185</v>
      </c>
      <c r="O17" s="15">
        <v>186</v>
      </c>
      <c r="P17" s="15">
        <v>187</v>
      </c>
      <c r="Q17" s="15">
        <v>187</v>
      </c>
      <c r="R17" s="15">
        <v>188</v>
      </c>
      <c r="S17" s="15">
        <v>188</v>
      </c>
      <c r="T17" s="234">
        <v>189</v>
      </c>
      <c r="U17" s="215">
        <v>0.36</v>
      </c>
      <c r="V17" s="15"/>
      <c r="W17" s="15"/>
      <c r="X17" s="15">
        <v>189</v>
      </c>
      <c r="Y17" s="15">
        <v>192</v>
      </c>
      <c r="Z17" s="15">
        <v>195</v>
      </c>
      <c r="AA17" s="15">
        <v>198</v>
      </c>
      <c r="AB17" s="15">
        <v>201</v>
      </c>
      <c r="AC17" s="15">
        <v>204</v>
      </c>
      <c r="AD17" s="234">
        <v>205</v>
      </c>
    </row>
    <row r="18" spans="1:30" ht="14.1" customHeight="1">
      <c r="A18" s="215">
        <v>0.37</v>
      </c>
      <c r="B18" s="15"/>
      <c r="C18" s="15"/>
      <c r="D18" s="15"/>
      <c r="E18" s="15">
        <v>185</v>
      </c>
      <c r="F18" s="15">
        <v>186</v>
      </c>
      <c r="G18" s="15">
        <v>187</v>
      </c>
      <c r="H18" s="15">
        <v>188</v>
      </c>
      <c r="I18" s="15">
        <v>189</v>
      </c>
      <c r="J18" s="234">
        <v>190</v>
      </c>
      <c r="K18" s="215">
        <v>0.37</v>
      </c>
      <c r="L18" s="15"/>
      <c r="M18" s="15"/>
      <c r="N18" s="15">
        <v>189</v>
      </c>
      <c r="O18" s="15">
        <v>190</v>
      </c>
      <c r="P18" s="15">
        <v>191</v>
      </c>
      <c r="Q18" s="15">
        <v>191</v>
      </c>
      <c r="R18" s="15">
        <v>192</v>
      </c>
      <c r="S18" s="15">
        <v>193</v>
      </c>
      <c r="T18" s="234">
        <v>193</v>
      </c>
      <c r="U18" s="215">
        <v>0.37</v>
      </c>
      <c r="V18" s="15"/>
      <c r="W18" s="15"/>
      <c r="X18" s="15">
        <v>193</v>
      </c>
      <c r="Y18" s="15">
        <v>196</v>
      </c>
      <c r="Z18" s="15">
        <v>199</v>
      </c>
      <c r="AA18" s="15">
        <v>202</v>
      </c>
      <c r="AB18" s="15">
        <v>205</v>
      </c>
      <c r="AC18" s="15">
        <v>207</v>
      </c>
      <c r="AD18" s="234">
        <v>209</v>
      </c>
    </row>
    <row r="19" spans="1:30" ht="14.1" customHeight="1">
      <c r="A19" s="215">
        <v>0.38</v>
      </c>
      <c r="B19" s="15"/>
      <c r="C19" s="15"/>
      <c r="D19" s="15"/>
      <c r="E19" s="15"/>
      <c r="F19" s="15">
        <v>190</v>
      </c>
      <c r="G19" s="15">
        <v>191</v>
      </c>
      <c r="H19" s="15">
        <v>192</v>
      </c>
      <c r="I19" s="15">
        <v>193</v>
      </c>
      <c r="J19" s="234">
        <v>194</v>
      </c>
      <c r="K19" s="215">
        <v>0.38</v>
      </c>
      <c r="L19" s="15"/>
      <c r="M19" s="15"/>
      <c r="N19" s="15">
        <v>193</v>
      </c>
      <c r="O19" s="15">
        <v>194</v>
      </c>
      <c r="P19" s="15">
        <v>196</v>
      </c>
      <c r="Q19" s="15">
        <v>196</v>
      </c>
      <c r="R19" s="15">
        <v>197</v>
      </c>
      <c r="S19" s="15">
        <v>197</v>
      </c>
      <c r="T19" s="234">
        <v>197</v>
      </c>
      <c r="U19" s="215">
        <v>0.38</v>
      </c>
      <c r="V19" s="15"/>
      <c r="W19" s="15"/>
      <c r="X19" s="15">
        <v>198</v>
      </c>
      <c r="Y19" s="15">
        <v>201</v>
      </c>
      <c r="Z19" s="15">
        <v>204</v>
      </c>
      <c r="AA19" s="15">
        <v>207</v>
      </c>
      <c r="AB19" s="15">
        <v>209</v>
      </c>
      <c r="AC19" s="15">
        <v>211</v>
      </c>
      <c r="AD19" s="234">
        <v>213</v>
      </c>
    </row>
    <row r="20" spans="1:30" ht="14.1" customHeight="1">
      <c r="A20" s="215">
        <v>0.39</v>
      </c>
      <c r="B20" s="15"/>
      <c r="C20" s="15"/>
      <c r="D20" s="15"/>
      <c r="E20" s="15"/>
      <c r="F20" s="15"/>
      <c r="G20" s="15">
        <v>196</v>
      </c>
      <c r="H20" s="15">
        <v>197</v>
      </c>
      <c r="I20" s="15">
        <v>198</v>
      </c>
      <c r="J20" s="234">
        <v>198</v>
      </c>
      <c r="K20" s="215">
        <v>0.39</v>
      </c>
      <c r="L20" s="15"/>
      <c r="M20" s="15"/>
      <c r="N20" s="15">
        <v>198</v>
      </c>
      <c r="O20" s="15">
        <v>199</v>
      </c>
      <c r="P20" s="15">
        <v>200</v>
      </c>
      <c r="Q20" s="15">
        <v>200</v>
      </c>
      <c r="R20" s="15">
        <v>201</v>
      </c>
      <c r="S20" s="15">
        <v>201</v>
      </c>
      <c r="T20" s="234">
        <v>202</v>
      </c>
      <c r="U20" s="215">
        <v>0.39</v>
      </c>
      <c r="V20" s="15"/>
      <c r="W20" s="15"/>
      <c r="X20" s="15">
        <v>203</v>
      </c>
      <c r="Y20" s="15">
        <v>206</v>
      </c>
      <c r="Z20" s="15">
        <v>208</v>
      </c>
      <c r="AA20" s="15">
        <v>211</v>
      </c>
      <c r="AB20" s="15">
        <v>214</v>
      </c>
      <c r="AC20" s="15">
        <v>216</v>
      </c>
      <c r="AD20" s="234">
        <v>217</v>
      </c>
    </row>
    <row r="21" spans="1:30" ht="14.1" customHeight="1">
      <c r="A21" s="215">
        <v>0.4</v>
      </c>
      <c r="B21" s="15"/>
      <c r="C21" s="15"/>
      <c r="D21" s="15"/>
      <c r="E21" s="15"/>
      <c r="F21" s="15"/>
      <c r="G21" s="15"/>
      <c r="H21" s="15">
        <v>201</v>
      </c>
      <c r="I21" s="15">
        <v>202</v>
      </c>
      <c r="J21" s="234">
        <v>203</v>
      </c>
      <c r="K21" s="215">
        <v>0.4</v>
      </c>
      <c r="L21" s="15"/>
      <c r="M21" s="15"/>
      <c r="N21" s="15">
        <v>202</v>
      </c>
      <c r="O21" s="15">
        <v>203</v>
      </c>
      <c r="P21" s="15">
        <v>204</v>
      </c>
      <c r="Q21" s="15">
        <v>204</v>
      </c>
      <c r="R21" s="15">
        <v>205</v>
      </c>
      <c r="S21" s="15">
        <v>205</v>
      </c>
      <c r="T21" s="234">
        <v>206</v>
      </c>
      <c r="U21" s="215">
        <v>0.4</v>
      </c>
      <c r="V21" s="15"/>
      <c r="W21" s="15"/>
      <c r="X21" s="15">
        <v>208</v>
      </c>
      <c r="Y21" s="15">
        <v>211</v>
      </c>
      <c r="Z21" s="15">
        <v>213</v>
      </c>
      <c r="AA21" s="15">
        <v>216</v>
      </c>
      <c r="AB21" s="15">
        <v>218</v>
      </c>
      <c r="AC21" s="15">
        <v>220</v>
      </c>
      <c r="AD21" s="234">
        <v>221</v>
      </c>
    </row>
    <row r="22" spans="1:30" ht="14.1" customHeight="1">
      <c r="A22" s="215">
        <v>0.41</v>
      </c>
      <c r="B22" s="15"/>
      <c r="C22" s="15"/>
      <c r="D22" s="15"/>
      <c r="E22" s="15"/>
      <c r="F22" s="15"/>
      <c r="G22" s="15"/>
      <c r="H22" s="15"/>
      <c r="I22" s="15">
        <v>206</v>
      </c>
      <c r="J22" s="234">
        <v>207</v>
      </c>
      <c r="K22" s="215">
        <v>0.41</v>
      </c>
      <c r="L22" s="15"/>
      <c r="M22" s="15"/>
      <c r="N22" s="15">
        <v>206</v>
      </c>
      <c r="O22" s="15">
        <v>207</v>
      </c>
      <c r="P22" s="15">
        <v>208</v>
      </c>
      <c r="Q22" s="15">
        <v>208</v>
      </c>
      <c r="R22" s="15">
        <v>209</v>
      </c>
      <c r="S22" s="15">
        <v>209</v>
      </c>
      <c r="T22" s="234">
        <v>210</v>
      </c>
      <c r="U22" s="215">
        <v>0.41</v>
      </c>
      <c r="V22" s="15"/>
      <c r="W22" s="15"/>
      <c r="X22" s="15">
        <v>213</v>
      </c>
      <c r="Y22" s="15">
        <v>215</v>
      </c>
      <c r="Z22" s="15">
        <v>217</v>
      </c>
      <c r="AA22" s="15">
        <v>220</v>
      </c>
      <c r="AB22" s="15">
        <v>222</v>
      </c>
      <c r="AC22" s="15">
        <v>224</v>
      </c>
      <c r="AD22" s="234">
        <v>225</v>
      </c>
    </row>
    <row r="23" spans="1:30" ht="14.1" customHeight="1" thickBot="1">
      <c r="A23" s="216">
        <v>0.42</v>
      </c>
      <c r="B23" s="217"/>
      <c r="C23" s="217"/>
      <c r="D23" s="217"/>
      <c r="E23" s="217"/>
      <c r="F23" s="217"/>
      <c r="G23" s="217"/>
      <c r="H23" s="217"/>
      <c r="I23" s="217"/>
      <c r="J23" s="186">
        <v>211</v>
      </c>
      <c r="K23" s="216">
        <v>0.42</v>
      </c>
      <c r="L23" s="217"/>
      <c r="M23" s="217"/>
      <c r="N23" s="217">
        <v>211</v>
      </c>
      <c r="O23" s="217">
        <v>211</v>
      </c>
      <c r="P23" s="217">
        <v>212</v>
      </c>
      <c r="Q23" s="217">
        <v>212</v>
      </c>
      <c r="R23" s="217">
        <v>213</v>
      </c>
      <c r="S23" s="217">
        <v>213</v>
      </c>
      <c r="T23" s="186">
        <v>214</v>
      </c>
      <c r="U23" s="216">
        <v>0.42</v>
      </c>
      <c r="V23" s="217"/>
      <c r="W23" s="217"/>
      <c r="X23" s="217">
        <v>218</v>
      </c>
      <c r="Y23" s="217">
        <v>220</v>
      </c>
      <c r="Z23" s="217">
        <v>222</v>
      </c>
      <c r="AA23" s="217">
        <v>224</v>
      </c>
      <c r="AB23" s="217">
        <v>226</v>
      </c>
      <c r="AC23" s="217">
        <v>228</v>
      </c>
      <c r="AD23" s="186">
        <v>229</v>
      </c>
    </row>
    <row r="25" spans="1:30" ht="14.1" customHeight="1" thickBot="1">
      <c r="A25" s="80" t="s">
        <v>447</v>
      </c>
      <c r="N25" s="80" t="s">
        <v>448</v>
      </c>
    </row>
    <row r="26" spans="1:30" ht="14.1" customHeight="1">
      <c r="A26" s="334"/>
      <c r="B26" s="781" t="s">
        <v>25</v>
      </c>
      <c r="C26" s="781"/>
      <c r="D26" s="781"/>
      <c r="E26" s="781"/>
      <c r="F26" s="781"/>
      <c r="G26" s="781"/>
      <c r="H26" s="781"/>
      <c r="I26" s="781"/>
      <c r="J26" s="781"/>
      <c r="K26" s="781"/>
      <c r="L26" s="781"/>
      <c r="M26" s="231"/>
      <c r="N26" s="334"/>
      <c r="O26" s="780" t="s">
        <v>25</v>
      </c>
      <c r="P26" s="780"/>
      <c r="Q26" s="780"/>
      <c r="R26" s="780"/>
      <c r="S26" s="780"/>
      <c r="T26" s="780"/>
      <c r="U26" s="780"/>
      <c r="V26" s="780"/>
      <c r="W26" s="780"/>
      <c r="X26" s="780"/>
      <c r="Y26" s="780"/>
      <c r="Z26" s="780"/>
      <c r="AA26" s="780"/>
    </row>
    <row r="27" spans="1:30" ht="14.1" customHeight="1">
      <c r="A27" s="215" t="s">
        <v>358</v>
      </c>
      <c r="B27" s="15">
        <v>22</v>
      </c>
      <c r="C27" s="15">
        <v>23</v>
      </c>
      <c r="D27" s="15">
        <v>24</v>
      </c>
      <c r="E27" s="15">
        <v>25</v>
      </c>
      <c r="F27" s="15">
        <v>26</v>
      </c>
      <c r="G27" s="15">
        <v>27</v>
      </c>
      <c r="H27" s="15">
        <v>28</v>
      </c>
      <c r="I27" s="15">
        <v>29</v>
      </c>
      <c r="J27" s="15">
        <v>30</v>
      </c>
      <c r="K27" s="15">
        <v>31</v>
      </c>
      <c r="L27" s="15">
        <v>32</v>
      </c>
      <c r="M27" s="234">
        <v>33</v>
      </c>
      <c r="N27" s="215" t="s">
        <v>358</v>
      </c>
      <c r="O27" s="15">
        <v>27</v>
      </c>
      <c r="P27" s="15">
        <v>28</v>
      </c>
      <c r="Q27" s="15">
        <v>29</v>
      </c>
      <c r="R27" s="15">
        <v>30</v>
      </c>
      <c r="S27" s="15">
        <v>31</v>
      </c>
      <c r="T27" s="15">
        <v>32</v>
      </c>
      <c r="U27" s="15">
        <v>33</v>
      </c>
      <c r="V27" s="15">
        <v>34</v>
      </c>
      <c r="W27" s="15">
        <v>35</v>
      </c>
      <c r="X27" s="15">
        <v>36</v>
      </c>
      <c r="Y27" s="15">
        <v>37</v>
      </c>
      <c r="Z27" s="15">
        <v>38</v>
      </c>
      <c r="AA27" s="234">
        <v>39</v>
      </c>
    </row>
    <row r="28" spans="1:30" ht="14.1" customHeight="1">
      <c r="A28" s="215">
        <v>0.3</v>
      </c>
      <c r="B28" s="15">
        <v>152</v>
      </c>
      <c r="C28" s="15">
        <v>157</v>
      </c>
      <c r="D28" s="15">
        <v>163</v>
      </c>
      <c r="E28" s="15">
        <v>166</v>
      </c>
      <c r="F28" s="15">
        <v>170</v>
      </c>
      <c r="G28" s="15">
        <v>173</v>
      </c>
      <c r="H28" s="15">
        <v>175</v>
      </c>
      <c r="I28" s="15">
        <v>177</v>
      </c>
      <c r="J28" s="15">
        <v>179</v>
      </c>
      <c r="K28" s="15">
        <v>182</v>
      </c>
      <c r="L28" s="15">
        <v>184</v>
      </c>
      <c r="M28" s="234">
        <v>187</v>
      </c>
      <c r="N28" s="215">
        <v>0.4</v>
      </c>
      <c r="O28" s="15">
        <v>222</v>
      </c>
      <c r="P28" s="15">
        <v>226</v>
      </c>
      <c r="Q28" s="15">
        <v>229</v>
      </c>
      <c r="R28" s="15">
        <v>231</v>
      </c>
      <c r="S28" s="15">
        <v>234</v>
      </c>
      <c r="T28" s="15">
        <v>236</v>
      </c>
      <c r="U28" s="15">
        <v>239</v>
      </c>
      <c r="V28" s="15">
        <v>241</v>
      </c>
      <c r="W28" s="15">
        <v>244</v>
      </c>
      <c r="X28" s="15">
        <v>246</v>
      </c>
      <c r="Y28" s="15">
        <v>248</v>
      </c>
      <c r="Z28" s="15">
        <v>250</v>
      </c>
      <c r="AA28" s="234">
        <v>252</v>
      </c>
    </row>
    <row r="29" spans="1:30" ht="14.1" customHeight="1">
      <c r="A29" s="215">
        <v>0.32500000000000001</v>
      </c>
      <c r="B29" s="15">
        <v>163</v>
      </c>
      <c r="C29" s="15">
        <v>169</v>
      </c>
      <c r="D29" s="15">
        <v>174</v>
      </c>
      <c r="E29" s="15">
        <v>177</v>
      </c>
      <c r="F29" s="15">
        <v>181</v>
      </c>
      <c r="G29" s="15">
        <v>183</v>
      </c>
      <c r="H29" s="15">
        <v>186</v>
      </c>
      <c r="I29" s="15">
        <v>188</v>
      </c>
      <c r="J29" s="15">
        <v>190</v>
      </c>
      <c r="K29" s="15">
        <v>192</v>
      </c>
      <c r="L29" s="15">
        <v>195</v>
      </c>
      <c r="M29" s="234">
        <v>197</v>
      </c>
      <c r="N29" s="215">
        <v>0.42499999999999999</v>
      </c>
      <c r="O29" s="15">
        <v>233</v>
      </c>
      <c r="P29" s="15">
        <v>236</v>
      </c>
      <c r="Q29" s="15">
        <v>239</v>
      </c>
      <c r="R29" s="15">
        <v>242</v>
      </c>
      <c r="S29" s="15">
        <v>244</v>
      </c>
      <c r="T29" s="15">
        <v>246</v>
      </c>
      <c r="U29" s="15">
        <v>248</v>
      </c>
      <c r="V29" s="15">
        <v>251</v>
      </c>
      <c r="W29" s="15">
        <v>253</v>
      </c>
      <c r="X29" s="15">
        <v>256</v>
      </c>
      <c r="Y29" s="15">
        <v>258</v>
      </c>
      <c r="Z29" s="15">
        <v>260</v>
      </c>
      <c r="AA29" s="234">
        <v>262</v>
      </c>
    </row>
    <row r="30" spans="1:30" ht="14.1" customHeight="1">
      <c r="A30" s="215">
        <v>0.35</v>
      </c>
      <c r="B30" s="15">
        <v>175</v>
      </c>
      <c r="C30" s="15">
        <v>180</v>
      </c>
      <c r="D30" s="15">
        <v>185</v>
      </c>
      <c r="E30" s="15">
        <v>188</v>
      </c>
      <c r="F30" s="15">
        <v>191</v>
      </c>
      <c r="G30" s="15">
        <v>194</v>
      </c>
      <c r="H30" s="15">
        <v>196</v>
      </c>
      <c r="I30" s="15">
        <v>198</v>
      </c>
      <c r="J30" s="15">
        <v>200</v>
      </c>
      <c r="K30" s="15">
        <v>202</v>
      </c>
      <c r="L30" s="15">
        <v>205</v>
      </c>
      <c r="M30" s="234">
        <v>207</v>
      </c>
      <c r="N30" s="215">
        <v>0.45</v>
      </c>
      <c r="O30" s="15">
        <v>244</v>
      </c>
      <c r="P30" s="15">
        <v>247</v>
      </c>
      <c r="Q30" s="15">
        <v>249</v>
      </c>
      <c r="R30" s="15">
        <v>252</v>
      </c>
      <c r="S30" s="15">
        <v>254</v>
      </c>
      <c r="T30" s="15">
        <v>256</v>
      </c>
      <c r="U30" s="15">
        <v>258</v>
      </c>
      <c r="V30" s="15">
        <v>260</v>
      </c>
      <c r="W30" s="15">
        <v>263</v>
      </c>
      <c r="X30" s="15">
        <v>265</v>
      </c>
      <c r="Y30" s="15">
        <v>267</v>
      </c>
      <c r="Z30" s="15">
        <v>269</v>
      </c>
      <c r="AA30" s="234">
        <v>271</v>
      </c>
    </row>
    <row r="31" spans="1:30" ht="14.1" customHeight="1">
      <c r="A31" s="215">
        <v>0.375</v>
      </c>
      <c r="B31" s="15">
        <v>186</v>
      </c>
      <c r="C31" s="15">
        <v>191</v>
      </c>
      <c r="D31" s="15">
        <v>196</v>
      </c>
      <c r="E31" s="15">
        <v>199</v>
      </c>
      <c r="F31" s="15">
        <v>202</v>
      </c>
      <c r="G31" s="15">
        <v>205</v>
      </c>
      <c r="H31" s="15">
        <v>207</v>
      </c>
      <c r="I31" s="15">
        <v>209</v>
      </c>
      <c r="J31" s="15">
        <v>211</v>
      </c>
      <c r="K31" s="15">
        <v>213</v>
      </c>
      <c r="L31" s="15">
        <v>215</v>
      </c>
      <c r="M31" s="234">
        <v>218</v>
      </c>
      <c r="N31" s="215">
        <v>0.47499999999999998</v>
      </c>
      <c r="O31" s="15">
        <v>254</v>
      </c>
      <c r="P31" s="15">
        <v>257</v>
      </c>
      <c r="Q31" s="15">
        <v>260</v>
      </c>
      <c r="R31" s="15">
        <v>262</v>
      </c>
      <c r="S31" s="15">
        <v>264</v>
      </c>
      <c r="T31" s="15">
        <v>266</v>
      </c>
      <c r="U31" s="15">
        <v>268</v>
      </c>
      <c r="V31" s="15">
        <v>270</v>
      </c>
      <c r="W31" s="15">
        <v>273</v>
      </c>
      <c r="X31" s="15">
        <v>275</v>
      </c>
      <c r="Y31" s="15">
        <v>277</v>
      </c>
      <c r="Z31" s="15">
        <v>279</v>
      </c>
      <c r="AA31" s="234">
        <v>281</v>
      </c>
    </row>
    <row r="32" spans="1:30" ht="14.1" customHeight="1">
      <c r="A32" s="215">
        <v>0.4</v>
      </c>
      <c r="B32" s="15">
        <v>198</v>
      </c>
      <c r="C32" s="15">
        <v>203</v>
      </c>
      <c r="D32" s="15">
        <v>207</v>
      </c>
      <c r="E32" s="15">
        <v>210</v>
      </c>
      <c r="F32" s="15">
        <v>213</v>
      </c>
      <c r="G32" s="15">
        <v>215</v>
      </c>
      <c r="H32" s="15">
        <v>217</v>
      </c>
      <c r="I32" s="15">
        <v>219</v>
      </c>
      <c r="J32" s="15">
        <v>221</v>
      </c>
      <c r="K32" s="15">
        <v>223</v>
      </c>
      <c r="L32" s="15">
        <v>226</v>
      </c>
      <c r="M32" s="234">
        <v>228</v>
      </c>
      <c r="N32" s="215">
        <v>0.5</v>
      </c>
      <c r="O32" s="15">
        <v>265</v>
      </c>
      <c r="P32" s="15">
        <v>267</v>
      </c>
      <c r="Q32" s="15">
        <v>270</v>
      </c>
      <c r="R32" s="15">
        <v>272</v>
      </c>
      <c r="S32" s="15">
        <v>274</v>
      </c>
      <c r="T32" s="15">
        <v>276</v>
      </c>
      <c r="U32" s="15">
        <v>278</v>
      </c>
      <c r="V32" s="15">
        <v>280</v>
      </c>
      <c r="W32" s="15">
        <v>282</v>
      </c>
      <c r="X32" s="15">
        <v>284</v>
      </c>
      <c r="Y32" s="15">
        <v>286</v>
      </c>
      <c r="Z32" s="15">
        <v>288</v>
      </c>
      <c r="AA32" s="234">
        <v>290</v>
      </c>
    </row>
    <row r="33" spans="1:27" ht="14.1" customHeight="1">
      <c r="A33" s="215">
        <v>0.42499999999999999</v>
      </c>
      <c r="B33" s="15">
        <v>209</v>
      </c>
      <c r="C33" s="15">
        <v>214</v>
      </c>
      <c r="D33" s="15">
        <v>218</v>
      </c>
      <c r="E33" s="15">
        <v>221</v>
      </c>
      <c r="F33" s="15">
        <v>224</v>
      </c>
      <c r="G33" s="15">
        <v>226</v>
      </c>
      <c r="H33" s="15">
        <v>228</v>
      </c>
      <c r="I33" s="15">
        <v>230</v>
      </c>
      <c r="J33" s="15">
        <v>232</v>
      </c>
      <c r="K33" s="15">
        <v>234</v>
      </c>
      <c r="L33" s="15">
        <v>236</v>
      </c>
      <c r="M33" s="234">
        <v>238</v>
      </c>
      <c r="N33" s="215">
        <v>0.52500000000000002</v>
      </c>
      <c r="O33" s="15">
        <v>275</v>
      </c>
      <c r="P33" s="15">
        <v>278</v>
      </c>
      <c r="Q33" s="15">
        <v>280</v>
      </c>
      <c r="R33" s="15">
        <v>282</v>
      </c>
      <c r="S33" s="15">
        <v>284</v>
      </c>
      <c r="T33" s="15">
        <v>286</v>
      </c>
      <c r="U33" s="15">
        <v>288</v>
      </c>
      <c r="V33" s="15">
        <v>290</v>
      </c>
      <c r="W33" s="15">
        <v>292</v>
      </c>
      <c r="X33" s="15">
        <v>294</v>
      </c>
      <c r="Y33" s="15">
        <v>296</v>
      </c>
      <c r="Z33" s="15">
        <v>298</v>
      </c>
      <c r="AA33" s="234">
        <v>300</v>
      </c>
    </row>
    <row r="34" spans="1:27" ht="14.1" customHeight="1">
      <c r="A34" s="215">
        <v>0.45</v>
      </c>
      <c r="B34" s="15">
        <v>221</v>
      </c>
      <c r="C34" s="15">
        <v>226</v>
      </c>
      <c r="D34" s="15">
        <v>230</v>
      </c>
      <c r="E34" s="15">
        <v>232</v>
      </c>
      <c r="F34" s="15">
        <v>235</v>
      </c>
      <c r="G34" s="15">
        <v>237</v>
      </c>
      <c r="H34" s="15">
        <v>238</v>
      </c>
      <c r="I34" s="15">
        <v>240</v>
      </c>
      <c r="J34" s="15">
        <v>242</v>
      </c>
      <c r="K34" s="15">
        <v>244</v>
      </c>
      <c r="L34" s="15">
        <v>246</v>
      </c>
      <c r="M34" s="234">
        <v>248</v>
      </c>
      <c r="N34" s="215">
        <v>0.55000000000000004</v>
      </c>
      <c r="O34" s="15">
        <v>286</v>
      </c>
      <c r="P34" s="15">
        <v>288</v>
      </c>
      <c r="Q34" s="15">
        <v>290</v>
      </c>
      <c r="R34" s="15">
        <v>292</v>
      </c>
      <c r="S34" s="15">
        <v>294</v>
      </c>
      <c r="T34" s="15">
        <v>296</v>
      </c>
      <c r="U34" s="15">
        <v>298</v>
      </c>
      <c r="V34" s="15">
        <v>299</v>
      </c>
      <c r="W34" s="15">
        <v>301</v>
      </c>
      <c r="X34" s="15">
        <v>303</v>
      </c>
      <c r="Y34" s="15">
        <v>305</v>
      </c>
      <c r="Z34" s="15">
        <v>307</v>
      </c>
      <c r="AA34" s="234">
        <v>309</v>
      </c>
    </row>
    <row r="35" spans="1:27" ht="14.1" customHeight="1">
      <c r="A35" s="215">
        <v>0.47499999999999998</v>
      </c>
      <c r="B35" s="15">
        <v>233</v>
      </c>
      <c r="C35" s="15">
        <v>237</v>
      </c>
      <c r="D35" s="15">
        <v>241</v>
      </c>
      <c r="E35" s="15">
        <v>243</v>
      </c>
      <c r="F35" s="15">
        <v>245</v>
      </c>
      <c r="G35" s="15">
        <v>247</v>
      </c>
      <c r="H35" s="15">
        <v>249</v>
      </c>
      <c r="I35" s="15">
        <v>251</v>
      </c>
      <c r="J35" s="15">
        <v>253</v>
      </c>
      <c r="K35" s="15">
        <v>254</v>
      </c>
      <c r="L35" s="15">
        <v>256</v>
      </c>
      <c r="M35" s="234">
        <v>258</v>
      </c>
      <c r="N35" s="215">
        <v>0.57499999999999996</v>
      </c>
      <c r="O35" s="15">
        <v>296</v>
      </c>
      <c r="P35" s="15">
        <v>298</v>
      </c>
      <c r="Q35" s="15">
        <v>3090</v>
      </c>
      <c r="R35" s="15">
        <v>302</v>
      </c>
      <c r="S35" s="15">
        <v>304</v>
      </c>
      <c r="T35" s="15">
        <v>305</v>
      </c>
      <c r="U35" s="15">
        <v>307</v>
      </c>
      <c r="V35" s="15">
        <v>309</v>
      </c>
      <c r="W35" s="15">
        <v>311</v>
      </c>
      <c r="X35" s="15">
        <v>313</v>
      </c>
      <c r="Y35" s="15">
        <v>315</v>
      </c>
      <c r="Z35" s="15">
        <v>317</v>
      </c>
      <c r="AA35" s="234">
        <v>318</v>
      </c>
    </row>
    <row r="36" spans="1:27" ht="14.1" customHeight="1">
      <c r="A36" s="215">
        <v>0.5</v>
      </c>
      <c r="B36" s="15">
        <v>244</v>
      </c>
      <c r="C36" s="15">
        <v>248</v>
      </c>
      <c r="D36" s="15">
        <v>252</v>
      </c>
      <c r="E36" s="15">
        <v>254</v>
      </c>
      <c r="F36" s="15">
        <v>256</v>
      </c>
      <c r="G36" s="15">
        <v>258</v>
      </c>
      <c r="H36" s="15">
        <v>260</v>
      </c>
      <c r="I36" s="15">
        <v>261</v>
      </c>
      <c r="J36" s="15">
        <v>263</v>
      </c>
      <c r="K36" s="15">
        <v>265</v>
      </c>
      <c r="L36" s="15">
        <v>267</v>
      </c>
      <c r="M36" s="234">
        <v>269</v>
      </c>
      <c r="N36" s="215">
        <v>0.6</v>
      </c>
      <c r="O36" s="15">
        <v>306</v>
      </c>
      <c r="P36" s="15">
        <v>308</v>
      </c>
      <c r="Q36" s="15">
        <v>310</v>
      </c>
      <c r="R36" s="15">
        <v>312</v>
      </c>
      <c r="S36" s="15">
        <v>313</v>
      </c>
      <c r="T36" s="15">
        <v>315</v>
      </c>
      <c r="U36" s="15">
        <v>317</v>
      </c>
      <c r="V36" s="15">
        <v>319</v>
      </c>
      <c r="W36" s="15">
        <v>320</v>
      </c>
      <c r="X36" s="15">
        <v>322</v>
      </c>
      <c r="Y36" s="15">
        <v>324</v>
      </c>
      <c r="Z36" s="15">
        <v>326</v>
      </c>
      <c r="AA36" s="234">
        <v>328</v>
      </c>
    </row>
    <row r="37" spans="1:27" ht="14.1" customHeight="1">
      <c r="A37" s="215">
        <v>0.52500000000000002</v>
      </c>
      <c r="B37" s="15">
        <v>256</v>
      </c>
      <c r="C37" s="15">
        <v>260</v>
      </c>
      <c r="D37" s="15">
        <v>263</v>
      </c>
      <c r="E37" s="15">
        <v>265</v>
      </c>
      <c r="F37" s="15">
        <v>267</v>
      </c>
      <c r="G37" s="15">
        <v>269</v>
      </c>
      <c r="H37" s="15">
        <v>270</v>
      </c>
      <c r="I37" s="15">
        <v>272</v>
      </c>
      <c r="J37" s="15">
        <v>273</v>
      </c>
      <c r="K37" s="15">
        <v>275</v>
      </c>
      <c r="L37" s="15">
        <v>277</v>
      </c>
      <c r="M37" s="234">
        <v>279</v>
      </c>
      <c r="N37" s="215">
        <v>0.625</v>
      </c>
      <c r="O37" s="15">
        <v>316</v>
      </c>
      <c r="P37" s="15">
        <v>318</v>
      </c>
      <c r="Q37" s="15">
        <v>320</v>
      </c>
      <c r="R37" s="15">
        <v>322</v>
      </c>
      <c r="S37" s="15">
        <v>323</v>
      </c>
      <c r="T37" s="15">
        <v>325</v>
      </c>
      <c r="U37" s="15">
        <v>326</v>
      </c>
      <c r="V37" s="15">
        <v>328</v>
      </c>
      <c r="W37" s="15">
        <v>330</v>
      </c>
      <c r="X37" s="15">
        <v>332</v>
      </c>
      <c r="Y37" s="15">
        <v>333</v>
      </c>
      <c r="Z37" s="15">
        <v>335</v>
      </c>
      <c r="AA37" s="234">
        <v>337</v>
      </c>
    </row>
    <row r="38" spans="1:27" ht="14.1" customHeight="1">
      <c r="A38" s="215">
        <v>0.55000000000000004</v>
      </c>
      <c r="B38" s="15">
        <v>267</v>
      </c>
      <c r="C38" s="15">
        <v>271</v>
      </c>
      <c r="D38" s="15">
        <v>274</v>
      </c>
      <c r="E38" s="15">
        <v>276</v>
      </c>
      <c r="F38" s="15">
        <v>278</v>
      </c>
      <c r="G38" s="15">
        <v>279</v>
      </c>
      <c r="H38" s="15">
        <v>281</v>
      </c>
      <c r="I38" s="15">
        <v>282</v>
      </c>
      <c r="J38" s="15">
        <v>284</v>
      </c>
      <c r="K38" s="15">
        <v>285</v>
      </c>
      <c r="L38" s="15">
        <v>287</v>
      </c>
      <c r="M38" s="234">
        <v>289</v>
      </c>
      <c r="N38" s="215">
        <v>0.65</v>
      </c>
      <c r="O38" s="15">
        <v>326</v>
      </c>
      <c r="P38" s="15">
        <v>328</v>
      </c>
      <c r="Q38" s="15">
        <v>330</v>
      </c>
      <c r="R38" s="15">
        <v>331</v>
      </c>
      <c r="S38" s="15">
        <v>333</v>
      </c>
      <c r="T38" s="15">
        <v>334</v>
      </c>
      <c r="U38" s="15">
        <v>336</v>
      </c>
      <c r="V38" s="15">
        <v>338</v>
      </c>
      <c r="W38" s="15">
        <v>339</v>
      </c>
      <c r="X38" s="15">
        <v>341</v>
      </c>
      <c r="Y38" s="15">
        <v>343</v>
      </c>
      <c r="Z38" s="15">
        <v>344</v>
      </c>
      <c r="AA38" s="234">
        <v>346</v>
      </c>
    </row>
    <row r="39" spans="1:27" ht="14.1" customHeight="1">
      <c r="A39" s="215">
        <v>0.57499999999999996</v>
      </c>
      <c r="B39" s="15">
        <v>279</v>
      </c>
      <c r="C39" s="15">
        <v>282</v>
      </c>
      <c r="D39" s="15">
        <v>285</v>
      </c>
      <c r="E39" s="15">
        <v>287</v>
      </c>
      <c r="F39" s="15">
        <v>288</v>
      </c>
      <c r="G39" s="15">
        <v>290</v>
      </c>
      <c r="H39" s="15">
        <v>291</v>
      </c>
      <c r="I39" s="15">
        <v>292</v>
      </c>
      <c r="J39" s="15">
        <v>294</v>
      </c>
      <c r="K39" s="15">
        <v>296</v>
      </c>
      <c r="L39" s="15">
        <v>297</v>
      </c>
      <c r="M39" s="234">
        <v>299</v>
      </c>
      <c r="N39" s="215">
        <v>0.67500000000000004</v>
      </c>
      <c r="O39" s="15">
        <v>336</v>
      </c>
      <c r="P39" s="15">
        <v>338</v>
      </c>
      <c r="Q39" s="15">
        <v>339</v>
      </c>
      <c r="R39" s="15">
        <v>341</v>
      </c>
      <c r="S39" s="15">
        <v>342</v>
      </c>
      <c r="T39" s="15">
        <v>344</v>
      </c>
      <c r="U39" s="15">
        <v>345</v>
      </c>
      <c r="V39" s="15">
        <v>347</v>
      </c>
      <c r="W39" s="15">
        <v>349</v>
      </c>
      <c r="X39" s="15">
        <v>350</v>
      </c>
      <c r="Y39" s="15">
        <v>352</v>
      </c>
      <c r="Z39" s="15">
        <v>354</v>
      </c>
      <c r="AA39" s="234">
        <v>355</v>
      </c>
    </row>
    <row r="40" spans="1:27" ht="14.1" customHeight="1">
      <c r="A40" s="215">
        <v>0.6</v>
      </c>
      <c r="B40" s="15">
        <v>290</v>
      </c>
      <c r="C40" s="15">
        <v>293</v>
      </c>
      <c r="D40" s="15">
        <v>296</v>
      </c>
      <c r="E40" s="15">
        <v>297</v>
      </c>
      <c r="F40" s="15">
        <v>299</v>
      </c>
      <c r="G40" s="15">
        <v>300</v>
      </c>
      <c r="H40" s="15">
        <v>301</v>
      </c>
      <c r="I40" s="15">
        <v>303</v>
      </c>
      <c r="J40" s="15">
        <v>304</v>
      </c>
      <c r="K40" s="15">
        <v>306</v>
      </c>
      <c r="L40" s="15">
        <v>308</v>
      </c>
      <c r="M40" s="234">
        <v>310</v>
      </c>
      <c r="N40" s="215">
        <v>0.7</v>
      </c>
      <c r="O40" s="15">
        <v>346</v>
      </c>
      <c r="P40" s="15">
        <v>348</v>
      </c>
      <c r="Q40" s="15">
        <v>349</v>
      </c>
      <c r="R40" s="15">
        <v>350</v>
      </c>
      <c r="S40" s="15">
        <v>352</v>
      </c>
      <c r="T40" s="15">
        <v>353</v>
      </c>
      <c r="U40" s="15">
        <v>355</v>
      </c>
      <c r="V40" s="15">
        <v>356</v>
      </c>
      <c r="W40" s="15">
        <v>358</v>
      </c>
      <c r="X40" s="15">
        <v>359</v>
      </c>
      <c r="Y40" s="15">
        <v>361</v>
      </c>
      <c r="Z40" s="15">
        <v>363</v>
      </c>
      <c r="AA40" s="234">
        <v>364</v>
      </c>
    </row>
    <row r="41" spans="1:27" ht="14.1" customHeight="1">
      <c r="A41" s="215">
        <v>0.625</v>
      </c>
      <c r="B41" s="15">
        <v>301</v>
      </c>
      <c r="C41" s="15">
        <v>304</v>
      </c>
      <c r="D41" s="15">
        <v>306</v>
      </c>
      <c r="E41" s="15">
        <v>308</v>
      </c>
      <c r="F41" s="15">
        <v>309</v>
      </c>
      <c r="G41" s="15">
        <v>310</v>
      </c>
      <c r="H41" s="15">
        <v>312</v>
      </c>
      <c r="I41" s="15">
        <v>313</v>
      </c>
      <c r="J41" s="15">
        <v>315</v>
      </c>
      <c r="K41" s="15">
        <v>316</v>
      </c>
      <c r="L41" s="15">
        <v>318</v>
      </c>
      <c r="M41" s="234">
        <v>320</v>
      </c>
      <c r="N41" s="215">
        <v>0.72499999999999998</v>
      </c>
      <c r="O41" s="15">
        <v>356</v>
      </c>
      <c r="P41" s="15">
        <v>357</v>
      </c>
      <c r="Q41" s="15">
        <v>358</v>
      </c>
      <c r="R41" s="15">
        <v>360</v>
      </c>
      <c r="S41" s="15">
        <v>361</v>
      </c>
      <c r="T41" s="15">
        <v>362</v>
      </c>
      <c r="U41" s="15">
        <v>364</v>
      </c>
      <c r="V41" s="15">
        <v>365</v>
      </c>
      <c r="W41" s="15">
        <v>367</v>
      </c>
      <c r="X41" s="15">
        <v>368</v>
      </c>
      <c r="Y41" s="15">
        <v>370</v>
      </c>
      <c r="Z41" s="15">
        <v>372</v>
      </c>
      <c r="AA41" s="234">
        <v>373</v>
      </c>
    </row>
    <row r="42" spans="1:27" ht="14.1" customHeight="1">
      <c r="A42" s="215">
        <v>0.65</v>
      </c>
      <c r="B42" s="15">
        <v>312</v>
      </c>
      <c r="C42" s="15">
        <v>314</v>
      </c>
      <c r="D42" s="15">
        <v>317</v>
      </c>
      <c r="E42" s="15">
        <v>318</v>
      </c>
      <c r="F42" s="15">
        <v>320</v>
      </c>
      <c r="G42" s="15">
        <v>321</v>
      </c>
      <c r="H42" s="15">
        <v>322</v>
      </c>
      <c r="I42" s="15">
        <v>323</v>
      </c>
      <c r="J42" s="15">
        <v>325</v>
      </c>
      <c r="K42" s="15">
        <v>326</v>
      </c>
      <c r="L42" s="15">
        <v>328</v>
      </c>
      <c r="M42" s="234">
        <v>330</v>
      </c>
      <c r="N42" s="215">
        <v>0.75</v>
      </c>
      <c r="O42" s="15">
        <v>365</v>
      </c>
      <c r="P42" s="15">
        <v>367</v>
      </c>
      <c r="Q42" s="15">
        <v>368</v>
      </c>
      <c r="R42" s="15">
        <v>369</v>
      </c>
      <c r="S42" s="15">
        <v>370</v>
      </c>
      <c r="T42" s="15">
        <v>372</v>
      </c>
      <c r="U42" s="15">
        <v>373</v>
      </c>
      <c r="V42" s="15">
        <v>375</v>
      </c>
      <c r="W42" s="15">
        <v>376</v>
      </c>
      <c r="X42" s="15">
        <v>378</v>
      </c>
      <c r="Y42" s="15">
        <v>379</v>
      </c>
      <c r="Z42" s="15">
        <v>381</v>
      </c>
      <c r="AA42" s="234">
        <v>382</v>
      </c>
    </row>
    <row r="43" spans="1:27" ht="14.1" customHeight="1">
      <c r="A43" s="215">
        <v>0.67500000000000004</v>
      </c>
      <c r="B43" s="15">
        <v>322</v>
      </c>
      <c r="C43" s="15">
        <v>325</v>
      </c>
      <c r="D43" s="15">
        <v>327</v>
      </c>
      <c r="E43" s="15">
        <v>328</v>
      </c>
      <c r="F43" s="15">
        <v>330</v>
      </c>
      <c r="G43" s="15">
        <v>331</v>
      </c>
      <c r="H43" s="15">
        <v>333</v>
      </c>
      <c r="I43" s="15">
        <v>333</v>
      </c>
      <c r="J43" s="15">
        <v>335</v>
      </c>
      <c r="K43" s="15">
        <v>336</v>
      </c>
      <c r="L43" s="15">
        <v>338</v>
      </c>
      <c r="M43" s="234">
        <v>340</v>
      </c>
      <c r="N43" s="215">
        <v>0.77500000000000002</v>
      </c>
      <c r="O43" s="15">
        <v>374</v>
      </c>
      <c r="P43" s="15">
        <v>376</v>
      </c>
      <c r="Q43" s="15">
        <v>377</v>
      </c>
      <c r="R43" s="15">
        <v>378</v>
      </c>
      <c r="S43" s="15">
        <v>379</v>
      </c>
      <c r="T43" s="15">
        <v>381</v>
      </c>
      <c r="U43" s="15">
        <v>382</v>
      </c>
      <c r="V43" s="15">
        <v>383</v>
      </c>
      <c r="W43" s="15">
        <v>385</v>
      </c>
      <c r="X43" s="15">
        <v>386</v>
      </c>
      <c r="Y43" s="15">
        <v>388</v>
      </c>
      <c r="Z43" s="15">
        <v>390</v>
      </c>
      <c r="AA43" s="234">
        <v>391</v>
      </c>
    </row>
    <row r="44" spans="1:27" ht="14.1" customHeight="1">
      <c r="A44" s="215">
        <v>0.7</v>
      </c>
      <c r="B44" s="15">
        <v>333</v>
      </c>
      <c r="C44" s="15">
        <v>335</v>
      </c>
      <c r="D44" s="15">
        <v>337</v>
      </c>
      <c r="E44" s="15">
        <v>339</v>
      </c>
      <c r="F44" s="15">
        <v>340</v>
      </c>
      <c r="G44" s="15">
        <v>341</v>
      </c>
      <c r="H44" s="15">
        <v>342</v>
      </c>
      <c r="I44" s="15">
        <v>343</v>
      </c>
      <c r="J44" s="15">
        <v>345</v>
      </c>
      <c r="K44" s="15">
        <v>346</v>
      </c>
      <c r="L44" s="15">
        <v>348</v>
      </c>
      <c r="M44" s="234">
        <v>350</v>
      </c>
      <c r="N44" s="215">
        <v>0.79999999999999905</v>
      </c>
      <c r="O44" s="15">
        <v>384</v>
      </c>
      <c r="P44" s="15">
        <v>385</v>
      </c>
      <c r="Q44" s="15">
        <v>386</v>
      </c>
      <c r="R44" s="15">
        <v>387</v>
      </c>
      <c r="S44" s="15">
        <v>388</v>
      </c>
      <c r="T44" s="15">
        <v>390</v>
      </c>
      <c r="U44" s="15">
        <v>391</v>
      </c>
      <c r="V44" s="15">
        <v>392</v>
      </c>
      <c r="W44" s="15">
        <v>394</v>
      </c>
      <c r="X44" s="15">
        <v>395</v>
      </c>
      <c r="Y44" s="15">
        <v>397</v>
      </c>
      <c r="Z44" s="15">
        <v>398</v>
      </c>
      <c r="AA44" s="234">
        <v>400</v>
      </c>
    </row>
    <row r="45" spans="1:27" ht="14.1" customHeight="1">
      <c r="A45" s="215">
        <v>0.72499999999999998</v>
      </c>
      <c r="B45" s="15">
        <v>342</v>
      </c>
      <c r="C45" s="15">
        <v>345</v>
      </c>
      <c r="D45" s="15">
        <v>347</v>
      </c>
      <c r="E45" s="15">
        <v>348</v>
      </c>
      <c r="F45" s="15">
        <v>349</v>
      </c>
      <c r="G45" s="15">
        <v>351</v>
      </c>
      <c r="H45" s="15">
        <v>352</v>
      </c>
      <c r="I45" s="15">
        <v>353</v>
      </c>
      <c r="J45" s="15">
        <v>354</v>
      </c>
      <c r="K45" s="15">
        <v>356</v>
      </c>
      <c r="L45" s="15">
        <v>358</v>
      </c>
      <c r="M45" s="234">
        <v>360</v>
      </c>
      <c r="N45" s="215">
        <v>0.82499999999999896</v>
      </c>
      <c r="O45" s="15">
        <v>393</v>
      </c>
      <c r="P45" s="15">
        <v>394</v>
      </c>
      <c r="Q45" s="15">
        <v>395</v>
      </c>
      <c r="R45" s="15">
        <v>396</v>
      </c>
      <c r="S45" s="15">
        <v>397</v>
      </c>
      <c r="T45" s="15">
        <v>399</v>
      </c>
      <c r="U45" s="15">
        <v>400</v>
      </c>
      <c r="V45" s="15">
        <v>401</v>
      </c>
      <c r="W45" s="15">
        <v>403</v>
      </c>
      <c r="X45" s="15">
        <v>404</v>
      </c>
      <c r="Y45" s="15">
        <v>406</v>
      </c>
      <c r="Z45" s="15">
        <v>407</v>
      </c>
      <c r="AA45" s="234">
        <v>408</v>
      </c>
    </row>
    <row r="46" spans="1:27" ht="14.1" customHeight="1">
      <c r="A46" s="215">
        <v>0.75</v>
      </c>
      <c r="B46" s="15">
        <v>352</v>
      </c>
      <c r="C46" s="15">
        <v>355</v>
      </c>
      <c r="D46" s="15">
        <v>357</v>
      </c>
      <c r="E46" s="15">
        <v>358</v>
      </c>
      <c r="F46" s="15">
        <v>359</v>
      </c>
      <c r="G46" s="15">
        <v>360</v>
      </c>
      <c r="H46" s="15">
        <v>361</v>
      </c>
      <c r="I46" s="15">
        <v>363</v>
      </c>
      <c r="J46" s="15">
        <v>364</v>
      </c>
      <c r="K46" s="15">
        <v>366</v>
      </c>
      <c r="L46" s="15">
        <v>368</v>
      </c>
      <c r="M46" s="234">
        <v>369</v>
      </c>
      <c r="N46" s="215">
        <v>0.84999999999999898</v>
      </c>
      <c r="O46" s="15">
        <v>402</v>
      </c>
      <c r="P46" s="15">
        <v>403</v>
      </c>
      <c r="Q46" s="15">
        <v>404</v>
      </c>
      <c r="R46" s="15">
        <v>405</v>
      </c>
      <c r="S46" s="15">
        <v>406</v>
      </c>
      <c r="T46" s="15">
        <v>407</v>
      </c>
      <c r="U46" s="15">
        <v>409</v>
      </c>
      <c r="V46" s="15">
        <v>410</v>
      </c>
      <c r="W46" s="15">
        <v>411</v>
      </c>
      <c r="X46" s="15">
        <v>413</v>
      </c>
      <c r="Y46" s="15">
        <v>414</v>
      </c>
      <c r="Z46" s="15">
        <v>416</v>
      </c>
      <c r="AA46" s="234">
        <v>417</v>
      </c>
    </row>
    <row r="47" spans="1:27" ht="14.1" customHeight="1">
      <c r="A47" s="215">
        <v>0.77500000000000002</v>
      </c>
      <c r="B47" s="15">
        <v>361</v>
      </c>
      <c r="C47" s="15">
        <v>365</v>
      </c>
      <c r="D47" s="15">
        <v>367</v>
      </c>
      <c r="E47" s="15">
        <v>368</v>
      </c>
      <c r="F47" s="15">
        <v>369</v>
      </c>
      <c r="G47" s="15">
        <v>370</v>
      </c>
      <c r="H47" s="15">
        <v>371</v>
      </c>
      <c r="I47" s="15">
        <v>372</v>
      </c>
      <c r="J47" s="15">
        <v>374</v>
      </c>
      <c r="K47" s="15">
        <v>375</v>
      </c>
      <c r="L47" s="15">
        <v>377</v>
      </c>
      <c r="M47" s="234">
        <v>379</v>
      </c>
      <c r="N47" s="215">
        <v>0.874999999999999</v>
      </c>
      <c r="O47" s="15">
        <v>410</v>
      </c>
      <c r="P47" s="15">
        <v>411</v>
      </c>
      <c r="Q47" s="15">
        <v>412</v>
      </c>
      <c r="R47" s="15">
        <v>413</v>
      </c>
      <c r="S47" s="15">
        <v>415</v>
      </c>
      <c r="T47" s="15">
        <v>416</v>
      </c>
      <c r="U47" s="15">
        <v>417</v>
      </c>
      <c r="V47" s="15">
        <v>418</v>
      </c>
      <c r="W47" s="15">
        <v>420</v>
      </c>
      <c r="X47" s="15">
        <v>421</v>
      </c>
      <c r="Y47" s="15">
        <v>423</v>
      </c>
      <c r="Z47" s="15">
        <v>424</v>
      </c>
      <c r="AA47" s="234">
        <v>425</v>
      </c>
    </row>
    <row r="48" spans="1:27" ht="14.1" customHeight="1" thickBot="1">
      <c r="A48" s="216">
        <v>0.8</v>
      </c>
      <c r="B48" s="217">
        <v>369</v>
      </c>
      <c r="C48" s="217">
        <v>374</v>
      </c>
      <c r="D48" s="217">
        <v>376</v>
      </c>
      <c r="E48" s="217">
        <v>377</v>
      </c>
      <c r="F48" s="217">
        <v>378</v>
      </c>
      <c r="G48" s="217">
        <v>379</v>
      </c>
      <c r="H48" s="217">
        <v>380</v>
      </c>
      <c r="I48" s="217">
        <v>382</v>
      </c>
      <c r="J48" s="217">
        <v>383</v>
      </c>
      <c r="K48" s="217">
        <v>385</v>
      </c>
      <c r="L48" s="217">
        <v>387</v>
      </c>
      <c r="M48" s="186">
        <v>389</v>
      </c>
      <c r="N48" s="215">
        <v>0.89999999999999902</v>
      </c>
      <c r="O48" s="217">
        <v>419</v>
      </c>
      <c r="P48" s="217">
        <v>420</v>
      </c>
      <c r="Q48" s="217">
        <v>421</v>
      </c>
      <c r="R48" s="217">
        <v>422</v>
      </c>
      <c r="S48" s="217">
        <v>423</v>
      </c>
      <c r="T48" s="217">
        <v>424</v>
      </c>
      <c r="U48" s="217">
        <v>425</v>
      </c>
      <c r="V48" s="217">
        <v>427</v>
      </c>
      <c r="W48" s="217">
        <v>428</v>
      </c>
      <c r="X48" s="217">
        <v>429</v>
      </c>
      <c r="Y48" s="217">
        <v>431</v>
      </c>
      <c r="Z48" s="217">
        <v>432</v>
      </c>
      <c r="AA48" s="186">
        <v>434</v>
      </c>
    </row>
    <row r="50" spans="1:19" ht="14.1" customHeight="1">
      <c r="A50" s="80" t="s">
        <v>449</v>
      </c>
    </row>
    <row r="51" spans="1:19" ht="14.1" customHeight="1">
      <c r="B51" s="782" t="s">
        <v>450</v>
      </c>
      <c r="C51" s="782" t="s">
        <v>451</v>
      </c>
      <c r="D51" s="783" t="s">
        <v>452</v>
      </c>
      <c r="E51" s="783"/>
      <c r="F51" s="783"/>
      <c r="G51" s="783"/>
      <c r="H51" s="783"/>
      <c r="I51" s="783"/>
      <c r="J51" s="783"/>
      <c r="K51" s="783"/>
    </row>
    <row r="52" spans="1:19" ht="14.1" customHeight="1">
      <c r="B52" s="782"/>
      <c r="C52" s="782"/>
      <c r="D52" s="246">
        <v>0.25</v>
      </c>
      <c r="E52" s="246">
        <v>0.3</v>
      </c>
      <c r="F52" s="246">
        <v>0.35</v>
      </c>
      <c r="G52" s="246">
        <v>0.4</v>
      </c>
      <c r="H52" s="246">
        <v>0.45</v>
      </c>
      <c r="I52" s="246">
        <v>0.5</v>
      </c>
      <c r="J52" s="246">
        <v>0.55000000000000004</v>
      </c>
      <c r="K52" s="246">
        <v>0.6</v>
      </c>
      <c r="L52" s="25" t="s">
        <v>453</v>
      </c>
      <c r="M52" s="25" t="s">
        <v>454</v>
      </c>
    </row>
    <row r="53" spans="1:19" ht="14.1" customHeight="1">
      <c r="A53" s="113" t="s">
        <v>455</v>
      </c>
      <c r="B53" s="15">
        <v>45</v>
      </c>
      <c r="C53" s="15">
        <v>53</v>
      </c>
      <c r="D53" s="15">
        <v>0.13</v>
      </c>
      <c r="E53" s="15">
        <v>0.155</v>
      </c>
      <c r="F53" s="15">
        <v>0.17699999999999999</v>
      </c>
      <c r="G53" s="15">
        <v>0.19800000000000001</v>
      </c>
      <c r="H53" s="15">
        <v>0.22</v>
      </c>
      <c r="I53" s="15">
        <v>0.245</v>
      </c>
      <c r="J53" s="15">
        <v>0.27200000000000002</v>
      </c>
      <c r="K53" s="15">
        <v>0.29499999999999998</v>
      </c>
      <c r="L53" s="329">
        <f>SLOPE(D53:K53,$D$52:$K$52)</f>
        <v>0.46809523809523801</v>
      </c>
      <c r="M53" s="329">
        <f>INTERCEPT(D53:K53,$D$52:$K$52)</f>
        <v>1.2559523809523854E-2</v>
      </c>
    </row>
    <row r="54" spans="1:19" ht="14.1" customHeight="1">
      <c r="A54" s="113" t="s">
        <v>456</v>
      </c>
      <c r="B54" s="15">
        <v>45</v>
      </c>
      <c r="C54" s="15">
        <v>53</v>
      </c>
      <c r="D54" s="15"/>
      <c r="E54" s="15">
        <v>1.109</v>
      </c>
      <c r="F54" s="15">
        <v>1.105</v>
      </c>
      <c r="G54" s="15">
        <v>1.1020000000000001</v>
      </c>
      <c r="H54" s="15">
        <v>1.099</v>
      </c>
      <c r="I54" s="15">
        <v>1.0960000000000001</v>
      </c>
      <c r="J54" s="15">
        <v>1.091</v>
      </c>
      <c r="K54" s="15">
        <v>1.0880000000000001</v>
      </c>
      <c r="L54" s="329">
        <f>SLOPE(D54:K54,$D$52:$K$52)</f>
        <v>-6.928571428571409E-2</v>
      </c>
      <c r="M54" s="329">
        <f>INTERCEPT(D54:K54,$D$52:$K$52)</f>
        <v>1.1297499999999998</v>
      </c>
    </row>
    <row r="55" spans="1:19" ht="14.1" customHeight="1">
      <c r="A55" s="113" t="s">
        <v>455</v>
      </c>
      <c r="B55" s="15">
        <v>50</v>
      </c>
      <c r="C55" s="15">
        <v>60</v>
      </c>
      <c r="D55" s="15">
        <v>0.112</v>
      </c>
      <c r="E55" s="15">
        <v>0.13500000000000001</v>
      </c>
      <c r="F55" s="15">
        <v>0.154</v>
      </c>
      <c r="G55" s="15">
        <v>0.17199999999999999</v>
      </c>
      <c r="H55" s="15">
        <v>0.192</v>
      </c>
      <c r="I55" s="15">
        <v>0.214</v>
      </c>
      <c r="J55" s="15">
        <v>0.23599999999999999</v>
      </c>
      <c r="K55" s="15">
        <v>0.26100000000000001</v>
      </c>
      <c r="L55" s="329">
        <f>SLOPE(D55:K55,$D$52:$K$52)</f>
        <v>0.41619047619047611</v>
      </c>
      <c r="M55" s="329">
        <f>INTERCEPT(D55:K55,$D$52:$K$52)</f>
        <v>7.6190476190476641E-3</v>
      </c>
    </row>
    <row r="56" spans="1:19" ht="14.1" customHeight="1">
      <c r="A56" s="113" t="s">
        <v>456</v>
      </c>
      <c r="B56" s="15">
        <v>50</v>
      </c>
      <c r="C56" s="15">
        <v>60</v>
      </c>
      <c r="D56" s="15"/>
      <c r="E56" s="17">
        <v>1.1639999999999999</v>
      </c>
      <c r="F56" s="17">
        <v>1.1599999999999999</v>
      </c>
      <c r="G56" s="17">
        <v>1.151</v>
      </c>
      <c r="H56" s="17">
        <v>1.1499999999999999</v>
      </c>
      <c r="I56" s="17">
        <v>1.1439999999999999</v>
      </c>
      <c r="J56" s="17">
        <v>1.139</v>
      </c>
      <c r="K56" s="17">
        <v>1.1339999999999999</v>
      </c>
      <c r="L56" s="329">
        <f>SLOPE(D56:K56,$D$52:$K$52)</f>
        <v>-9.9285714285714269E-2</v>
      </c>
      <c r="M56" s="329">
        <f>INTERCEPT(D56:K56,$D$52:$K$52)</f>
        <v>1.1935357142857141</v>
      </c>
    </row>
    <row r="58" spans="1:19" ht="14.1" customHeight="1">
      <c r="B58" s="15" t="s">
        <v>237</v>
      </c>
      <c r="C58" s="15" t="s">
        <v>262</v>
      </c>
      <c r="D58" s="15" t="s">
        <v>238</v>
      </c>
    </row>
    <row r="59" spans="1:19" ht="14.1" customHeight="1">
      <c r="A59" s="113" t="s">
        <v>457</v>
      </c>
      <c r="B59" s="15">
        <v>1</v>
      </c>
      <c r="C59" s="15">
        <v>1.0169999999999999</v>
      </c>
      <c r="D59" s="15">
        <v>1.042</v>
      </c>
    </row>
    <row r="61" spans="1:19" ht="14.1" customHeight="1">
      <c r="A61" s="80" t="s">
        <v>458</v>
      </c>
      <c r="C61" s="25" t="s">
        <v>459</v>
      </c>
      <c r="N61" s="154"/>
      <c r="O61" s="73"/>
      <c r="P61" s="73"/>
      <c r="Q61" s="73"/>
      <c r="R61" s="73"/>
      <c r="S61" s="73"/>
    </row>
    <row r="62" spans="1:19" ht="14.1" customHeight="1">
      <c r="A62" s="58" t="s">
        <v>71</v>
      </c>
      <c r="B62" s="13" t="s">
        <v>269</v>
      </c>
      <c r="C62" s="13" t="s">
        <v>460</v>
      </c>
      <c r="D62" s="13" t="s">
        <v>338</v>
      </c>
      <c r="E62" s="58" t="s">
        <v>71</v>
      </c>
      <c r="F62" s="13" t="s">
        <v>269</v>
      </c>
      <c r="G62" s="13" t="s">
        <v>460</v>
      </c>
      <c r="H62" s="13" t="s">
        <v>338</v>
      </c>
      <c r="I62" s="58" t="s">
        <v>71</v>
      </c>
      <c r="J62" s="13" t="s">
        <v>269</v>
      </c>
      <c r="K62" s="13" t="s">
        <v>460</v>
      </c>
      <c r="L62" s="13" t="s">
        <v>338</v>
      </c>
      <c r="O62" s="758"/>
      <c r="P62" s="758"/>
      <c r="Q62" s="758"/>
      <c r="R62" s="758"/>
      <c r="S62" s="758"/>
    </row>
    <row r="63" spans="1:19" ht="14.1" customHeight="1">
      <c r="A63" s="13" t="str">
        <f>Sheet1!P284</f>
        <v>Mo/Mo</v>
      </c>
      <c r="B63" s="13">
        <f>Sheet1!Q284</f>
        <v>24</v>
      </c>
      <c r="C63" s="13">
        <f t="shared" ref="C63:C68" si="0">B63^2</f>
        <v>576</v>
      </c>
      <c r="D63" s="329" t="str">
        <f>Sheet1!V284</f>
        <v/>
      </c>
      <c r="E63" s="13" t="str">
        <f>Sheet1!P290</f>
        <v>Mo/Rh</v>
      </c>
      <c r="F63" s="13">
        <f>Sheet1!Q290</f>
        <v>26</v>
      </c>
      <c r="G63" s="13">
        <f t="shared" ref="G63:G67" si="1">F63^2</f>
        <v>676</v>
      </c>
      <c r="H63" s="329" t="str">
        <f>Sheet1!V290</f>
        <v/>
      </c>
      <c r="I63" s="330" t="str">
        <f>Sheet1!P295</f>
        <v>W/Rh</v>
      </c>
      <c r="J63" s="13">
        <f>Sheet1!Q295</f>
        <v>26</v>
      </c>
      <c r="K63" s="13">
        <f t="shared" ref="K63:K67" si="2">J63^2</f>
        <v>676</v>
      </c>
      <c r="L63" s="328" t="str">
        <f>Sheet1!V295</f>
        <v/>
      </c>
      <c r="O63" s="115"/>
      <c r="P63" s="115"/>
      <c r="Q63" s="115"/>
      <c r="R63" s="115"/>
      <c r="S63" s="115"/>
    </row>
    <row r="64" spans="1:19" ht="14.1" customHeight="1">
      <c r="A64" s="58"/>
      <c r="B64" s="13">
        <f>Sheet1!Q285</f>
        <v>26</v>
      </c>
      <c r="C64" s="13">
        <f t="shared" si="0"/>
        <v>676</v>
      </c>
      <c r="D64" s="329" t="str">
        <f>Sheet1!V285</f>
        <v/>
      </c>
      <c r="E64" s="58"/>
      <c r="F64" s="13">
        <f>Sheet1!Q291</f>
        <v>28</v>
      </c>
      <c r="G64" s="13">
        <f t="shared" si="1"/>
        <v>784</v>
      </c>
      <c r="H64" s="329" t="str">
        <f>Sheet1!V291</f>
        <v/>
      </c>
      <c r="I64" s="330"/>
      <c r="J64" s="13">
        <f>Sheet1!Q296</f>
        <v>28</v>
      </c>
      <c r="K64" s="13">
        <f t="shared" si="2"/>
        <v>784</v>
      </c>
      <c r="L64" s="328" t="str">
        <f>Sheet1!V296</f>
        <v/>
      </c>
      <c r="O64" s="287"/>
      <c r="P64" s="287"/>
      <c r="Q64" s="287"/>
      <c r="R64" s="287"/>
      <c r="S64" s="287"/>
    </row>
    <row r="65" spans="1:19" ht="14.1" customHeight="1">
      <c r="A65" s="13"/>
      <c r="B65" s="13">
        <f>Sheet1!Q286</f>
        <v>28</v>
      </c>
      <c r="C65" s="13">
        <f t="shared" si="0"/>
        <v>784</v>
      </c>
      <c r="D65" s="329" t="str">
        <f>Sheet1!V286</f>
        <v/>
      </c>
      <c r="E65" s="13"/>
      <c r="F65" s="13">
        <f>Sheet1!Q292</f>
        <v>30</v>
      </c>
      <c r="G65" s="13">
        <f t="shared" si="1"/>
        <v>900</v>
      </c>
      <c r="H65" s="329" t="str">
        <f>Sheet1!V292</f>
        <v/>
      </c>
      <c r="I65" s="330"/>
      <c r="J65" s="13">
        <f>Sheet1!Q297</f>
        <v>30</v>
      </c>
      <c r="K65" s="13">
        <f t="shared" si="2"/>
        <v>900</v>
      </c>
      <c r="L65" s="328" t="str">
        <f>Sheet1!V297</f>
        <v/>
      </c>
      <c r="O65" s="287"/>
      <c r="P65" s="287"/>
      <c r="Q65" s="287"/>
      <c r="R65" s="287"/>
      <c r="S65" s="287"/>
    </row>
    <row r="66" spans="1:19" ht="14.1" customHeight="1">
      <c r="A66" s="13"/>
      <c r="B66" s="13">
        <f>Sheet1!Q287</f>
        <v>30</v>
      </c>
      <c r="C66" s="13">
        <f t="shared" si="0"/>
        <v>900</v>
      </c>
      <c r="D66" s="329" t="str">
        <f>Sheet1!V287</f>
        <v/>
      </c>
      <c r="E66" s="13"/>
      <c r="F66" s="13">
        <f>Sheet1!Q293</f>
        <v>32</v>
      </c>
      <c r="G66" s="13">
        <f t="shared" si="1"/>
        <v>1024</v>
      </c>
      <c r="H66" s="329" t="str">
        <f>Sheet1!V293</f>
        <v/>
      </c>
      <c r="I66" s="330"/>
      <c r="J66" s="13">
        <f>Sheet1!Q298</f>
        <v>32</v>
      </c>
      <c r="K66" s="13">
        <f t="shared" si="2"/>
        <v>1024</v>
      </c>
      <c r="L66" s="328" t="str">
        <f>Sheet1!V298</f>
        <v/>
      </c>
      <c r="O66" s="287"/>
      <c r="P66" s="287"/>
      <c r="Q66" s="287"/>
      <c r="R66" s="287"/>
      <c r="S66" s="287"/>
    </row>
    <row r="67" spans="1:19" ht="14.1" customHeight="1">
      <c r="A67" s="13"/>
      <c r="B67" s="13">
        <f>Sheet1!Q288</f>
        <v>32</v>
      </c>
      <c r="C67" s="13">
        <f t="shared" si="0"/>
        <v>1024</v>
      </c>
      <c r="D67" s="329" t="str">
        <f>Sheet1!V288</f>
        <v/>
      </c>
      <c r="E67" s="13"/>
      <c r="F67" s="13">
        <f>Sheet1!Q294</f>
        <v>34</v>
      </c>
      <c r="G67" s="13">
        <f t="shared" si="1"/>
        <v>1156</v>
      </c>
      <c r="H67" s="329" t="str">
        <f>Sheet1!V294</f>
        <v/>
      </c>
      <c r="I67" s="330"/>
      <c r="J67" s="13">
        <f>Sheet1!Q299</f>
        <v>34</v>
      </c>
      <c r="K67" s="13">
        <f t="shared" si="2"/>
        <v>1156</v>
      </c>
      <c r="L67" s="328" t="str">
        <f>Sheet1!V299</f>
        <v/>
      </c>
      <c r="O67" s="287"/>
      <c r="P67" s="287"/>
      <c r="Q67" s="287"/>
      <c r="R67" s="287"/>
      <c r="S67" s="287"/>
    </row>
    <row r="68" spans="1:19" ht="14.1" customHeight="1">
      <c r="A68" s="13"/>
      <c r="B68" s="13">
        <f>Sheet1!Q289</f>
        <v>34</v>
      </c>
      <c r="C68" s="13">
        <f t="shared" si="0"/>
        <v>1156</v>
      </c>
      <c r="D68" s="329" t="str">
        <f>Sheet1!V289</f>
        <v/>
      </c>
      <c r="E68" s="13"/>
      <c r="F68" s="13"/>
      <c r="G68" s="13"/>
      <c r="I68" s="288"/>
      <c r="L68" s="73"/>
      <c r="O68" s="287"/>
      <c r="P68" s="287"/>
      <c r="Q68" s="287"/>
      <c r="R68" s="287"/>
      <c r="S68" s="287"/>
    </row>
    <row r="69" spans="1:19" ht="14.1" customHeight="1">
      <c r="A69" s="13"/>
      <c r="B69" s="13"/>
      <c r="O69" s="287"/>
      <c r="P69" s="287"/>
      <c r="Q69" s="287"/>
      <c r="R69" s="287"/>
      <c r="S69" s="287"/>
    </row>
    <row r="70" spans="1:19" ht="14.1" customHeight="1">
      <c r="C70" s="13"/>
      <c r="D70" s="13" t="str">
        <f>A63</f>
        <v>Mo/Mo</v>
      </c>
      <c r="E70" s="13" t="str">
        <f>E63</f>
        <v>Mo/Rh</v>
      </c>
      <c r="F70" s="330" t="str">
        <f>I63</f>
        <v>W/Rh</v>
      </c>
      <c r="G70" s="39"/>
      <c r="K70" s="39"/>
      <c r="O70" s="287"/>
      <c r="P70" s="287"/>
      <c r="Q70" s="287"/>
      <c r="R70" s="287"/>
      <c r="S70" s="287"/>
    </row>
    <row r="71" spans="1:19" ht="14.1" customHeight="1">
      <c r="C71" s="39" t="s">
        <v>463</v>
      </c>
      <c r="D71" s="25" t="e">
        <f>SLOPE(D63:D70,$C$63:$C$70)</f>
        <v>#DIV/0!</v>
      </c>
      <c r="E71" s="25" t="e">
        <f>SLOPE(H63:H68,$G$63:$G$68)</f>
        <v>#DIV/0!</v>
      </c>
      <c r="F71" s="25" t="e">
        <f>SLOPE(L63:L68,$G$63:$G$68)</f>
        <v>#DIV/0!</v>
      </c>
      <c r="G71" s="39"/>
      <c r="K71" s="39"/>
      <c r="N71" s="73"/>
      <c r="O71" s="287"/>
      <c r="P71" s="287"/>
      <c r="Q71" s="287"/>
      <c r="R71" s="287"/>
      <c r="S71" s="287"/>
    </row>
    <row r="72" spans="1:19" ht="14.1" customHeight="1">
      <c r="C72" s="39" t="s">
        <v>464</v>
      </c>
      <c r="D72" s="25" t="e">
        <f>INTERCEPT(D63:D70,$C$63:$C$70)</f>
        <v>#DIV/0!</v>
      </c>
      <c r="E72" s="25" t="e">
        <f>INTERCEPT(H63:H68,$G$63:$G$68)</f>
        <v>#DIV/0!</v>
      </c>
      <c r="F72" s="25" t="e">
        <f>INTERCEPT(L63:L68,$G$63:$G$68)</f>
        <v>#DIV/0!</v>
      </c>
      <c r="N72" s="73"/>
      <c r="O72" s="287"/>
      <c r="P72" s="287"/>
      <c r="Q72" s="287"/>
      <c r="R72" s="287"/>
      <c r="S72" s="287"/>
    </row>
    <row r="73" spans="1:19" ht="14.1" customHeight="1">
      <c r="A73" s="80" t="s">
        <v>355</v>
      </c>
      <c r="C73" s="39" t="s">
        <v>563</v>
      </c>
      <c r="D73" s="25" t="e">
        <f>RSQ(D63:D68,C63:C68)</f>
        <v>#DIV/0!</v>
      </c>
      <c r="E73" s="25" t="e">
        <f>RSQ(H63:H67,G63:G67)</f>
        <v>#DIV/0!</v>
      </c>
      <c r="F73" s="25" t="e">
        <f>RSQ(L63:L67,K63:K67)</f>
        <v>#DIV/0!</v>
      </c>
      <c r="N73" s="73"/>
      <c r="O73" s="287"/>
      <c r="P73" s="287"/>
      <c r="Q73" s="287"/>
      <c r="R73" s="287"/>
      <c r="S73" s="287"/>
    </row>
    <row r="74" spans="1:19" ht="14.1" customHeight="1">
      <c r="A74" s="58" t="s">
        <v>71</v>
      </c>
      <c r="B74" s="13" t="s">
        <v>269</v>
      </c>
      <c r="C74" s="13" t="s">
        <v>358</v>
      </c>
      <c r="D74" s="58" t="s">
        <v>71</v>
      </c>
      <c r="E74" s="13" t="s">
        <v>269</v>
      </c>
      <c r="F74" s="13" t="s">
        <v>358</v>
      </c>
      <c r="G74" s="58" t="s">
        <v>71</v>
      </c>
      <c r="H74" s="13" t="s">
        <v>269</v>
      </c>
      <c r="I74" s="13" t="s">
        <v>358</v>
      </c>
      <c r="K74" s="297" t="s">
        <v>23</v>
      </c>
      <c r="L74" s="297" t="s">
        <v>24</v>
      </c>
      <c r="M74" s="297" t="s">
        <v>465</v>
      </c>
      <c r="O74" s="287"/>
      <c r="P74" s="287"/>
      <c r="Q74" s="287"/>
      <c r="R74" s="287"/>
      <c r="S74" s="287"/>
    </row>
    <row r="75" spans="1:19" ht="14.1" customHeight="1">
      <c r="A75" s="13" t="str">
        <f>Sheet1!Q331</f>
        <v>Mo/Mo</v>
      </c>
      <c r="B75" s="13">
        <f>Sheet1!Q332</f>
        <v>28</v>
      </c>
      <c r="C75" s="288" t="str">
        <f>Sheet1!Q341</f>
        <v/>
      </c>
      <c r="D75" s="13" t="str">
        <f>Sheet1!S331</f>
        <v>Mo/Rh</v>
      </c>
      <c r="E75" s="13">
        <f>Sheet1!S332</f>
        <v>28</v>
      </c>
      <c r="F75" s="288" t="str">
        <f>Sheet1!S341</f>
        <v/>
      </c>
      <c r="G75" s="13" t="str">
        <f>Sheet1!U331</f>
        <v>W/Rh</v>
      </c>
      <c r="H75" s="13">
        <f>Sheet1!U332</f>
        <v>28</v>
      </c>
      <c r="I75" s="288" t="str">
        <f>Sheet1!U341</f>
        <v/>
      </c>
      <c r="K75" s="297" t="s">
        <v>32</v>
      </c>
      <c r="L75" s="297" t="s">
        <v>32</v>
      </c>
      <c r="M75" s="297">
        <v>0.12</v>
      </c>
      <c r="O75" s="287"/>
      <c r="P75" s="287"/>
      <c r="Q75" s="287"/>
      <c r="R75" s="287"/>
      <c r="S75" s="287"/>
    </row>
    <row r="76" spans="1:19" ht="14.1" customHeight="1">
      <c r="A76" s="58"/>
      <c r="B76" s="13">
        <f>Sheet1!R332</f>
        <v>32</v>
      </c>
      <c r="C76" s="288" t="str">
        <f>Sheet1!R341</f>
        <v/>
      </c>
      <c r="D76" s="58"/>
      <c r="E76" s="13">
        <f>Sheet1!T332</f>
        <v>32</v>
      </c>
      <c r="F76" s="288" t="str">
        <f>Sheet1!T341</f>
        <v/>
      </c>
      <c r="H76" s="13">
        <f>Sheet1!V332</f>
        <v>32</v>
      </c>
      <c r="I76" s="288" t="str">
        <f>Sheet1!V341</f>
        <v/>
      </c>
      <c r="K76" s="297" t="s">
        <v>32</v>
      </c>
      <c r="L76" s="297" t="s">
        <v>55</v>
      </c>
      <c r="M76" s="297">
        <v>0.19</v>
      </c>
      <c r="O76" s="287"/>
      <c r="P76" s="287"/>
      <c r="Q76" s="287"/>
      <c r="R76" s="287"/>
      <c r="S76" s="287"/>
    </row>
    <row r="77" spans="1:19" ht="14.1" customHeight="1">
      <c r="A77" s="13"/>
      <c r="B77" s="13"/>
      <c r="D77" s="13"/>
      <c r="E77" s="13"/>
      <c r="K77" s="297" t="s">
        <v>55</v>
      </c>
      <c r="L77" s="297" t="s">
        <v>55</v>
      </c>
      <c r="M77" s="297">
        <v>0.22</v>
      </c>
      <c r="O77" s="287"/>
      <c r="P77" s="287"/>
      <c r="Q77" s="287"/>
      <c r="R77" s="287"/>
      <c r="S77" s="287"/>
    </row>
    <row r="78" spans="1:19" ht="14.1" customHeight="1">
      <c r="D78" s="13" t="str">
        <f>A75</f>
        <v>Mo/Mo</v>
      </c>
      <c r="E78" s="13" t="str">
        <f>D75</f>
        <v>Mo/Rh</v>
      </c>
      <c r="F78" s="13" t="str">
        <f>G75</f>
        <v>W/Rh</v>
      </c>
      <c r="H78" s="39"/>
      <c r="K78" s="335" t="s">
        <v>466</v>
      </c>
      <c r="L78" s="335" t="s">
        <v>467</v>
      </c>
      <c r="M78" s="335"/>
      <c r="O78" s="287"/>
      <c r="P78" s="287"/>
      <c r="Q78" s="287"/>
      <c r="R78" s="287"/>
      <c r="S78" s="287"/>
    </row>
    <row r="79" spans="1:19" ht="14.1" customHeight="1">
      <c r="C79" s="39" t="s">
        <v>463</v>
      </c>
      <c r="D79" s="13" t="e">
        <f>SLOPE(C75:C76,B75:B76)</f>
        <v>#DIV/0!</v>
      </c>
      <c r="E79" s="13" t="e">
        <f>SLOPE(F75:F76,E75:E76)</f>
        <v>#DIV/0!</v>
      </c>
      <c r="F79" s="13" t="e">
        <f>SLOPE(I75:I76,H75:H76)</f>
        <v>#DIV/0!</v>
      </c>
      <c r="H79" s="39"/>
      <c r="K79" s="335"/>
      <c r="L79" s="335" t="s">
        <v>468</v>
      </c>
      <c r="M79" s="335"/>
      <c r="O79" s="287"/>
      <c r="P79" s="287"/>
      <c r="Q79" s="287"/>
      <c r="R79" s="287"/>
      <c r="S79" s="287"/>
    </row>
    <row r="80" spans="1:19" ht="14.1" customHeight="1">
      <c r="C80" s="39" t="s">
        <v>464</v>
      </c>
      <c r="D80" s="13" t="e">
        <f>INTERCEPT(C75:C76,B75:B76)</f>
        <v>#DIV/0!</v>
      </c>
      <c r="E80" s="13" t="e">
        <f>INTERCEPT(F75:F76,E75:E76)</f>
        <v>#DIV/0!</v>
      </c>
      <c r="F80" s="13" t="e">
        <f>INTERCEPT(I75:I76,H75:H76)</f>
        <v>#DIV/0!</v>
      </c>
      <c r="K80" s="335"/>
      <c r="L80" s="335" t="s">
        <v>469</v>
      </c>
      <c r="M80" s="335"/>
      <c r="O80" s="287"/>
      <c r="P80" s="287"/>
      <c r="Q80" s="287"/>
      <c r="R80" s="287"/>
      <c r="S80" s="287"/>
    </row>
    <row r="81" spans="1:19" ht="14.1" customHeight="1">
      <c r="N81" s="73"/>
      <c r="O81" s="287"/>
      <c r="P81" s="287"/>
      <c r="Q81" s="287"/>
      <c r="R81" s="287"/>
      <c r="S81" s="287"/>
    </row>
    <row r="82" spans="1:19" ht="14.1" customHeight="1">
      <c r="A82" s="80" t="s">
        <v>470</v>
      </c>
      <c r="B82" s="25" t="e">
        <f>"DGN values (mrad/R) for "&amp;Sheet1!$T$265&amp;" kV and HVL="&amp;ROUND(Sheet1!$X$268,2)&amp;" mm Al"</f>
        <v>#DIV/0!</v>
      </c>
      <c r="N82" s="73"/>
      <c r="O82" s="287"/>
      <c r="P82" s="287"/>
      <c r="Q82" s="287"/>
      <c r="R82" s="287"/>
      <c r="S82" s="287"/>
    </row>
    <row r="83" spans="1:19" ht="14.1" customHeight="1">
      <c r="A83" s="298" t="s">
        <v>237</v>
      </c>
      <c r="B83" s="298" t="s">
        <v>262</v>
      </c>
      <c r="C83" s="298" t="s">
        <v>471</v>
      </c>
      <c r="D83" s="298" t="s">
        <v>449</v>
      </c>
      <c r="E83" s="298" t="s">
        <v>461</v>
      </c>
      <c r="F83" s="298" t="s">
        <v>238</v>
      </c>
      <c r="N83" s="73"/>
      <c r="O83" s="287"/>
      <c r="P83" s="287"/>
      <c r="Q83" s="287"/>
      <c r="R83" s="287"/>
      <c r="S83" s="287"/>
    </row>
    <row r="84" spans="1:19" ht="14.1" customHeight="1">
      <c r="A84" s="8" t="e">
        <f>IF(Sheet1!$X$268="","",VLOOKUP(Sheet1!X268,A3:J23,MATCH(Sheet1!T265,A3:J3,0)))</f>
        <v>#DIV/0!</v>
      </c>
      <c r="B84" s="8" t="e">
        <f>IF(Sheet1!$X$268="","",VLOOKUP(Sheet1!X268,K3:T23,MATCH(Sheet1!T265,K3:T3,0)))</f>
        <v>#DIV/0!</v>
      </c>
      <c r="C84" s="8" t="e">
        <f>IF(Sheet1!$X$268="","",VLOOKUP(Sheet1!X268,U3:AD23,MATCH(Sheet1!T265,U3:AD3,0)))</f>
        <v>#DIV/0!</v>
      </c>
      <c r="D84" s="329" t="e">
        <f>IF(OR(Sheet1!$X$269="",Sheet1!$X$268=""),"TBD",(L53*Sheet1!X268+M53)*(L54*Sheet1!X268+M54)*HLOOKUP(Sheet1!$Q$266,B58:D59,2))</f>
        <v>#DIV/0!</v>
      </c>
      <c r="E84" s="13" t="str">
        <f>IF(ISERR(Sheet1!$X$268),"TBD",VLOOKUP(Sheet1!X268,N27:AA48,MATCH(Sheet1!$T$265,N27:AA27,0)))</f>
        <v>TBD</v>
      </c>
      <c r="F84" s="13" t="str">
        <f>IF(ISERR(Sheet1!$X$268),"TBD",VLOOKUP(Sheet1!X268,A27:M48,MATCH(Sheet1!T265,A27:M27,0)))</f>
        <v>TBD</v>
      </c>
      <c r="N84" s="73"/>
      <c r="O84" s="287"/>
      <c r="P84" s="287"/>
      <c r="Q84" s="287"/>
      <c r="R84" s="287"/>
      <c r="S84" s="287"/>
    </row>
    <row r="85" spans="1:19" ht="14.1" customHeight="1">
      <c r="N85" s="73"/>
      <c r="O85" s="287"/>
      <c r="P85" s="287"/>
      <c r="Q85" s="287"/>
      <c r="R85" s="287"/>
      <c r="S85" s="287"/>
    </row>
    <row r="86" spans="1:19" ht="14.1" customHeight="1">
      <c r="A86" s="80" t="s">
        <v>472</v>
      </c>
      <c r="N86" s="73"/>
      <c r="O86" s="287"/>
      <c r="P86" s="287"/>
      <c r="Q86" s="287"/>
      <c r="R86" s="287"/>
      <c r="S86" s="287"/>
    </row>
    <row r="87" spans="1:19" ht="14.1" customHeight="1">
      <c r="B87" s="13" t="s">
        <v>269</v>
      </c>
      <c r="D87" s="15" t="s">
        <v>473</v>
      </c>
      <c r="E87" s="15" t="s">
        <v>474</v>
      </c>
      <c r="F87" s="15" t="s">
        <v>460</v>
      </c>
      <c r="G87" s="15" t="s">
        <v>475</v>
      </c>
      <c r="H87" s="15" t="s">
        <v>476</v>
      </c>
      <c r="I87" s="15" t="s">
        <v>477</v>
      </c>
      <c r="J87" s="15" t="s">
        <v>478</v>
      </c>
      <c r="N87" s="73"/>
      <c r="O87" s="287"/>
      <c r="P87" s="287"/>
      <c r="Q87" s="287"/>
      <c r="R87" s="287"/>
      <c r="S87" s="287"/>
    </row>
    <row r="88" spans="1:19" ht="14.1" customHeight="1">
      <c r="A88" s="25" t="s">
        <v>238</v>
      </c>
      <c r="B88" s="13" t="s">
        <v>479</v>
      </c>
      <c r="C88" s="15">
        <v>27.585999999999999</v>
      </c>
      <c r="D88" s="15">
        <v>-8375.0727645925508</v>
      </c>
      <c r="E88" s="15">
        <v>975.92543560432796</v>
      </c>
      <c r="F88" s="15">
        <v>-37.913729682039403</v>
      </c>
      <c r="G88" s="15">
        <v>0.49086583472609402</v>
      </c>
      <c r="H88" s="15">
        <v>0</v>
      </c>
      <c r="I88" s="15">
        <v>0</v>
      </c>
      <c r="J88" s="15">
        <v>0</v>
      </c>
      <c r="N88" s="73"/>
      <c r="O88" s="287"/>
      <c r="P88" s="287"/>
      <c r="Q88" s="287"/>
      <c r="R88" s="287"/>
      <c r="S88" s="287"/>
    </row>
    <row r="89" spans="1:19" ht="14.1" customHeight="1">
      <c r="B89" s="13" t="s">
        <v>480</v>
      </c>
      <c r="C89" s="15">
        <v>27.585999999999999</v>
      </c>
      <c r="D89" s="15">
        <v>-9984.6167916494396</v>
      </c>
      <c r="E89" s="15">
        <v>1436.52454571413</v>
      </c>
      <c r="F89" s="15">
        <v>-82.505102185254898</v>
      </c>
      <c r="G89" s="15">
        <v>2.36559081763837</v>
      </c>
      <c r="H89" s="15">
        <v>-3.38672433779705E-2</v>
      </c>
      <c r="I89" s="15">
        <v>1.93686920423126E-4</v>
      </c>
      <c r="J89" s="15">
        <v>0</v>
      </c>
      <c r="N89" s="73"/>
      <c r="O89" s="287"/>
      <c r="P89" s="287"/>
      <c r="Q89" s="287"/>
      <c r="R89" s="287"/>
      <c r="S89" s="287"/>
    </row>
    <row r="90" spans="1:19" ht="14.1" customHeight="1">
      <c r="C90" s="25" t="s">
        <v>481</v>
      </c>
      <c r="N90" s="73"/>
      <c r="O90" s="287"/>
      <c r="P90" s="287"/>
      <c r="Q90" s="287"/>
      <c r="R90" s="287"/>
      <c r="S90" s="287"/>
    </row>
    <row r="91" spans="1:19" ht="14.1" customHeight="1">
      <c r="C91" s="25" t="s">
        <v>482</v>
      </c>
      <c r="N91" s="73"/>
      <c r="O91" s="287"/>
      <c r="P91" s="287"/>
      <c r="Q91" s="287"/>
      <c r="R91" s="287"/>
      <c r="S91" s="287"/>
    </row>
    <row r="92" spans="1:19" ht="14.1" customHeight="1">
      <c r="B92" s="13" t="s">
        <v>269</v>
      </c>
      <c r="D92" s="15" t="s">
        <v>473</v>
      </c>
      <c r="E92" s="15" t="s">
        <v>474</v>
      </c>
      <c r="F92" s="15" t="s">
        <v>460</v>
      </c>
      <c r="G92" s="15" t="s">
        <v>475</v>
      </c>
      <c r="H92" s="15" t="s">
        <v>476</v>
      </c>
      <c r="I92" s="15" t="s">
        <v>477</v>
      </c>
      <c r="J92" s="15" t="s">
        <v>478</v>
      </c>
      <c r="N92" s="73"/>
      <c r="O92" s="287"/>
      <c r="P92" s="287"/>
      <c r="Q92" s="287"/>
      <c r="R92" s="287"/>
      <c r="S92" s="287"/>
    </row>
    <row r="93" spans="1:19" ht="14.1" customHeight="1">
      <c r="A93" s="25" t="s">
        <v>461</v>
      </c>
      <c r="B93" s="13" t="s">
        <v>479</v>
      </c>
      <c r="C93" s="15">
        <v>30.1</v>
      </c>
      <c r="D93" s="15">
        <v>-540847.69550077303</v>
      </c>
      <c r="E93" s="15">
        <v>100186.23364273099</v>
      </c>
      <c r="F93" s="15">
        <v>-7418.4790179812599</v>
      </c>
      <c r="G93" s="15">
        <v>274.47660929577501</v>
      </c>
      <c r="H93" s="15">
        <v>-5.07436954359087</v>
      </c>
      <c r="I93" s="15">
        <v>3.7500574787580898E-2</v>
      </c>
      <c r="J93" s="15">
        <v>0</v>
      </c>
      <c r="N93" s="73"/>
      <c r="O93" s="287"/>
      <c r="P93" s="287"/>
      <c r="Q93" s="287"/>
      <c r="R93" s="287"/>
      <c r="S93" s="287"/>
    </row>
    <row r="94" spans="1:19" ht="14.1" customHeight="1">
      <c r="B94" s="13" t="s">
        <v>480</v>
      </c>
      <c r="C94" s="15">
        <v>30.1</v>
      </c>
      <c r="D94" s="15">
        <v>-11057.773936199201</v>
      </c>
      <c r="E94" s="15">
        <v>1297.2285673766901</v>
      </c>
      <c r="F94" s="15">
        <v>-56.989188989725697</v>
      </c>
      <c r="G94" s="15">
        <v>1.1115828564217201</v>
      </c>
      <c r="H94" s="15">
        <v>-8.1233997365129599E-3</v>
      </c>
      <c r="I94" s="15">
        <v>0</v>
      </c>
      <c r="J94" s="15">
        <v>0</v>
      </c>
      <c r="N94" s="73"/>
      <c r="O94" s="287"/>
      <c r="P94" s="287"/>
      <c r="Q94" s="287"/>
      <c r="R94" s="287"/>
      <c r="S94" s="287"/>
    </row>
    <row r="95" spans="1:19" ht="14.1" customHeight="1">
      <c r="C95" s="25" t="s">
        <v>483</v>
      </c>
      <c r="N95" s="73"/>
      <c r="O95" s="287"/>
      <c r="P95" s="287"/>
      <c r="Q95" s="287"/>
      <c r="R95" s="287"/>
      <c r="S95" s="287"/>
    </row>
    <row r="96" spans="1:19" ht="14.1" customHeight="1">
      <c r="C96" s="25" t="s">
        <v>484</v>
      </c>
      <c r="N96" s="73"/>
      <c r="O96" s="287"/>
      <c r="P96" s="287"/>
      <c r="Q96" s="287"/>
      <c r="R96" s="287"/>
      <c r="S96" s="287"/>
    </row>
    <row r="97" spans="1:19" ht="14.1" customHeight="1">
      <c r="N97" s="73"/>
      <c r="O97" s="287"/>
      <c r="P97" s="287"/>
      <c r="Q97" s="287"/>
      <c r="R97" s="287"/>
      <c r="S97" s="287"/>
    </row>
    <row r="98" spans="1:19" ht="14.1" customHeight="1">
      <c r="A98" s="80" t="s">
        <v>485</v>
      </c>
      <c r="N98" s="73"/>
      <c r="O98" s="287"/>
      <c r="P98" s="287"/>
      <c r="Q98" s="287"/>
      <c r="R98" s="287"/>
      <c r="S98" s="287"/>
    </row>
    <row r="99" spans="1:19" ht="14.1" customHeight="1">
      <c r="B99" s="13" t="s">
        <v>269</v>
      </c>
      <c r="D99" s="15" t="s">
        <v>473</v>
      </c>
      <c r="E99" s="15" t="s">
        <v>474</v>
      </c>
      <c r="F99" s="15" t="s">
        <v>460</v>
      </c>
      <c r="G99" s="15" t="s">
        <v>475</v>
      </c>
      <c r="H99" s="15" t="s">
        <v>476</v>
      </c>
      <c r="N99" s="73"/>
      <c r="O99" s="287"/>
      <c r="P99" s="287"/>
      <c r="Q99" s="287"/>
      <c r="R99" s="287"/>
      <c r="S99" s="287"/>
    </row>
    <row r="100" spans="1:19" ht="14.1" customHeight="1">
      <c r="A100" s="25" t="s">
        <v>238</v>
      </c>
      <c r="B100" s="13" t="s">
        <v>479</v>
      </c>
      <c r="C100" s="15">
        <v>26.9</v>
      </c>
      <c r="D100" s="113">
        <v>138.88667000000001</v>
      </c>
      <c r="E100" s="113">
        <v>-10.72639</v>
      </c>
      <c r="F100" s="113">
        <v>0.26216</v>
      </c>
      <c r="G100" s="113">
        <v>-8.1999999999999998E-4</v>
      </c>
      <c r="H100" s="113"/>
      <c r="N100" s="73"/>
      <c r="O100" s="287"/>
      <c r="P100" s="287"/>
      <c r="Q100" s="287"/>
      <c r="R100" s="287"/>
      <c r="S100" s="287"/>
    </row>
    <row r="101" spans="1:19" ht="14.1" customHeight="1">
      <c r="B101" s="13" t="s">
        <v>480</v>
      </c>
      <c r="C101" s="15">
        <v>26.9</v>
      </c>
      <c r="D101" s="113">
        <v>-5009.7751651999997</v>
      </c>
      <c r="E101" s="113">
        <v>605.73200599999996</v>
      </c>
      <c r="F101" s="113">
        <v>-27.3018617</v>
      </c>
      <c r="G101" s="113">
        <v>0.54671139999999996</v>
      </c>
      <c r="H101" s="113">
        <v>-4.0986E-3</v>
      </c>
      <c r="N101" s="73"/>
      <c r="O101" s="287"/>
      <c r="P101" s="287"/>
      <c r="Q101" s="287"/>
      <c r="R101" s="287"/>
      <c r="S101" s="287"/>
    </row>
    <row r="102" spans="1:19" ht="14.1" customHeight="1">
      <c r="N102" s="73"/>
      <c r="O102" s="287"/>
      <c r="P102" s="287"/>
      <c r="Q102" s="287"/>
      <c r="R102" s="287"/>
      <c r="S102" s="287"/>
    </row>
    <row r="103" spans="1:19" ht="14.1" customHeight="1">
      <c r="A103" s="25" t="s">
        <v>461</v>
      </c>
      <c r="B103" s="13" t="s">
        <v>269</v>
      </c>
      <c r="D103" s="15" t="s">
        <v>473</v>
      </c>
      <c r="E103" s="15" t="s">
        <v>474</v>
      </c>
      <c r="F103" s="15" t="s">
        <v>460</v>
      </c>
      <c r="G103" s="15" t="s">
        <v>475</v>
      </c>
      <c r="H103" s="15" t="s">
        <v>476</v>
      </c>
      <c r="N103" s="73"/>
      <c r="O103" s="287"/>
      <c r="P103" s="287"/>
      <c r="Q103" s="287"/>
      <c r="R103" s="287"/>
      <c r="S103" s="287"/>
    </row>
    <row r="104" spans="1:19" ht="14.1" customHeight="1">
      <c r="B104" s="13" t="s">
        <v>479</v>
      </c>
      <c r="C104" s="15">
        <v>28.7</v>
      </c>
      <c r="D104" s="15">
        <v>296.34185000000002</v>
      </c>
      <c r="E104" s="15">
        <v>-31.629249999999999</v>
      </c>
      <c r="F104" s="15">
        <v>1.18025</v>
      </c>
      <c r="G104" s="15">
        <v>-1.417E-2</v>
      </c>
      <c r="H104" s="15"/>
      <c r="N104" s="73"/>
      <c r="O104" s="287"/>
      <c r="P104" s="287"/>
      <c r="Q104" s="287"/>
      <c r="R104" s="287"/>
      <c r="S104" s="287"/>
    </row>
    <row r="105" spans="1:19" ht="14.1" customHeight="1">
      <c r="B105" s="13" t="s">
        <v>480</v>
      </c>
      <c r="C105" s="15">
        <v>28.7</v>
      </c>
      <c r="D105" s="15">
        <v>4.8344690000000003</v>
      </c>
      <c r="E105" s="15">
        <v>0.919242</v>
      </c>
      <c r="F105" s="15"/>
      <c r="G105" s="15"/>
      <c r="H105" s="15"/>
      <c r="N105" s="73"/>
      <c r="O105" s="287"/>
      <c r="P105" s="287"/>
      <c r="Q105" s="287"/>
      <c r="R105" s="287"/>
      <c r="S105" s="287"/>
    </row>
    <row r="106" spans="1:19" ht="14.1" customHeight="1">
      <c r="N106" s="73"/>
      <c r="O106" s="287"/>
      <c r="P106" s="287"/>
      <c r="Q106" s="287"/>
      <c r="R106" s="287"/>
      <c r="S106" s="287"/>
    </row>
    <row r="107" spans="1:19" ht="14.1" customHeight="1">
      <c r="A107" s="25" t="s">
        <v>462</v>
      </c>
      <c r="D107" s="15" t="s">
        <v>473</v>
      </c>
      <c r="E107" s="15" t="s">
        <v>474</v>
      </c>
      <c r="F107" s="15" t="s">
        <v>460</v>
      </c>
      <c r="G107" s="15" t="s">
        <v>475</v>
      </c>
      <c r="H107" s="15" t="s">
        <v>476</v>
      </c>
      <c r="N107" s="73"/>
      <c r="O107" s="287"/>
      <c r="P107" s="287"/>
      <c r="Q107" s="287"/>
      <c r="R107" s="287"/>
      <c r="S107" s="287"/>
    </row>
    <row r="108" spans="1:19" ht="14.1" customHeight="1">
      <c r="B108" s="13" t="s">
        <v>479</v>
      </c>
      <c r="C108" s="15">
        <v>28.7</v>
      </c>
      <c r="D108" s="15">
        <v>49.311149999999998</v>
      </c>
      <c r="E108" s="15">
        <v>-2.9301699999999999</v>
      </c>
      <c r="F108" s="15">
        <v>7.3789999999999994E-2</v>
      </c>
      <c r="G108" s="15"/>
      <c r="H108" s="15"/>
      <c r="N108" s="73"/>
      <c r="O108" s="287"/>
      <c r="P108" s="287"/>
      <c r="Q108" s="287"/>
      <c r="R108" s="287"/>
      <c r="S108" s="287"/>
    </row>
    <row r="109" spans="1:19" ht="14.1" customHeight="1">
      <c r="B109" s="13"/>
      <c r="C109" s="248" t="s">
        <v>486</v>
      </c>
      <c r="D109" s="15">
        <v>-24.875</v>
      </c>
      <c r="E109" s="15">
        <v>1.8031999999999999</v>
      </c>
      <c r="F109" s="15"/>
      <c r="G109" s="15"/>
      <c r="H109" s="15"/>
      <c r="N109" s="73"/>
      <c r="O109" s="287"/>
      <c r="P109" s="287"/>
      <c r="Q109" s="287"/>
      <c r="R109" s="287"/>
      <c r="S109" s="287"/>
    </row>
    <row r="110" spans="1:19" ht="14.1" customHeight="1">
      <c r="B110" s="13" t="s">
        <v>480</v>
      </c>
      <c r="C110" s="15">
        <v>30.1</v>
      </c>
      <c r="D110" s="15">
        <v>-4.8346099999999996</v>
      </c>
      <c r="E110" s="15">
        <v>1.1571499999999999</v>
      </c>
      <c r="F110" s="15"/>
      <c r="G110" s="15"/>
      <c r="H110" s="15"/>
      <c r="N110" s="73"/>
      <c r="O110" s="287"/>
      <c r="P110" s="287"/>
      <c r="Q110" s="287"/>
      <c r="R110" s="287"/>
      <c r="S110" s="287"/>
    </row>
    <row r="111" spans="1:19" ht="14.1" customHeight="1">
      <c r="N111" s="73"/>
      <c r="O111" s="287"/>
      <c r="P111" s="287"/>
      <c r="Q111" s="287"/>
      <c r="R111" s="287"/>
      <c r="S111" s="287"/>
    </row>
    <row r="112" spans="1:19" ht="14.1" customHeight="1">
      <c r="N112" s="73"/>
      <c r="O112" s="287"/>
      <c r="P112" s="287"/>
      <c r="Q112" s="287"/>
      <c r="R112" s="287"/>
      <c r="S112" s="287"/>
    </row>
    <row r="113" spans="1:19" ht="14.1" customHeight="1">
      <c r="A113" s="25" t="s">
        <v>487</v>
      </c>
      <c r="N113" s="73"/>
      <c r="O113" s="287"/>
      <c r="P113" s="287"/>
      <c r="Q113" s="287"/>
      <c r="R113" s="287"/>
      <c r="S113" s="287"/>
    </row>
    <row r="114" spans="1:19" ht="14.1" customHeight="1">
      <c r="C114" s="13" t="s">
        <v>488</v>
      </c>
      <c r="D114" s="13" t="s">
        <v>489</v>
      </c>
      <c r="E114" s="13" t="s">
        <v>490</v>
      </c>
      <c r="F114" s="13" t="s">
        <v>491</v>
      </c>
      <c r="G114" s="13" t="s">
        <v>492</v>
      </c>
      <c r="N114" s="73"/>
      <c r="O114" s="287"/>
      <c r="P114" s="287"/>
      <c r="Q114" s="287"/>
      <c r="R114" s="287"/>
      <c r="S114" s="287"/>
    </row>
    <row r="115" spans="1:19" ht="14.1" customHeight="1">
      <c r="B115" s="39" t="s">
        <v>422</v>
      </c>
      <c r="C115" s="13" t="s">
        <v>493</v>
      </c>
      <c r="D115" s="13" t="s">
        <v>494</v>
      </c>
      <c r="E115" s="13" t="s">
        <v>495</v>
      </c>
      <c r="F115" s="13" t="s">
        <v>494</v>
      </c>
      <c r="G115" s="13" t="s">
        <v>329</v>
      </c>
      <c r="N115" s="73"/>
      <c r="O115" s="287"/>
      <c r="P115" s="287"/>
      <c r="Q115" s="287"/>
      <c r="R115" s="287"/>
      <c r="S115" s="287"/>
    </row>
    <row r="116" spans="1:19" ht="14.1" customHeight="1">
      <c r="B116" s="39" t="s">
        <v>428</v>
      </c>
      <c r="C116" s="13" t="s">
        <v>493</v>
      </c>
      <c r="D116" s="13" t="s">
        <v>494</v>
      </c>
      <c r="E116" s="13" t="s">
        <v>494</v>
      </c>
      <c r="F116" s="13" t="s">
        <v>494</v>
      </c>
      <c r="G116" s="13" t="s">
        <v>329</v>
      </c>
      <c r="N116" s="73"/>
      <c r="O116" s="287"/>
      <c r="P116" s="287"/>
      <c r="Q116" s="287"/>
      <c r="R116" s="287"/>
      <c r="S116" s="287"/>
    </row>
    <row r="117" spans="1:19" ht="14.1" customHeight="1">
      <c r="B117" s="39" t="s">
        <v>496</v>
      </c>
      <c r="C117" s="13" t="s">
        <v>493</v>
      </c>
      <c r="D117" s="13" t="s">
        <v>494</v>
      </c>
      <c r="E117" s="13" t="s">
        <v>495</v>
      </c>
      <c r="F117" s="13" t="s">
        <v>494</v>
      </c>
      <c r="G117" s="13" t="s">
        <v>329</v>
      </c>
      <c r="N117" s="73"/>
      <c r="O117" s="287"/>
      <c r="P117" s="287"/>
      <c r="Q117" s="287"/>
      <c r="R117" s="287"/>
      <c r="S117" s="287"/>
    </row>
    <row r="118" spans="1:19" ht="14.1" customHeight="1">
      <c r="B118" s="39" t="s">
        <v>497</v>
      </c>
      <c r="C118" s="13" t="s">
        <v>493</v>
      </c>
      <c r="D118" s="13" t="s">
        <v>494</v>
      </c>
      <c r="E118" s="13" t="s">
        <v>494</v>
      </c>
      <c r="F118" s="13" t="s">
        <v>494</v>
      </c>
      <c r="G118" s="13" t="s">
        <v>329</v>
      </c>
      <c r="N118" s="73"/>
      <c r="O118" s="287"/>
      <c r="P118" s="287"/>
      <c r="Q118" s="287"/>
      <c r="R118" s="287"/>
      <c r="S118" s="287"/>
    </row>
    <row r="119" spans="1:19" ht="14.1" customHeight="1">
      <c r="B119" s="39" t="s">
        <v>498</v>
      </c>
      <c r="C119" s="13" t="s">
        <v>493</v>
      </c>
      <c r="D119" s="13" t="s">
        <v>494</v>
      </c>
      <c r="E119" s="13" t="s">
        <v>494</v>
      </c>
      <c r="F119" s="13" t="s">
        <v>494</v>
      </c>
      <c r="G119" s="13" t="s">
        <v>329</v>
      </c>
      <c r="N119" s="73"/>
      <c r="O119" s="287"/>
      <c r="P119" s="287"/>
      <c r="Q119" s="287"/>
      <c r="R119" s="287"/>
      <c r="S119" s="287"/>
    </row>
    <row r="120" spans="1:19" ht="14.1" customHeight="1">
      <c r="B120" s="39" t="s">
        <v>499</v>
      </c>
      <c r="C120" s="13" t="s">
        <v>493</v>
      </c>
      <c r="D120" s="13" t="s">
        <v>494</v>
      </c>
      <c r="E120" s="13" t="s">
        <v>494</v>
      </c>
      <c r="F120" s="13" t="s">
        <v>494</v>
      </c>
      <c r="G120" s="13" t="s">
        <v>329</v>
      </c>
      <c r="N120" s="73"/>
      <c r="O120" s="287"/>
      <c r="P120" s="287"/>
      <c r="Q120" s="287"/>
      <c r="R120" s="287"/>
      <c r="S120" s="287"/>
    </row>
    <row r="121" spans="1:19" ht="14.1" customHeight="1">
      <c r="B121" s="39" t="s">
        <v>295</v>
      </c>
      <c r="C121" s="13" t="s">
        <v>493</v>
      </c>
      <c r="D121" s="13" t="s">
        <v>494</v>
      </c>
      <c r="E121" s="13" t="s">
        <v>494</v>
      </c>
      <c r="F121" s="13" t="s">
        <v>494</v>
      </c>
      <c r="G121" s="13" t="s">
        <v>329</v>
      </c>
      <c r="N121" s="73"/>
      <c r="O121" s="287"/>
      <c r="P121" s="287"/>
      <c r="Q121" s="287"/>
      <c r="R121" s="287"/>
      <c r="S121" s="287"/>
    </row>
    <row r="122" spans="1:19" ht="14.1" customHeight="1">
      <c r="B122" s="39" t="s">
        <v>500</v>
      </c>
      <c r="C122" s="13" t="s">
        <v>493</v>
      </c>
      <c r="D122" s="13" t="s">
        <v>494</v>
      </c>
      <c r="E122" s="13" t="s">
        <v>494</v>
      </c>
      <c r="F122" s="13" t="s">
        <v>494</v>
      </c>
      <c r="G122" s="13" t="s">
        <v>329</v>
      </c>
      <c r="N122" s="73"/>
      <c r="O122" s="287"/>
      <c r="P122" s="287"/>
      <c r="Q122" s="287"/>
      <c r="R122" s="287"/>
      <c r="S122" s="287"/>
    </row>
    <row r="123" spans="1:19" ht="14.1" customHeight="1">
      <c r="B123" s="39" t="s">
        <v>501</v>
      </c>
      <c r="C123" s="13" t="s">
        <v>493</v>
      </c>
      <c r="D123" s="13" t="s">
        <v>494</v>
      </c>
      <c r="E123" s="13" t="s">
        <v>494</v>
      </c>
      <c r="F123" s="13" t="s">
        <v>494</v>
      </c>
      <c r="G123" s="13" t="s">
        <v>329</v>
      </c>
      <c r="N123" s="73"/>
      <c r="O123" s="73"/>
      <c r="P123" s="73"/>
      <c r="Q123" s="73"/>
      <c r="R123" s="73"/>
      <c r="S123" s="73"/>
    </row>
    <row r="124" spans="1:19" ht="14.1" customHeight="1">
      <c r="B124" s="39" t="s">
        <v>358</v>
      </c>
      <c r="C124" s="13" t="s">
        <v>493</v>
      </c>
      <c r="D124" s="13" t="s">
        <v>494</v>
      </c>
      <c r="E124" s="13" t="s">
        <v>494</v>
      </c>
      <c r="F124" s="13" t="s">
        <v>494</v>
      </c>
      <c r="G124" s="13" t="s">
        <v>329</v>
      </c>
    </row>
    <row r="125" spans="1:19" ht="14.1" customHeight="1">
      <c r="B125" s="39" t="s">
        <v>269</v>
      </c>
      <c r="C125" s="13" t="s">
        <v>493</v>
      </c>
      <c r="D125" s="13" t="s">
        <v>494</v>
      </c>
      <c r="E125" s="13" t="s">
        <v>494</v>
      </c>
      <c r="F125" s="13" t="s">
        <v>494</v>
      </c>
      <c r="G125" s="13" t="s">
        <v>329</v>
      </c>
    </row>
  </sheetData>
  <mergeCells count="10">
    <mergeCell ref="O62:P62"/>
    <mergeCell ref="Q62:S62"/>
    <mergeCell ref="B2:J2"/>
    <mergeCell ref="L2:T2"/>
    <mergeCell ref="V2:AD2"/>
    <mergeCell ref="B26:L26"/>
    <mergeCell ref="O26:AA26"/>
    <mergeCell ref="B51:B52"/>
    <mergeCell ref="C51:C52"/>
    <mergeCell ref="D51:K51"/>
  </mergeCells>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9"/>
  <sheetViews>
    <sheetView workbookViewId="0"/>
  </sheetViews>
  <sheetFormatPr defaultRowHeight="14.25"/>
  <cols>
    <col min="1" max="1024" width="8.375" customWidth="1"/>
  </cols>
  <sheetData>
    <row r="1" spans="1:3">
      <c r="A1" s="9" t="s">
        <v>502</v>
      </c>
    </row>
    <row r="2" spans="1:3">
      <c r="B2" t="s">
        <v>503</v>
      </c>
    </row>
    <row r="3" spans="1:3">
      <c r="B3" t="s">
        <v>504</v>
      </c>
    </row>
    <row r="4" spans="1:3">
      <c r="B4" t="s">
        <v>505</v>
      </c>
    </row>
    <row r="5" spans="1:3">
      <c r="B5" t="s">
        <v>506</v>
      </c>
    </row>
    <row r="6" spans="1:3">
      <c r="B6" t="s">
        <v>507</v>
      </c>
    </row>
    <row r="8" spans="1:3">
      <c r="A8" s="9" t="s">
        <v>508</v>
      </c>
    </row>
    <row r="9" spans="1:3">
      <c r="A9" s="9"/>
      <c r="B9" t="s">
        <v>481</v>
      </c>
    </row>
    <row r="10" spans="1:3">
      <c r="A10" s="9"/>
      <c r="B10" t="s">
        <v>482</v>
      </c>
    </row>
    <row r="11" spans="1:3">
      <c r="B11" s="7" t="s">
        <v>509</v>
      </c>
      <c r="C11" s="7" t="s">
        <v>510</v>
      </c>
    </row>
    <row r="12" spans="1:3">
      <c r="B12" s="10">
        <v>25.03</v>
      </c>
      <c r="C12" s="11">
        <f>IF(B12&lt;A22,B12+B22+B12*C22+B12^2*D22+B12^3*E22+B12^4*F22+B12^5*G22+B12^6*H22,B12+B23+B12*C23+B12^2*D23+B12^3*E23+B12^4*F23+B12^5*G23+B12^6*H23)</f>
        <v>21.808137925164374</v>
      </c>
    </row>
    <row r="14" spans="1:3">
      <c r="A14" s="9" t="s">
        <v>511</v>
      </c>
    </row>
    <row r="15" spans="1:3">
      <c r="A15" s="9"/>
      <c r="B15" t="s">
        <v>483</v>
      </c>
    </row>
    <row r="16" spans="1:3">
      <c r="A16" s="9"/>
      <c r="B16" t="s">
        <v>484</v>
      </c>
    </row>
    <row r="17" spans="1:8">
      <c r="B17" s="7" t="s">
        <v>509</v>
      </c>
      <c r="C17" s="7" t="s">
        <v>510</v>
      </c>
    </row>
    <row r="18" spans="1:8">
      <c r="B18" s="10">
        <v>37.1</v>
      </c>
      <c r="C18" s="11">
        <f>IF(B18&gt;37.1,40,IF(B18&lt;A28,B18+B28+B18*C28+B18^2*D28+B18^3*E28+B18^4*F28+B18^5*G28+B18^6*H28,B18+B29+B18*C29+B18^2*D29+B18^3*E29+B18^4*F29+B18^5*G29+B18^6*H29))</f>
        <v>38.967510688751645</v>
      </c>
    </row>
    <row r="22" spans="1:8">
      <c r="A22">
        <v>27.585999999999999</v>
      </c>
      <c r="B22">
        <v>-8375.0727645925508</v>
      </c>
      <c r="C22">
        <v>975.92543560432796</v>
      </c>
      <c r="D22">
        <v>-37.913729682039403</v>
      </c>
      <c r="E22">
        <v>0.49086583472609402</v>
      </c>
      <c r="F22">
        <v>0</v>
      </c>
      <c r="G22">
        <v>0</v>
      </c>
      <c r="H22">
        <v>0</v>
      </c>
    </row>
    <row r="23" spans="1:8">
      <c r="B23">
        <v>-9984.6167916494396</v>
      </c>
      <c r="C23">
        <v>1436.52454571413</v>
      </c>
      <c r="D23">
        <v>-82.505102185254898</v>
      </c>
      <c r="E23">
        <v>2.36559081763837</v>
      </c>
      <c r="F23">
        <v>-3.38672433779705E-2</v>
      </c>
      <c r="G23">
        <v>1.93686920423126E-4</v>
      </c>
      <c r="H23">
        <v>0</v>
      </c>
    </row>
    <row r="28" spans="1:8">
      <c r="A28">
        <v>30.1</v>
      </c>
      <c r="B28">
        <v>-540847.69550077303</v>
      </c>
      <c r="C28">
        <v>100186.23364273099</v>
      </c>
      <c r="D28">
        <v>-7418.4790179812599</v>
      </c>
      <c r="E28">
        <v>274.47660929577501</v>
      </c>
      <c r="F28">
        <v>-5.07436954359087</v>
      </c>
      <c r="G28">
        <v>3.7500574787580898E-2</v>
      </c>
      <c r="H28">
        <v>0</v>
      </c>
    </row>
    <row r="29" spans="1:8">
      <c r="B29">
        <v>-11057.773936199201</v>
      </c>
      <c r="C29">
        <v>1297.2285673766901</v>
      </c>
      <c r="D29">
        <v>-56.989188989725697</v>
      </c>
      <c r="E29">
        <v>1.1115828564217201</v>
      </c>
      <c r="F29">
        <v>-8.1233997365129599E-3</v>
      </c>
      <c r="G29">
        <v>0</v>
      </c>
      <c r="H29">
        <v>0</v>
      </c>
    </row>
  </sheetData>
  <conditionalFormatting sqref="C12">
    <cfRule type="cellIs" priority="21" stopIfTrue="1" operator="lessThan">
      <formula>21.8</formula>
    </cfRule>
  </conditionalFormatting>
  <conditionalFormatting sqref="C18">
    <cfRule type="cellIs" priority="24" stopIfTrue="1" operator="lessThan">
      <formula>21.8</formula>
    </cfRule>
  </conditionalFormatting>
  <conditionalFormatting sqref="C12">
    <cfRule type="cellIs" priority="23" stopIfTrue="1" operator="greaterThanOrEqual">
      <formula>40</formula>
    </cfRule>
  </conditionalFormatting>
  <conditionalFormatting sqref="C18">
    <cfRule type="cellIs" priority="26" stopIfTrue="1" operator="greaterThanOrEqual">
      <formula>40</formula>
    </cfRule>
  </conditionalFormatting>
  <conditionalFormatting sqref="C12">
    <cfRule type="cellIs" priority="22" stopIfTrue="1" operator="between">
      <formula>24</formula>
      <formula>27</formula>
    </cfRule>
  </conditionalFormatting>
  <conditionalFormatting sqref="C18">
    <cfRule type="cellIs" priority="25" stopIfTrue="1" operator="between">
      <formula>25.35</formula>
      <formula>31.55</formula>
    </cfRule>
  </conditionalFormatting>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2"/>
  <sheetViews>
    <sheetView workbookViewId="0">
      <selection activeCell="C4" sqref="C4:H4"/>
    </sheetView>
  </sheetViews>
  <sheetFormatPr defaultRowHeight="12.75"/>
  <cols>
    <col min="1" max="1" width="9.125" style="618" customWidth="1"/>
    <col min="2" max="16384" width="9" style="618"/>
  </cols>
  <sheetData>
    <row r="1" spans="1:1">
      <c r="A1" s="687" t="s">
        <v>512</v>
      </c>
    </row>
    <row r="2" spans="1:1">
      <c r="A2" s="618" t="s">
        <v>513</v>
      </c>
    </row>
    <row r="3" spans="1:1">
      <c r="A3" s="618" t="s">
        <v>514</v>
      </c>
    </row>
    <row r="5" spans="1:1">
      <c r="A5" s="687" t="s">
        <v>515</v>
      </c>
    </row>
    <row r="6" spans="1:1">
      <c r="A6" s="618" t="s">
        <v>513</v>
      </c>
    </row>
    <row r="7" spans="1:1">
      <c r="A7" s="618" t="s">
        <v>514</v>
      </c>
    </row>
    <row r="8" spans="1:1">
      <c r="A8" s="618" t="s">
        <v>516</v>
      </c>
    </row>
    <row r="10" spans="1:1">
      <c r="A10" s="686" t="s">
        <v>517</v>
      </c>
    </row>
    <row r="11" spans="1:1">
      <c r="A11" s="685">
        <v>6</v>
      </c>
    </row>
    <row r="12" spans="1:1">
      <c r="A12" s="685">
        <v>5.5</v>
      </c>
    </row>
    <row r="13" spans="1:1">
      <c r="A13" s="685">
        <v>5</v>
      </c>
    </row>
    <row r="14" spans="1:1">
      <c r="A14" s="685">
        <v>4.5</v>
      </c>
    </row>
    <row r="15" spans="1:1">
      <c r="A15" s="685">
        <v>4</v>
      </c>
    </row>
    <row r="16" spans="1:1">
      <c r="A16" s="685">
        <v>3.5</v>
      </c>
    </row>
    <row r="17" spans="1:1">
      <c r="A17" s="685">
        <v>3</v>
      </c>
    </row>
    <row r="18" spans="1:1">
      <c r="A18" s="685">
        <v>2.5</v>
      </c>
    </row>
    <row r="19" spans="1:1">
      <c r="A19" s="685">
        <v>2</v>
      </c>
    </row>
    <row r="20" spans="1:1">
      <c r="A20" s="685">
        <v>1.5</v>
      </c>
    </row>
    <row r="21" spans="1:1">
      <c r="A21" s="685">
        <v>1</v>
      </c>
    </row>
    <row r="22" spans="1:1">
      <c r="A22" s="685">
        <v>0.5</v>
      </c>
    </row>
  </sheetData>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3009</TotalTime>
  <Application>Microsoft Excel</Application>
  <DocSecurity>0</DocSecurity>
  <ScaleCrop>false</ScaleCrop>
  <HeadingPairs>
    <vt:vector size="4" baseType="variant">
      <vt:variant>
        <vt:lpstr>Worksheets</vt:lpstr>
      </vt:variant>
      <vt:variant>
        <vt:i4>6</vt:i4>
      </vt:variant>
      <vt:variant>
        <vt:lpstr>Named Ranges</vt:lpstr>
      </vt:variant>
      <vt:variant>
        <vt:i4>9</vt:i4>
      </vt:variant>
    </vt:vector>
  </HeadingPairs>
  <TitlesOfParts>
    <vt:vector size="15" baseType="lpstr">
      <vt:lpstr>QC Test Summary-Siemens</vt:lpstr>
      <vt:lpstr>Tech QC Eval-Siemens</vt:lpstr>
      <vt:lpstr>Sheet1</vt:lpstr>
      <vt:lpstr>Tables</vt:lpstr>
      <vt:lpstr>Corrected kV</vt:lpstr>
      <vt:lpstr>dropdowns</vt:lpstr>
      <vt:lpstr>ESE</vt:lpstr>
      <vt:lpstr>FiberLst</vt:lpstr>
      <vt:lpstr>MGD</vt:lpstr>
      <vt:lpstr>NA</vt:lpstr>
      <vt:lpstr>PF</vt:lpstr>
      <vt:lpstr>'QC Test Summary-Siemens'!Print_Area</vt:lpstr>
      <vt:lpstr>Sheet1!Print_Area</vt:lpstr>
      <vt:lpstr>'Tech QC Eval-Siemens'!Print_Area</vt:lpstr>
      <vt:lpstr>SpeckMassLst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Eugene Mah</dc:creator>
  <cp:lastModifiedBy>Eugene Mah</cp:lastModifiedBy>
  <cp:revision>247</cp:revision>
  <cp:lastPrinted>2015-06-29T14:36:26Z</cp:lastPrinted>
  <dcterms:created xsi:type="dcterms:W3CDTF">2014-08-25T14:38:09Z</dcterms:created>
  <dcterms:modified xsi:type="dcterms:W3CDTF">2016-03-03T20:26:28Z</dcterms:modified>
</cp:coreProperties>
</file>