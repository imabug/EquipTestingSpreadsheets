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4"/>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iterateCount="1"/>
</workbook>
</file>

<file path=xl/calcChain.xml><?xml version="1.0" encoding="utf-8"?>
<calcChain xmlns="http://schemas.openxmlformats.org/spreadsheetml/2006/main">
  <c r="D81" i="4" l="1"/>
  <c r="F72" i="4"/>
  <c r="E72" i="4"/>
  <c r="D72" i="4"/>
  <c r="F71" i="4"/>
  <c r="E71" i="4"/>
  <c r="D71" i="4"/>
  <c r="F70" i="4"/>
  <c r="E70" i="4"/>
  <c r="D70" i="4"/>
  <c r="S347" i="1" l="1"/>
  <c r="R347" i="1"/>
  <c r="P347" i="1"/>
  <c r="Q347" i="1"/>
  <c r="Q331" i="1"/>
  <c r="P331" i="1"/>
  <c r="R331" i="1" s="1"/>
  <c r="X225" i="1"/>
  <c r="X224" i="1"/>
  <c r="X226" i="1" s="1"/>
  <c r="Q289" i="1"/>
  <c r="Q288" i="1"/>
  <c r="L40" i="8"/>
  <c r="AD127" i="1" l="1"/>
  <c r="AD126" i="1"/>
  <c r="AD125" i="1"/>
  <c r="AD124" i="1"/>
  <c r="AD123" i="1"/>
  <c r="AD122" i="1"/>
  <c r="Q338" i="1"/>
  <c r="O61" i="1"/>
  <c r="I411" i="1" l="1"/>
  <c r="I410"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06"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8" i="1"/>
  <c r="L138" i="1"/>
  <c r="M140" i="1"/>
  <c r="L140" i="1"/>
  <c r="M139" i="1"/>
  <c r="L139" i="1"/>
  <c r="E421" i="1"/>
  <c r="D421" i="1"/>
  <c r="E412" i="1"/>
  <c r="D412" i="1"/>
  <c r="G420" i="1"/>
  <c r="F420" i="1"/>
  <c r="E420" i="1"/>
  <c r="G419" i="1"/>
  <c r="F419" i="1"/>
  <c r="E419" i="1"/>
  <c r="G418" i="1"/>
  <c r="F418" i="1"/>
  <c r="E418" i="1"/>
  <c r="G417" i="1"/>
  <c r="F417" i="1"/>
  <c r="E417" i="1"/>
  <c r="D420" i="1"/>
  <c r="D419" i="1"/>
  <c r="D418" i="1"/>
  <c r="D417" i="1"/>
  <c r="E413" i="1"/>
  <c r="I409" i="1"/>
  <c r="E411" i="1"/>
  <c r="D411" i="1"/>
  <c r="E410" i="1"/>
  <c r="D410" i="1"/>
  <c r="E409" i="1"/>
  <c r="D409" i="1"/>
  <c r="F407" i="1"/>
  <c r="F406" i="1"/>
  <c r="F283" i="1" l="1"/>
  <c r="F282" i="1"/>
  <c r="F281" i="1"/>
  <c r="E283" i="1"/>
  <c r="E282" i="1"/>
  <c r="E281" i="1"/>
  <c r="C279"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J410" i="1" s="1"/>
  <c r="X337" i="1"/>
  <c r="K411" i="1"/>
  <c r="AD133" i="1"/>
  <c r="U337" i="1"/>
  <c r="K410" i="1"/>
  <c r="AD131" i="1"/>
  <c r="R302" i="1"/>
  <c r="F411" i="1" s="1"/>
  <c r="R301" i="1"/>
  <c r="F410" i="1" s="1"/>
  <c r="R300" i="1"/>
  <c r="V284" i="1"/>
  <c r="H283" i="1" s="1"/>
  <c r="V283" i="1"/>
  <c r="H282" i="1" s="1"/>
  <c r="V282" i="1"/>
  <c r="J411" i="1" l="1"/>
  <c r="AD130" i="1"/>
  <c r="U336" i="1"/>
  <c r="K409" i="1"/>
  <c r="X336" i="1"/>
  <c r="L411" i="1" s="1"/>
  <c r="R337" i="1"/>
  <c r="L410" i="1"/>
  <c r="R336" i="1"/>
  <c r="J409" i="1"/>
  <c r="AD128" i="1"/>
  <c r="L136" i="1"/>
  <c r="F409" i="1"/>
  <c r="M136" i="1"/>
  <c r="M135" i="1"/>
  <c r="L135" i="1"/>
  <c r="H281"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K4" i="11" s="1"/>
  <c r="R3" i="11"/>
  <c r="S3" i="11" s="1"/>
  <c r="J3" i="11"/>
  <c r="K3" i="11" s="1"/>
  <c r="Q6" i="11"/>
  <c r="I6" i="11"/>
  <c r="Q5" i="11"/>
  <c r="I5" i="11"/>
  <c r="Q1" i="11"/>
  <c r="Q4" i="11"/>
  <c r="J30" i="11"/>
  <c r="K30" i="11" s="1"/>
  <c r="I30" i="11"/>
  <c r="J29" i="11"/>
  <c r="I29" i="11"/>
  <c r="J28" i="11"/>
  <c r="K28" i="11" s="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0" i="11" l="1"/>
  <c r="S21" i="11"/>
  <c r="S5" i="11"/>
  <c r="K21" i="11"/>
  <c r="S12" i="11"/>
  <c r="K29" i="11"/>
  <c r="K13" i="11"/>
  <c r="S20" i="11"/>
  <c r="S13" i="11"/>
  <c r="S29" i="11"/>
  <c r="S28" i="11"/>
  <c r="T28" i="11" s="1"/>
  <c r="T32" i="11" s="1"/>
  <c r="U32" i="11" s="1"/>
  <c r="K5" i="11"/>
  <c r="L3" i="11" s="1"/>
  <c r="L7" i="11" s="1"/>
  <c r="M7" i="11" s="1"/>
  <c r="R411" i="1"/>
  <c r="E377" i="1" s="1"/>
  <c r="L409" i="1"/>
  <c r="M137" i="1" s="1"/>
  <c r="W2" i="11"/>
  <c r="O10" i="11"/>
  <c r="O2" i="11"/>
  <c r="O18" i="11"/>
  <c r="O26" i="11"/>
  <c r="W34" i="11"/>
  <c r="W18" i="11"/>
  <c r="W10" i="11"/>
  <c r="W26" i="11"/>
  <c r="T36" i="11"/>
  <c r="K19" i="11"/>
  <c r="L27" i="11"/>
  <c r="L31" i="11" s="1"/>
  <c r="M31" i="11" s="1"/>
  <c r="T40" i="11"/>
  <c r="U40" i="11" s="1"/>
  <c r="L28" i="11"/>
  <c r="L32" i="11" s="1"/>
  <c r="M32" i="11" s="1"/>
  <c r="T27" i="11"/>
  <c r="T31" i="11" s="1"/>
  <c r="U31"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383" i="1" l="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7"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11" i="11"/>
  <c r="I76" i="4" s="1"/>
  <c r="W35" i="11"/>
  <c r="Q39" i="11" s="1"/>
  <c r="O27" i="11"/>
  <c r="W19" i="11"/>
  <c r="I77" i="4" s="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5" i="1"/>
  <c r="L195" i="1"/>
  <c r="K195" i="1"/>
  <c r="M194" i="1"/>
  <c r="L194" i="1"/>
  <c r="K194" i="1"/>
  <c r="M191" i="1"/>
  <c r="L191" i="1"/>
  <c r="K191" i="1"/>
  <c r="M190" i="1"/>
  <c r="L190" i="1"/>
  <c r="K190" i="1"/>
  <c r="M189" i="1"/>
  <c r="L189" i="1"/>
  <c r="K189" i="1"/>
  <c r="M188" i="1"/>
  <c r="L188" i="1"/>
  <c r="K188" i="1"/>
  <c r="J195" i="1"/>
  <c r="I195" i="1"/>
  <c r="H195" i="1"/>
  <c r="J194" i="1"/>
  <c r="I194" i="1"/>
  <c r="H194"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O19" i="11" l="1"/>
  <c r="X386" i="1"/>
  <c r="D20" i="11"/>
  <c r="D24" i="11" s="1"/>
  <c r="E24" i="11" s="1"/>
  <c r="D19" i="11"/>
  <c r="D23" i="11" s="1"/>
  <c r="E23" i="11" s="1"/>
  <c r="T387" i="1"/>
  <c r="O11" i="11"/>
  <c r="F76" i="4" s="1"/>
  <c r="W3" i="11"/>
  <c r="Q7" i="11" s="1"/>
  <c r="D11" i="11"/>
  <c r="D15" i="11" s="1"/>
  <c r="E15" i="11" s="1"/>
  <c r="F75" i="4"/>
  <c r="F77" i="4"/>
  <c r="F78" i="4"/>
  <c r="D12" i="11"/>
  <c r="D16" i="11" s="1"/>
  <c r="E16" i="11" s="1"/>
  <c r="W388" i="1"/>
  <c r="T386" i="1"/>
  <c r="P388" i="1"/>
  <c r="I23" i="11"/>
  <c r="J23" i="11" s="1"/>
  <c r="R39" i="11"/>
  <c r="Q31" i="11"/>
  <c r="R31" i="11" s="1"/>
  <c r="Q15" i="11"/>
  <c r="R15" i="11" s="1"/>
  <c r="V388" i="1"/>
  <c r="Q388" i="1"/>
  <c r="G3" i="11"/>
  <c r="I31" i="11"/>
  <c r="J31" i="11" s="1"/>
  <c r="Q23" i="11"/>
  <c r="R23" i="11" s="1"/>
  <c r="I7" i="11"/>
  <c r="J7" i="11" s="1"/>
  <c r="S386" i="1"/>
  <c r="X388" i="1"/>
  <c r="Y387" i="1"/>
  <c r="Y386" i="1"/>
  <c r="S387" i="1"/>
  <c r="S388" i="1" s="1"/>
  <c r="J398" i="1"/>
  <c r="I398" i="1"/>
  <c r="H398" i="1"/>
  <c r="J397" i="1"/>
  <c r="I397" i="1"/>
  <c r="H397" i="1"/>
  <c r="J396" i="1"/>
  <c r="I396" i="1"/>
  <c r="H396" i="1"/>
  <c r="J395" i="1"/>
  <c r="I395" i="1"/>
  <c r="H395" i="1"/>
  <c r="J394" i="1"/>
  <c r="I394" i="1"/>
  <c r="H394" i="1"/>
  <c r="J393" i="1"/>
  <c r="I393" i="1"/>
  <c r="H393" i="1"/>
  <c r="S253" i="1"/>
  <c r="R253" i="1"/>
  <c r="Q253" i="1"/>
  <c r="L185" i="1"/>
  <c r="I185" i="1"/>
  <c r="D185" i="1"/>
  <c r="G19" i="11" l="1"/>
  <c r="Q410" i="1" s="1"/>
  <c r="Q412" i="1" s="1"/>
  <c r="I15" i="11"/>
  <c r="J15" i="11" s="1"/>
  <c r="E83" i="4"/>
  <c r="T388" i="1"/>
  <c r="I75" i="4"/>
  <c r="F83" i="4" s="1"/>
  <c r="S410" i="1"/>
  <c r="G11" i="11"/>
  <c r="C76" i="4" s="1"/>
  <c r="R7" i="11"/>
  <c r="S412" i="1"/>
  <c r="F378" i="1" s="1"/>
  <c r="C77" i="4"/>
  <c r="C75" i="4"/>
  <c r="E82" i="4"/>
  <c r="E81" i="4"/>
  <c r="Y388" i="1"/>
  <c r="A7" i="11"/>
  <c r="B7" i="11" s="1"/>
  <c r="E378" i="1"/>
  <c r="E376" i="1"/>
  <c r="F376" i="1"/>
  <c r="D378" i="1"/>
  <c r="D376" i="1"/>
  <c r="A23" i="11"/>
  <c r="B23" i="11" s="1"/>
  <c r="S437" i="1"/>
  <c r="F82" i="4" l="1"/>
  <c r="F81" i="4"/>
  <c r="A15" i="11"/>
  <c r="B15" i="11" s="1"/>
  <c r="D83" i="4"/>
  <c r="D82" i="4"/>
  <c r="L5" i="8"/>
  <c r="D501" i="1" l="1"/>
  <c r="D500" i="1"/>
  <c r="D499" i="1"/>
  <c r="D498" i="1"/>
  <c r="D497" i="1"/>
  <c r="D496" i="1"/>
  <c r="R476" i="1"/>
  <c r="S475" i="1"/>
  <c r="T476" i="1" s="1"/>
  <c r="R474" i="1"/>
  <c r="S473" i="1"/>
  <c r="T474" i="1" s="1"/>
  <c r="D493" i="1" l="1"/>
  <c r="D492" i="1"/>
  <c r="D491" i="1"/>
  <c r="D490" i="1"/>
  <c r="D489" i="1"/>
  <c r="D488" i="1"/>
  <c r="D487" i="1"/>
  <c r="D486" i="1"/>
  <c r="D485" i="1"/>
  <c r="D484" i="1"/>
  <c r="D483" i="1"/>
  <c r="D482" i="1"/>
  <c r="D481" i="1"/>
  <c r="D480" i="1"/>
  <c r="D479" i="1"/>
  <c r="D478" i="1"/>
  <c r="D494" i="1"/>
  <c r="D495"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6" i="1" s="1"/>
  <c r="T453" i="1"/>
  <c r="U452" i="1"/>
  <c r="I385" i="1" s="1"/>
  <c r="T452" i="1"/>
  <c r="S444" i="1"/>
  <c r="J399" i="1" s="1"/>
  <c r="R444" i="1"/>
  <c r="I399" i="1" s="1"/>
  <c r="Q444" i="1"/>
  <c r="H399" i="1" s="1"/>
  <c r="R428" i="1"/>
  <c r="Q428" i="1"/>
  <c r="E398"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58" i="1"/>
  <c r="V358" i="1" s="1"/>
  <c r="Q358"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G271" i="1" s="1"/>
  <c r="E387" i="1"/>
  <c r="T271" i="1"/>
  <c r="G270" i="1" s="1"/>
  <c r="E386" i="1"/>
  <c r="T270" i="1"/>
  <c r="G269" i="1" s="1"/>
  <c r="E385" i="1"/>
  <c r="E384"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W204" i="1"/>
  <c r="M193" i="1" s="1"/>
  <c r="V204" i="1"/>
  <c r="L193" i="1" s="1"/>
  <c r="U204" i="1"/>
  <c r="K193" i="1" s="1"/>
  <c r="S204" i="1"/>
  <c r="J193" i="1" s="1"/>
  <c r="R204" i="1"/>
  <c r="I193" i="1" s="1"/>
  <c r="Q204" i="1"/>
  <c r="H193" i="1" s="1"/>
  <c r="W203" i="1"/>
  <c r="M192" i="1" s="1"/>
  <c r="V203" i="1"/>
  <c r="L192" i="1" s="1"/>
  <c r="U203" i="1"/>
  <c r="K192" i="1" s="1"/>
  <c r="S203" i="1"/>
  <c r="J192" i="1" s="1"/>
  <c r="R203" i="1"/>
  <c r="I192" i="1" s="1"/>
  <c r="Q203" i="1"/>
  <c r="H192" i="1" s="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AD67" i="1" s="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1" i="1"/>
  <c r="L81" i="1"/>
  <c r="M80" i="1"/>
  <c r="L80" i="1"/>
  <c r="M79" i="1"/>
  <c r="L79" i="1"/>
  <c r="M78" i="1"/>
  <c r="L78" i="1"/>
  <c r="M77" i="1"/>
  <c r="L77" i="1"/>
  <c r="M76" i="1"/>
  <c r="L76" i="1"/>
  <c r="AD68" i="1"/>
  <c r="M74" i="1"/>
  <c r="M73" i="1"/>
  <c r="M63" i="1"/>
  <c r="L63" i="1"/>
  <c r="M62" i="1"/>
  <c r="L62" i="1"/>
  <c r="M61" i="1"/>
  <c r="L61" i="1"/>
  <c r="M60" i="1"/>
  <c r="L60" i="1"/>
  <c r="M59" i="1"/>
  <c r="L59" i="1"/>
  <c r="M58" i="1"/>
  <c r="L58" i="1"/>
  <c r="M57" i="1"/>
  <c r="L57" i="1"/>
  <c r="M56" i="1"/>
  <c r="L56" i="1"/>
  <c r="M55" i="1"/>
  <c r="L55" i="1"/>
  <c r="M54" i="1"/>
  <c r="L54" i="1"/>
  <c r="M53" i="1"/>
  <c r="L53" i="1"/>
  <c r="M52" i="1"/>
  <c r="L52" i="1"/>
  <c r="M51" i="1"/>
  <c r="L51" i="1"/>
  <c r="M49" i="1"/>
  <c r="L49" i="1"/>
  <c r="M48" i="1"/>
  <c r="L48" i="1"/>
  <c r="M47" i="1"/>
  <c r="L47" i="1"/>
  <c r="M46" i="1"/>
  <c r="L46" i="1"/>
  <c r="M45" i="1"/>
  <c r="L45" i="1"/>
  <c r="G41"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I181" i="1" l="1"/>
  <c r="O85" i="1"/>
  <c r="AD55" i="1"/>
  <c r="E40" i="1"/>
  <c r="I40" i="1"/>
  <c r="K223" i="1"/>
  <c r="U224" i="1"/>
  <c r="X227" i="1" s="1"/>
  <c r="K226" i="1" s="1"/>
  <c r="I30" i="8"/>
  <c r="AD117" i="1"/>
  <c r="V453" i="1"/>
  <c r="J386" i="1" s="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69" i="1"/>
  <c r="E306" i="1"/>
  <c r="AD74" i="1"/>
  <c r="E63" i="4"/>
  <c r="E69" i="4" s="1"/>
  <c r="C302"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J385" i="1" s="1"/>
  <c r="F26" i="1"/>
  <c r="V367" i="1"/>
  <c r="C370" i="1"/>
  <c r="T399" i="1"/>
  <c r="F370" i="1" s="1"/>
  <c r="AD9" i="1"/>
  <c r="AC9" i="1" s="1"/>
  <c r="K29" i="1"/>
  <c r="X359" i="1"/>
  <c r="K297" i="1" s="1"/>
  <c r="V363" i="1"/>
  <c r="C369" i="1"/>
  <c r="T398" i="1"/>
  <c r="F369"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5" i="1"/>
  <c r="H386"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M82" i="1" l="1"/>
  <c r="L82" i="1"/>
  <c r="D75" i="4"/>
  <c r="E80" i="4" s="1"/>
  <c r="R405" i="1"/>
  <c r="L301" i="1"/>
  <c r="J252" i="1"/>
  <c r="S260" i="1"/>
  <c r="S261" i="1" s="1"/>
  <c r="I252" i="1"/>
  <c r="R260" i="1"/>
  <c r="R261" i="1" s="1"/>
  <c r="H252" i="1"/>
  <c r="Q260" i="1"/>
  <c r="Q261" i="1" s="1"/>
  <c r="P371" i="1"/>
  <c r="V379" i="1"/>
  <c r="J343" i="1" s="1"/>
  <c r="Q379" i="1"/>
  <c r="E343" i="1" s="1"/>
  <c r="P358" i="1"/>
  <c r="A75" i="4" s="1"/>
  <c r="D80" i="4" s="1"/>
  <c r="Q394" i="1"/>
  <c r="D364" i="1" s="1"/>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K386" i="1" s="1"/>
  <c r="X452" i="1"/>
  <c r="K385" i="1" s="1"/>
  <c r="D352" i="1"/>
  <c r="T245" i="1"/>
  <c r="H244" i="1" s="1"/>
  <c r="Y238" i="1"/>
  <c r="L237" i="1" s="1"/>
  <c r="P246" i="1"/>
  <c r="D245" i="1" s="1"/>
  <c r="U245" i="1"/>
  <c r="I244" i="1" s="1"/>
  <c r="H351" i="1"/>
  <c r="G351" i="1"/>
  <c r="F352" i="1"/>
  <c r="G75" i="4" l="1"/>
  <c r="S405" i="1"/>
  <c r="Q405" i="1"/>
  <c r="C307" i="1"/>
  <c r="I63" i="4"/>
  <c r="F69" i="4" s="1"/>
  <c r="C296" i="1"/>
  <c r="A63" i="4"/>
  <c r="D69" i="4" s="1"/>
  <c r="F80" i="4"/>
  <c r="U397" i="1"/>
  <c r="G368" i="1" s="1"/>
  <c r="H350" i="1"/>
  <c r="H353" i="1" s="1"/>
  <c r="T397" i="1"/>
  <c r="G350" i="1"/>
  <c r="F260" i="1"/>
  <c r="F259" i="1"/>
  <c r="X244" i="1"/>
  <c r="K243" i="1" s="1"/>
  <c r="K242" i="1"/>
  <c r="E260" i="1"/>
  <c r="E259" i="1"/>
  <c r="D260" i="1"/>
  <c r="D259" i="1"/>
  <c r="V244" i="1"/>
  <c r="J243" i="1" s="1"/>
  <c r="V243" i="1"/>
  <c r="J242" i="1" s="1"/>
  <c r="Y243" i="1"/>
  <c r="L242" i="1" s="1"/>
  <c r="G352" i="1"/>
  <c r="AD86" i="1"/>
  <c r="AD87" i="1"/>
  <c r="U272" i="1" l="1"/>
  <c r="H271" i="1" s="1"/>
  <c r="E374" i="1"/>
  <c r="X268" i="1"/>
  <c r="A86" i="4" s="1"/>
  <c r="F374" i="1"/>
  <c r="D374" i="1"/>
  <c r="U270" i="1"/>
  <c r="H269" i="1" s="1"/>
  <c r="U269" i="1"/>
  <c r="H268" i="1" s="1"/>
  <c r="U271" i="1"/>
  <c r="H270" i="1" s="1"/>
  <c r="V245" i="1"/>
  <c r="Y244" i="1"/>
  <c r="L243" i="1" s="1"/>
  <c r="T400" i="1"/>
  <c r="F371" i="1" s="1"/>
  <c r="I366" i="1" s="1"/>
  <c r="F368" i="1"/>
  <c r="E86" i="4" l="1"/>
  <c r="K267" i="1"/>
  <c r="B84" i="4"/>
  <c r="F86" i="4"/>
  <c r="C86" i="4"/>
  <c r="B86" i="4"/>
  <c r="U273" i="1"/>
  <c r="H272" i="1" s="1"/>
  <c r="V246" i="1"/>
  <c r="J245" i="1" s="1"/>
  <c r="J244" i="1"/>
  <c r="X270" i="1" l="1"/>
  <c r="K269" i="1" s="1"/>
  <c r="X269" i="1"/>
  <c r="U274" i="1"/>
  <c r="H273" i="1" s="1"/>
  <c r="X271" i="1" l="1"/>
  <c r="T291" i="1" s="1"/>
  <c r="S293" i="1" s="1"/>
  <c r="D86" i="4"/>
  <c r="K268" i="1"/>
  <c r="X273" i="1"/>
  <c r="K272" i="1" s="1"/>
  <c r="X277" i="1"/>
  <c r="K275" i="1" s="1"/>
  <c r="X276" i="1" l="1"/>
  <c r="K274" i="1" s="1"/>
  <c r="K270" i="1"/>
  <c r="AD273" i="1"/>
  <c r="AC275" i="1" s="1"/>
  <c r="AD85" i="1"/>
  <c r="AD277" i="1"/>
  <c r="AC279" i="1" s="1"/>
  <c r="L39" i="8"/>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<sst xmlns="http://schemas.openxmlformats.org/spreadsheetml/2006/main" count="1799" uniqueCount="667">
  <si>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</si>
  <si>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</si>
  <si>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</si>
  <si>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</si>
  <si>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</si>
  <si>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</si>
  <si>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</si>
  <si>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</si>
  <si>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</si>
  <si>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</si>
  <si>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</si>
  <si>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</si>
  <si>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</si>
  <si>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</si>
  <si>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</si>
  <si>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</si>
  <si>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</si>
  <si>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</si>
  <si>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</si>
  <si>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</si>
  <si>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</si>
  <si>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</si>
  <si>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</si>
  <si>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</si>
  <si>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</si>
  <si>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</si>
  <si>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</si>
  <si>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</si>
  <si>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</si>
  <si>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</si>
  <si>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</si>
  <si>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</si>
  <si>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</si>
  <si>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</si>
  <si>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</si>
  <si>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</si>
  <si>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</si>
  <si>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</si>
  <si>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</si>
  <si>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</si>
  <si>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</si>
  <si>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</si>
  <si>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</si>
  <si>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</si>
  <si>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</si>
  <si>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</si>
  <si>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</si>
  <si>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</si>
  <si>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</si>
  <si>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</si>
  <si>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</si>
  <si>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</si>
  <si>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</si>
  <si>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</si>
  <si>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</si>
  <si>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</si>
  <si>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</si>
  <si>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</si>
  <si>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</si>
  <si>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</si>
  <si>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</si>
  <si>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</si>
  <si>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</si>
  <si>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</si>
  <si>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</si>
  <si>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</si>
  <si>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</si>
  <si>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</si>
  <si>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</si>
  <si>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</si>
  <si>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</si>
  <si>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</si>
  <si>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</si>
  <si>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</si>
  <si>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</si>
  <si>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</si>
  <si>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</si>
  <si>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</si>
  <si>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</si>
  <si>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</si>
  <si>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</si>
  <si>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</si>
  <si>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</si>
  <si>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</si>
  <si>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</si>
  <si>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</si>
  <si>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</si>
  <si>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</si>
  <si>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</si>
  <si>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</si>
  <si>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</si>
  <si>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</si>
  <si>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</si>
  <si>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</si>
  <si>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</si>
  <si>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</si>
  <si>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</si>
  <si>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</si>
  <si>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</si>
  <si>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</si>
  <si>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</si>
  <si>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</si>
  <si>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</si>
  <si>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</si>
  <si>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</si>
  <si>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</si>
  <si>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</si>
  <si>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</si>
  <si>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</si>
  <si>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</si>
  <si>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</si>
  <si>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</si>
  <si>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</si>
  <si>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</si>
  <si>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</si>
  <si>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</si>
  <si>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</si>
  <si>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</si>
  <si>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</si>
  <si>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</si>
  <si>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</si>
  <si>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</si>
  <si>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</si>
  <si>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</si>
  <si>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</si>
  <si>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</si>
  <si>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</si>
  <si>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</si>
  <si>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</si>
  <si>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</si>
  <si>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</si>
  <si>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</si>
  <si>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</si>
  <si>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</si>
  <si>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</si>
  <si>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</si>
  <si>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</si>
  <si>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</si>
  <si>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</si>
  <si>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</si>
  <si>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</si>
  <si>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</si>
  <si>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</si>
  <si>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</si>
  <si>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</si>
  <si>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</si>
  <si>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</si>
  <si>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</si>
  <si>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</si>
  <si>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</si>
  <si>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</si>
  <si>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</si>
  <si>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</si>
  <si>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</si>
  <si>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</si>
  <si>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</si>
  <si>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</si>
  <si>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</si>
  <si>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</si>
  <si>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</si>
  <si>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</si>
  <si>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</si>
  <si>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</si>
  <si>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</si>
  <si>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</si>
  <si>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</si>
  <si>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</si>
  <si>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</si>
  <si>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</si>
  <si>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</si>
  <si>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</si>
  <si>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</si>
  <si>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</si>
  <si>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</si>
  <si>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</si>
  <si>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</si>
  <si>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</si>
  <si>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</si>
  <si>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</si>
  <si>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</si>
  <si>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</si>
  <si>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</si>
  <si>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</si>
  <si>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</si>
  <si>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</si>
  <si>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</si>
  <si>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</si>
  <si>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</si>
  <si>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</si>
  <si>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</si>
  <si>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</si>
  <si>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</si>
  <si>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</si>
  <si>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</si>
  <si>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</si>
  <si>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</si>
  <si>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</si>
  <si>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</si>
  <si>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</si>
  <si>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</si>
  <si>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</si>
  <si>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</si>
  <si>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</si>
  <si>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</si>
  <si>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</si>
  <si>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</si>
  <si>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</si>
  <si>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</si>
  <si>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</si>
  <si>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</si>
  <si>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</si>
  <si>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</si>
  <si>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</si>
  <si>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</si>
  <si>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</si>
  <si>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</si>
  <si>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</si>
  <si>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</si>
  <si>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</si>
  <si>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</si>
  <si>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</si>
  <si>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</si>
  <si>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</si>
  <si>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</si>
  <si>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</si>
  <si>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</si>
  <si>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</si>
  <si>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</si>
  <si>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</si>
  <si>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</si>
  <si>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</si>
  <si>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</si>
  <si>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</si>
  <si>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</si>
  <si>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</si>
  <si>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</si>
  <si>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</si>
  <si>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</si>
  <si>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</si>
  <si>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</si>
  <si>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</si>
  <si>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</si>
  <si>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</si>
  <si>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</si>
  <si>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</si>
  <si>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</si>
  <si>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</si>
  <si>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</si>
  <si>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</si>
  <si>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</si>
  <si>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</si>
  <si>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</si>
  <si>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</si>
  <si>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</si>
  <si>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</si>
  <si>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</si>
  <si>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</si>
  <si>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</si>
  <si>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</si>
  <si>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</si>
  <si>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</si>
  <si>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</si>
  <si>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</si>
  <si>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</si>
  <si>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</si>
  <si>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</si>
  <si>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</si>
  <si>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</si>
  <si>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</si>
  <si>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</si>
  <si>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</si>
  <si>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</si>
  <si>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</si>
  <si>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</si>
  <si>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</si>
  <si>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</si>
  <si>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</si>
  <si>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</si>
  <si>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</si>
  <si>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</si>
  <si>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</si>
  <si>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</si>
  <si>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</si>
  <si>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</si>
  <si>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</si>
  <si>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</si>
  <si>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</si>
  <si>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</si>
  <si>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</si>
  <si>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</si>
  <si>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</si>
  <si>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</si>
  <si>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</si>
  <si>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</si>
  <si>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</si>
  <si>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</si>
  <si>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</si>
  <si>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</si>
  <si>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</si>
  <si>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</si>
  <si>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</si>
  <si>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</si>
  <si>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</si>
  <si>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</si>
  <si>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</si>
  <si>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</si>
  <si>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</si>
  <si>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</si>
  <si>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</si>
  <si>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</si>
  <si>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</si>
  <si>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</si>
  <si>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</si>
  <si>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</si>
  <si>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</si>
  <si>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</si>
  <si>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</si>
  <si>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</si>
  <si>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</si>
  <si>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</si>
  <si>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</si>
  <si>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</si>
  <si>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</si>
  <si>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</si>
  <si>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</si>
  <si>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</si>
  <si>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</si>
  <si>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</si>
  <si>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</si>
  <si>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</si>
  <si>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</si>
  <si>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</si>
  <si>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</si>
  <si>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</si>
  <si>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</si>
  <si>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</si>
  <si>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</si>
  <si>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</si>
  <si>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</si>
  <si>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</si>
  <si>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</si>
  <si>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</si>
  <si>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</si>
  <si>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</si>
  <si>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</si>
  <si>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</si>
  <si>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</si>
  <si>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</si>
  <si>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</si>
  <si>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</si>
  <si>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</si>
  <si>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</si>
  <si>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</si>
  <si>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</si>
  <si>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</si>
  <si>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</si>
  <si>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</si>
  <si>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</si>
  <si>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</si>
  <si>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</si>
  <si>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</si>
  <si>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</si>
  <si>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</si>
  <si>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</si>
  <si>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</si>
  <si>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</si>
  <si>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</si>
  <si>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</si>
  <si>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</si>
  <si>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</si>
  <si>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</si>
  <si>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</si>
  <si>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</si>
  <si>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</si>
  <si>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</si>
  <si>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</si>
  <si>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</si>
  <si>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</si>
  <si>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</si>
  <si>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</si>
  <si>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</si>
  <si>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</si>
  <si>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</si>
  <si>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</si>
  <si>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</si>
  <si>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</si>
  <si>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</si>
  <si>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</si>
  <si>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</si>
  <si>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</si>
  <si>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</si>
  <si>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</si>
  <si>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</si>
  <si>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</si>
  <si>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</si>
  <si>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</si>
  <si>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</si>
  <si>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</si>
  <si>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</si>
  <si>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</si>
  <si>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</si>
  <si>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</si>
  <si>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</si>
  <si>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</si>
  <si>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</si>
  <si>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</si>
  <si>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</si>
  <si>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</si>
  <si>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</si>
  <si>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</si>
  <si>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</si>
  <si>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</si>
  <si>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</si>
  <si>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</si>
  <si>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</si>
  <si>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</si>
  <si>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</si>
  <si>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</si>
  <si>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</si>
  <si>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</si>
  <si>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</si>
  <si>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</si>
  <si>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</si>
  <si>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</si>
  <si>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</si>
  <si>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</si>
  <si>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</si>
  <si>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</si>
  <si>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</si>
  <si>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</si>
  <si>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</si>
  <si>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</si>
  <si>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</si>
  <si>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</si>
  <si>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</si>
  <si>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</si>
  <si>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</si>
  <si>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</si>
  <si>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</si>
  <si>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</si>
  <si>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</si>
  <si>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</si>
  <si>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</si>
  <si>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</si>
  <si>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</si>
  <si>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</si>
  <si>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</si>
  <si>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</si>
  <si>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</si>
  <si>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</si>
  <si>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</si>
  <si>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</si>
  <si>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</si>
  <si>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</si>
  <si>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</si>
  <si>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</si>
  <si>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</si>
  <si>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</si>
  <si>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</si>
  <si>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</si>
  <si>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</si>
  <si>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</si>
  <si>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</si>
  <si>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</si>
  <si>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</si>
  <si>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</si>
  <si>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</si>
  <si>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</si>
  <si>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</si>
  <si>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</si>
  <si>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</si>
  <si>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</si>
  <si>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</si>
  <si>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</si>
  <si>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</si>
  <si>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</si>
  <si>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</si>
  <si>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</si>
  <si>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</si>
  <si>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</si>
  <si>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</si>
  <si>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</si>
  <si>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</si>
  <si>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</si>
  <si>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</si>
  <si>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</si>
  <si>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</si>
  <si>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</si>
  <si>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</si>
  <si>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</si>
  <si>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</si>
  <si>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</si>
  <si>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</si>
  <si>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</si>
  <si>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</si>
  <si>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</si>
  <si>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</si>
  <si>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</si>
  <si>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</si>
  <si>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</si>
  <si>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</si>
  <si>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</si>
  <si>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</si>
  <si>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</si>
  <si>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</si>
  <si>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</si>
  <si>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</si>
  <si>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</si>
  <si>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</si>
  <si>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</si>
  <si>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</si>
  <si>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</si>
  <si>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</si>
  <si>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</si>
  <si>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</si>
  <si>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</si>
  <si>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</si>
  <si>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</si>
  <si>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</si>
  <si>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</si>
  <si>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</si>
  <si>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</si>
  <si>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</si>
  <si>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</si>
  <si>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</si>
  <si>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</si>
  <si>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</si>
  <si>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</si>
  <si>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</si>
  <si>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</si>
  <si>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</si>
  <si>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</si>
  <si>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</si>
  <si>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</si>
  <si>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</si>
  <si>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</si>
  <si>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</si>
  <si>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</si>
  <si>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</si>
  <si>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</si>
  <si>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</si>
  <si>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</si>
  <si>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</si>
  <si>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</si>
  <si>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</si>
  <si>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</si>
  <si>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</si>
  <si>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</si>
  <si>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</si>
  <si>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</si>
  <si>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</si>
  <si>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</si>
  <si>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</si>
  <si>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</si>
  <si>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</si>
  <si>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</si>
  <si>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</si>
  <si>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</si>
  <si>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</si>
  <si>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</si>
  <si>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</si>
  <si>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</si>
  <si>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</si>
  <si>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</si>
  <si>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</si>
  <si>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</si>
  <si>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</si>
  <si>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</si>
  <si>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</si>
  <si>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</si>
  <si>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</si>
  <si>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</si>
  <si>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</si>
  <si>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</si>
  <si>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</si>
  <si>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</si>
  <si>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</si>
  <si>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</si>
  <si>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</si>
  <si>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</si>
  <si>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</si>
  <si>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</si>
  <si>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</si>
  <si>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</si>
  <si>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</si>
  <si>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</si>
  <si>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</si>
  <si>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</si>
  <si>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</si>
  <si>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</si>
  <si>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</si>
  <si>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</si>
  <si>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</si>
  <si>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</si>
  <si>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</si>
  <si>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</si>
  <si>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</si>
  <si>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</si>
  <si>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</si>
  <si>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</si>
  <si>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</si>
  <si>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</si>
  <si>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</si>
  <si>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</si>
  <si>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</si>
  <si>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</si>
  <si>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</si>
  <si>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</si>
  <si>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</si>
  <si>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</si>
  <si>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</si>
  <si>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</si>
  <si>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</si>
  <si>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</si>
  <si>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</si>
  <si>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</si>
  <si>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</si>
  <si>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</si>
  <si>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</si>
  <si>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</si>
  <si>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</si>
  <si>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</si>
  <si>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</si>
  <si>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</si>
  <si>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</si>
  <si>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</si>
  <si>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</si>
  <si>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</si>
  <si>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</si>
  <si>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</si>
  <si>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</si>
  <si>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</si>
  <si>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</si>
  <si>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</si>
  <si>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</si>
  <si>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</si>
  <si>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</si>
  <si>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</si>
  <si>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</si>
  <si>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</si>
  <si>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</si>
  <si>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</si>
  <si>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</si>
  <si>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</si>
  <si>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MGD for 20, 40, 60 mm PMMA thickness is below maximum allowed MGD</t>
  </si>
  <si>
    <t>X/Y geometric accuracy is within +/- 2% of actual phantom size</t>
  </si>
  <si>
    <t>Z resolution (ASF(a) and ASF(b)) is acceptable</t>
  </si>
  <si>
    <t>Phantom image quality is acceptable</t>
  </si>
  <si>
    <t>Tomo phantom image quality acceptable</t>
  </si>
  <si>
    <t>V5 07.11.2013</t>
  </si>
  <si>
    <t>1600 Midtown Ave, Mt Pleasant, SC</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</si>
  <si>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</si>
  <si>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</si>
  <si>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</si>
  <si>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</si>
  <si>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</si>
  <si>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</si>
  <si>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</si>
  <si>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</si>
  <si>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</si>
  <si>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</si>
  <si>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</si>
  <si>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</si>
  <si>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Adjusted</t>
  </si>
  <si>
    <t>2D + Tomoscan:</t>
  </si>
  <si>
    <t>Revision 1.2-20160615</t>
  </si>
  <si>
    <t>Calculate HVL as a function of kV</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</si>
</sst>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69">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0" borderId="85" xfId="0" applyFont="1" applyBorder="1" applyAlignment="1">
      <alignment vertic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0" xfId="0" applyFont="1" applyBorder="1" applyAlignment="1">
      <alignment horizontal="center"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5966480"/>
        <c:axId val="120525200"/>
      </c:scatterChart>
      <c:valAx>
        <c:axId val="3596648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25200"/>
        <c:crosses val="autoZero"/>
        <c:crossBetween val="midCat"/>
      </c:valAx>
      <c:valAx>
        <c:axId val="120525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648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topLeftCell="A25" workbookViewId="0">
      <selection activeCell="L41" sqref="L41"/>
    </sheetView>
  </sheetViews>
  <sheetFormatPr defaultRowHeight="12.75"/>
  <cols>
    <col min="1" max="1" width="5" style="504" customWidth="1"/>
    <col min="2" max="2" width="5.375" style="504" customWidth="1"/>
    <col min="3" max="3" width="5.875" style="504" customWidth="1"/>
    <col min="4" max="4" width="7.375" style="504" customWidth="1"/>
    <col min="5" max="5" width="5.875" style="504" customWidth="1"/>
    <col min="6" max="7" width="7.375" style="504" customWidth="1"/>
    <col min="8" max="10" width="7.625" style="504" customWidth="1"/>
    <col min="11" max="12" width="8.375" style="504" customWidth="1"/>
    <col min="13" max="13" width="6.625" style="504" customWidth="1"/>
    <col min="14" max="14" width="15.125" style="504" customWidth="1"/>
    <col min="15" max="16384" width="9" style="504"/>
  </cols>
  <sheetData>
    <row r="1" spans="1:14" ht="26.25">
      <c r="A1" s="767" t="s">
        <v>375</v>
      </c>
      <c r="B1" s="767"/>
      <c r="C1" s="767"/>
      <c r="D1" s="767"/>
      <c r="E1" s="767"/>
      <c r="F1" s="767"/>
      <c r="G1" s="767"/>
      <c r="H1" s="767"/>
      <c r="I1" s="767"/>
      <c r="J1" s="767"/>
      <c r="K1" s="767"/>
      <c r="L1" s="767"/>
      <c r="M1" s="767"/>
      <c r="N1" s="767"/>
    </row>
    <row r="2" spans="1:14" ht="26.25">
      <c r="A2" s="767" t="s">
        <v>376</v>
      </c>
      <c r="B2" s="767"/>
      <c r="C2" s="767"/>
      <c r="D2" s="767"/>
      <c r="E2" s="767"/>
      <c r="F2" s="767"/>
      <c r="G2" s="767"/>
      <c r="H2" s="767"/>
      <c r="I2" s="767"/>
      <c r="J2" s="767"/>
      <c r="K2" s="767"/>
      <c r="L2" s="767"/>
      <c r="M2" s="767"/>
      <c r="N2" s="767"/>
    </row>
    <row r="3" spans="1:14" ht="16.5" customHeight="1">
      <c r="A3" s="542"/>
      <c r="B3" s="542"/>
      <c r="C3" s="542"/>
      <c r="D3" s="542"/>
      <c r="E3" s="542"/>
      <c r="F3" s="542"/>
      <c r="G3" s="542"/>
      <c r="H3" s="542"/>
      <c r="I3" s="542"/>
      <c r="J3" s="542"/>
      <c r="K3" s="542"/>
      <c r="L3" s="542"/>
      <c r="M3" s="542"/>
      <c r="N3" s="542"/>
    </row>
    <row r="4" spans="1:14" ht="16.5" customHeight="1">
      <c r="A4" s="521" t="s">
        <v>377</v>
      </c>
      <c r="B4" s="521"/>
      <c r="C4" s="768" t="str">
        <f>Sheet1!R10</f>
        <v/>
      </c>
      <c r="D4" s="769"/>
      <c r="E4" s="769"/>
      <c r="F4" s="769"/>
      <c r="G4" s="769"/>
      <c r="H4" s="770"/>
      <c r="J4" s="540"/>
      <c r="K4" s="539" t="s">
        <v>378</v>
      </c>
      <c r="L4" s="774"/>
      <c r="M4" s="775"/>
      <c r="N4" s="776"/>
    </row>
    <row r="5" spans="1:14" ht="16.5" customHeight="1">
      <c r="A5" s="521" t="s">
        <v>379</v>
      </c>
      <c r="B5" s="521"/>
      <c r="C5" s="768" t="s">
        <v>650</v>
      </c>
      <c r="D5" s="769"/>
      <c r="E5" s="769"/>
      <c r="F5" s="769"/>
      <c r="G5" s="769"/>
      <c r="H5" s="770"/>
      <c r="J5" s="540"/>
      <c r="K5" s="539" t="s">
        <v>380</v>
      </c>
      <c r="L5" s="774">
        <f>Sheet1!P7</f>
        <v>0</v>
      </c>
      <c r="M5" s="775"/>
      <c r="N5" s="776"/>
    </row>
    <row r="6" spans="1:14" ht="16.5" customHeight="1">
      <c r="A6" s="521" t="s">
        <v>381</v>
      </c>
      <c r="B6" s="521"/>
      <c r="C6" s="521"/>
      <c r="D6" s="521"/>
      <c r="E6" s="786" t="s">
        <v>12</v>
      </c>
      <c r="F6" s="786"/>
      <c r="G6" s="786"/>
      <c r="H6" s="786"/>
      <c r="J6" s="540"/>
      <c r="K6" s="539" t="s">
        <v>382</v>
      </c>
      <c r="L6" s="768"/>
      <c r="M6" s="769"/>
      <c r="N6" s="770"/>
    </row>
    <row r="7" spans="1:14" ht="16.5" customHeight="1">
      <c r="A7" s="521" t="s">
        <v>383</v>
      </c>
      <c r="B7" s="521"/>
      <c r="C7" s="521"/>
      <c r="D7" s="521"/>
      <c r="E7" s="787" t="s">
        <v>384</v>
      </c>
      <c r="F7" s="788"/>
      <c r="G7" s="788"/>
      <c r="H7" s="789"/>
      <c r="J7" s="540"/>
      <c r="K7" s="539" t="s">
        <v>385</v>
      </c>
      <c r="L7" s="768" t="str">
        <f>Sheet1!R18</f>
        <v/>
      </c>
      <c r="M7" s="769"/>
      <c r="N7" s="770"/>
    </row>
    <row r="8" spans="1:14" ht="16.5" customHeight="1">
      <c r="A8" s="521" t="s">
        <v>386</v>
      </c>
      <c r="B8" s="521"/>
      <c r="C8" s="521"/>
      <c r="D8" s="521"/>
      <c r="E8" s="780" t="str">
        <f>Sheet1!V12</f>
        <v/>
      </c>
      <c r="F8" s="781"/>
      <c r="G8" s="781"/>
      <c r="H8" s="782"/>
      <c r="J8" s="540"/>
      <c r="K8" s="539" t="s">
        <v>387</v>
      </c>
      <c r="L8" s="768" t="str">
        <f>Sheet1!R14</f>
        <v/>
      </c>
      <c r="M8" s="769"/>
      <c r="N8" s="770"/>
    </row>
    <row r="9" spans="1:14" ht="11.25" customHeight="1">
      <c r="A9" s="521"/>
      <c r="B9" s="521"/>
      <c r="C9" s="521"/>
      <c r="D9" s="521"/>
      <c r="E9" s="541"/>
      <c r="F9" s="538"/>
      <c r="G9" s="538"/>
      <c r="H9" s="538"/>
      <c r="J9" s="540"/>
      <c r="K9" s="539"/>
      <c r="L9" s="538"/>
      <c r="M9" s="538"/>
      <c r="N9" s="538"/>
    </row>
    <row r="10" spans="1:14" ht="16.5" customHeight="1">
      <c r="A10" s="533" t="s">
        <v>570</v>
      </c>
      <c r="E10" s="777" t="s">
        <v>649</v>
      </c>
      <c r="F10" s="778"/>
      <c r="G10" s="778"/>
      <c r="H10" s="779"/>
      <c r="I10" s="537" t="s">
        <v>569</v>
      </c>
    </row>
    <row r="11" spans="1:14" ht="11.25" customHeight="1">
      <c r="C11" s="521"/>
      <c r="D11" s="521"/>
      <c r="E11" s="521"/>
      <c r="F11" s="521"/>
      <c r="G11" s="521"/>
      <c r="H11" s="536"/>
      <c r="I11" s="536"/>
      <c r="K11" s="535"/>
      <c r="L11" s="535"/>
      <c r="M11" s="535"/>
      <c r="N11" s="535"/>
    </row>
    <row r="12" spans="1:14" ht="16.5" customHeight="1" thickBot="1">
      <c r="A12" s="521" t="s">
        <v>389</v>
      </c>
      <c r="B12" s="521"/>
      <c r="C12" s="521"/>
      <c r="D12" s="521"/>
      <c r="E12" s="771" t="s">
        <v>390</v>
      </c>
      <c r="F12" s="773"/>
      <c r="G12" s="771" t="s">
        <v>385</v>
      </c>
      <c r="H12" s="773"/>
      <c r="I12" s="771" t="s">
        <v>16</v>
      </c>
      <c r="J12" s="773"/>
      <c r="K12" s="771" t="s">
        <v>388</v>
      </c>
      <c r="L12" s="772"/>
      <c r="M12" s="772"/>
      <c r="N12" s="773"/>
    </row>
    <row r="13" spans="1:14" ht="16.5" customHeight="1" thickTop="1">
      <c r="A13" s="521"/>
      <c r="B13" s="521"/>
      <c r="C13" s="521"/>
      <c r="D13" s="527" t="s">
        <v>391</v>
      </c>
      <c r="E13" s="783"/>
      <c r="F13" s="785"/>
      <c r="G13" s="783"/>
      <c r="H13" s="785"/>
      <c r="I13" s="799"/>
      <c r="J13" s="800"/>
      <c r="K13" s="783"/>
      <c r="L13" s="784"/>
      <c r="M13" s="784"/>
      <c r="N13" s="785"/>
    </row>
    <row r="14" spans="1:14" ht="16.5" customHeight="1">
      <c r="D14" s="527" t="s">
        <v>392</v>
      </c>
      <c r="E14" s="794"/>
      <c r="F14" s="796"/>
      <c r="G14" s="794"/>
      <c r="H14" s="796"/>
      <c r="I14" s="792"/>
      <c r="J14" s="793"/>
      <c r="K14" s="794"/>
      <c r="L14" s="795"/>
      <c r="M14" s="795"/>
      <c r="N14" s="796"/>
    </row>
    <row r="15" spans="1:14" s="534" customFormat="1" ht="36" customHeight="1">
      <c r="A15" s="798" t="s">
        <v>393</v>
      </c>
      <c r="B15" s="798"/>
      <c r="C15" s="798"/>
      <c r="D15" s="798"/>
      <c r="E15" s="798"/>
      <c r="F15" s="798"/>
      <c r="G15" s="798"/>
      <c r="H15" s="798"/>
      <c r="I15" s="798"/>
      <c r="J15" s="798"/>
      <c r="K15" s="798"/>
      <c r="L15" s="798"/>
      <c r="M15" s="798"/>
      <c r="N15" s="798"/>
    </row>
    <row r="16" spans="1:14" ht="16.5" customHeight="1">
      <c r="A16" s="533" t="s">
        <v>394</v>
      </c>
      <c r="B16" s="533"/>
      <c r="C16" s="532"/>
      <c r="D16" s="528" t="s">
        <v>395</v>
      </c>
      <c r="E16" s="528"/>
      <c r="F16" s="528"/>
      <c r="G16" s="529"/>
      <c r="H16" s="531"/>
      <c r="I16" s="530"/>
      <c r="J16" s="529"/>
      <c r="K16" s="528"/>
      <c r="L16" s="528"/>
      <c r="N16" s="527" t="s">
        <v>396</v>
      </c>
    </row>
    <row r="17" spans="1:14" ht="13.5" customHeight="1">
      <c r="A17" s="526"/>
      <c r="B17" s="526"/>
      <c r="C17" s="525"/>
      <c r="D17" s="524"/>
      <c r="E17" s="525"/>
      <c r="F17" s="525"/>
      <c r="G17" s="524"/>
      <c r="H17" s="523"/>
      <c r="I17" s="522"/>
      <c r="J17" s="522"/>
      <c r="K17" s="522"/>
      <c r="L17" s="522"/>
      <c r="M17" s="522"/>
    </row>
    <row r="18" spans="1:14" ht="21" customHeight="1">
      <c r="A18" s="797" t="s">
        <v>397</v>
      </c>
      <c r="B18" s="797"/>
      <c r="C18" s="797"/>
      <c r="D18" s="797"/>
      <c r="E18" s="797"/>
      <c r="F18" s="797"/>
      <c r="G18" s="797"/>
      <c r="H18" s="797"/>
      <c r="I18" s="797"/>
      <c r="J18" s="797"/>
      <c r="K18" s="797"/>
      <c r="L18" s="797"/>
      <c r="M18" s="797"/>
      <c r="N18" s="797"/>
    </row>
    <row r="19" spans="1:14" ht="15" customHeight="1">
      <c r="A19" s="791" t="s">
        <v>568</v>
      </c>
      <c r="B19" s="791"/>
      <c r="C19" s="791"/>
      <c r="D19" s="791"/>
      <c r="E19" s="791"/>
      <c r="F19" s="791"/>
      <c r="G19" s="791"/>
      <c r="H19" s="791"/>
      <c r="I19" s="791"/>
      <c r="J19" s="791"/>
      <c r="K19" s="791"/>
      <c r="L19" s="791"/>
      <c r="M19" s="791"/>
      <c r="N19" s="791"/>
    </row>
    <row r="20" spans="1:14" ht="15" customHeight="1">
      <c r="A20" s="521"/>
      <c r="B20" s="521"/>
      <c r="C20" s="521"/>
      <c r="D20" s="521"/>
      <c r="E20" s="521"/>
      <c r="F20" s="521"/>
      <c r="G20" s="521"/>
      <c r="H20" s="521"/>
      <c r="I20" s="521"/>
      <c r="J20" s="521"/>
      <c r="K20" s="521"/>
      <c r="L20" s="521"/>
      <c r="M20" s="521"/>
      <c r="N20" s="520" t="s">
        <v>398</v>
      </c>
    </row>
    <row r="21" spans="1:14" ht="15.75" customHeight="1">
      <c r="A21" s="506" t="s">
        <v>567</v>
      </c>
      <c r="B21" s="506"/>
      <c r="C21" s="506"/>
      <c r="D21" s="506"/>
      <c r="E21" s="506"/>
      <c r="F21" s="506"/>
      <c r="G21" s="506"/>
      <c r="H21" s="506"/>
      <c r="I21" s="506"/>
      <c r="J21" s="506"/>
      <c r="K21" s="506"/>
      <c r="L21" s="506"/>
      <c r="M21" s="506"/>
      <c r="N21" s="507"/>
    </row>
    <row r="22" spans="1:14" ht="15.75" customHeight="1">
      <c r="A22" s="506" t="s">
        <v>399</v>
      </c>
      <c r="B22" s="506"/>
      <c r="C22" s="506"/>
      <c r="D22" s="506"/>
      <c r="E22" s="506"/>
      <c r="F22" s="506"/>
      <c r="G22" s="506"/>
      <c r="H22" s="506"/>
      <c r="I22" s="506"/>
      <c r="J22" s="506"/>
      <c r="K22" s="506"/>
      <c r="L22" s="506"/>
      <c r="M22" s="506"/>
      <c r="N22" s="507"/>
    </row>
    <row r="23" spans="1:14" ht="15.75" customHeight="1">
      <c r="A23" s="506" t="s">
        <v>400</v>
      </c>
      <c r="B23" s="506"/>
      <c r="C23" s="506"/>
      <c r="D23" s="506"/>
      <c r="E23" s="506"/>
      <c r="F23" s="506"/>
      <c r="G23" s="506"/>
      <c r="H23" s="506"/>
      <c r="I23" s="506"/>
      <c r="J23" s="506"/>
      <c r="K23" s="506"/>
      <c r="L23" s="506"/>
      <c r="M23" s="506"/>
      <c r="N23" s="507"/>
    </row>
    <row r="24" spans="1:14" ht="15.75" customHeight="1">
      <c r="A24" s="506" t="s">
        <v>401</v>
      </c>
      <c r="B24" s="506"/>
      <c r="C24" s="506"/>
      <c r="D24" s="506"/>
      <c r="E24" s="506"/>
      <c r="F24" s="506"/>
      <c r="G24" s="506"/>
      <c r="H24" s="506"/>
      <c r="I24" s="506"/>
      <c r="J24" s="506"/>
      <c r="K24" s="506"/>
      <c r="L24" s="506"/>
      <c r="M24" s="506"/>
      <c r="N24" s="507"/>
    </row>
    <row r="25" spans="1:14" ht="15.75" customHeight="1">
      <c r="A25" s="506" t="s">
        <v>402</v>
      </c>
      <c r="B25" s="506"/>
      <c r="C25" s="506"/>
      <c r="D25" s="506"/>
      <c r="E25" s="506"/>
      <c r="F25" s="506"/>
      <c r="G25" s="506"/>
      <c r="H25" s="506"/>
      <c r="I25" s="506"/>
      <c r="J25" s="506"/>
      <c r="K25" s="506"/>
      <c r="L25" s="506"/>
      <c r="M25" s="506"/>
      <c r="N25" s="507"/>
    </row>
    <row r="26" spans="1:14" ht="15.75" customHeight="1">
      <c r="A26" s="506" t="s">
        <v>403</v>
      </c>
      <c r="B26" s="506"/>
      <c r="C26" s="506"/>
      <c r="D26" s="506"/>
      <c r="E26" s="506"/>
      <c r="F26" s="506"/>
      <c r="G26" s="506"/>
      <c r="H26" s="506"/>
      <c r="I26" s="506"/>
      <c r="J26" s="506"/>
      <c r="K26" s="506"/>
      <c r="L26" s="506"/>
      <c r="M26" s="506"/>
      <c r="N26" s="507"/>
    </row>
    <row r="27" spans="1:14" ht="15.75" customHeight="1">
      <c r="A27" s="506" t="s">
        <v>404</v>
      </c>
      <c r="B27" s="506"/>
      <c r="C27" s="506"/>
      <c r="D27" s="506"/>
      <c r="E27" s="506"/>
      <c r="F27" s="506"/>
      <c r="G27" s="506"/>
      <c r="H27" s="506"/>
      <c r="I27" s="506"/>
      <c r="J27" s="506"/>
      <c r="K27" s="506"/>
      <c r="L27" s="506"/>
      <c r="M27" s="506"/>
      <c r="N27" s="507"/>
    </row>
    <row r="28" spans="1:14" ht="15.75" customHeight="1">
      <c r="A28" s="506" t="s">
        <v>566</v>
      </c>
      <c r="B28" s="506"/>
      <c r="C28" s="506"/>
      <c r="D28" s="506"/>
      <c r="E28" s="506"/>
      <c r="F28" s="506"/>
      <c r="G28" s="506"/>
      <c r="H28" s="506"/>
      <c r="I28" s="506"/>
      <c r="J28" s="506"/>
      <c r="K28" s="506"/>
      <c r="L28" s="506"/>
      <c r="M28" s="506"/>
      <c r="N28" s="507"/>
    </row>
    <row r="29" spans="1:14" ht="15.75" customHeight="1">
      <c r="A29" s="506" t="s">
        <v>405</v>
      </c>
      <c r="B29" s="506"/>
      <c r="C29" s="506"/>
      <c r="D29" s="506"/>
      <c r="E29" s="506"/>
      <c r="F29" s="512"/>
      <c r="G29" s="518"/>
      <c r="H29" s="519"/>
      <c r="I29" s="518"/>
      <c r="J29" s="506"/>
      <c r="K29" s="506"/>
      <c r="L29" s="506"/>
      <c r="M29" s="506"/>
      <c r="N29" s="507"/>
    </row>
    <row r="30" spans="1:14" ht="15.75" customHeight="1">
      <c r="A30" s="506"/>
      <c r="B30" s="506"/>
      <c r="C30" s="509" t="s">
        <v>406</v>
      </c>
      <c r="D30" s="506"/>
      <c r="E30" s="506"/>
      <c r="F30" s="512" t="s">
        <v>285</v>
      </c>
      <c r="G30" s="574" t="str">
        <f>Sheet1!T452</f>
        <v/>
      </c>
      <c r="H30" s="512" t="s">
        <v>286</v>
      </c>
      <c r="I30" s="574" t="str">
        <f>Sheet1!T453</f>
        <v/>
      </c>
      <c r="J30" s="517"/>
      <c r="K30" s="506"/>
      <c r="L30" s="506"/>
      <c r="M30" s="506"/>
      <c r="N30" s="516"/>
    </row>
    <row r="31" spans="1:14" ht="15.75" customHeight="1">
      <c r="A31" s="506"/>
      <c r="B31" s="506"/>
      <c r="C31" s="509" t="s">
        <v>565</v>
      </c>
      <c r="D31" s="506"/>
      <c r="E31" s="506"/>
      <c r="F31" s="506"/>
      <c r="G31" s="506"/>
      <c r="H31" s="506"/>
      <c r="I31" s="506"/>
      <c r="J31" s="506"/>
      <c r="K31" s="506"/>
      <c r="L31" s="506"/>
      <c r="M31" s="506"/>
      <c r="N31" s="507"/>
    </row>
    <row r="32" spans="1:14" ht="15.75" customHeight="1">
      <c r="A32" s="506"/>
      <c r="B32" s="506"/>
      <c r="C32" s="509" t="s">
        <v>407</v>
      </c>
      <c r="D32" s="506"/>
      <c r="E32" s="506"/>
      <c r="F32" s="506"/>
      <c r="G32" s="506"/>
      <c r="H32" s="506"/>
      <c r="I32" s="506"/>
      <c r="J32" s="506"/>
      <c r="K32" s="506"/>
      <c r="L32" s="506"/>
      <c r="M32" s="506"/>
      <c r="N32" s="507"/>
    </row>
    <row r="33" spans="1:14" ht="15.75" customHeight="1">
      <c r="A33" s="506" t="s">
        <v>408</v>
      </c>
      <c r="B33" s="506"/>
      <c r="C33" s="506"/>
      <c r="D33" s="506"/>
      <c r="E33" s="506"/>
      <c r="F33" s="506"/>
      <c r="G33" s="506"/>
      <c r="H33" s="506"/>
      <c r="I33" s="506"/>
      <c r="J33" s="506"/>
      <c r="K33" s="506"/>
      <c r="L33" s="506"/>
      <c r="M33" s="506"/>
      <c r="N33" s="515"/>
    </row>
    <row r="34" spans="1:14" ht="15.75" customHeight="1">
      <c r="A34" s="506"/>
      <c r="B34" s="506"/>
      <c r="C34" s="509" t="s">
        <v>564</v>
      </c>
      <c r="D34" s="506"/>
      <c r="E34" s="506"/>
      <c r="F34" s="506"/>
      <c r="G34" s="506"/>
      <c r="H34" s="506"/>
      <c r="I34" s="506"/>
      <c r="J34" s="506"/>
      <c r="K34" s="506"/>
      <c r="L34" s="506"/>
      <c r="M34" s="506"/>
      <c r="N34" s="507"/>
    </row>
    <row r="35" spans="1:14" ht="15.75" customHeight="1">
      <c r="A35" s="506"/>
      <c r="B35" s="506"/>
      <c r="C35" s="514" t="s">
        <v>563</v>
      </c>
      <c r="D35" s="506"/>
      <c r="E35" s="506"/>
      <c r="F35" s="506"/>
      <c r="G35" s="506"/>
      <c r="H35" s="506"/>
      <c r="I35" s="506"/>
      <c r="J35" s="506"/>
      <c r="K35" s="506"/>
      <c r="L35" s="506"/>
      <c r="M35" s="506"/>
      <c r="N35" s="505"/>
    </row>
    <row r="36" spans="1:14" ht="15.75" customHeight="1">
      <c r="A36" s="508"/>
      <c r="B36" s="508"/>
      <c r="C36" s="513" t="s">
        <v>409</v>
      </c>
      <c r="D36" s="509"/>
      <c r="E36" s="509"/>
      <c r="F36" s="512"/>
      <c r="G36" s="512" t="s">
        <v>363</v>
      </c>
      <c r="H36" s="511">
        <v>5</v>
      </c>
      <c r="I36" s="512" t="s">
        <v>364</v>
      </c>
      <c r="J36" s="511">
        <v>4</v>
      </c>
      <c r="K36" s="512" t="s">
        <v>365</v>
      </c>
      <c r="L36" s="511">
        <v>4</v>
      </c>
      <c r="M36" s="510"/>
      <c r="N36" s="508"/>
    </row>
    <row r="37" spans="1:14" ht="15.75" customHeight="1">
      <c r="A37" s="506" t="s">
        <v>410</v>
      </c>
      <c r="B37" s="506"/>
      <c r="C37" s="506"/>
      <c r="D37" s="506"/>
      <c r="E37" s="506"/>
      <c r="F37" s="506"/>
      <c r="G37" s="506"/>
      <c r="H37" s="506"/>
      <c r="I37" s="506"/>
      <c r="J37" s="506"/>
      <c r="K37" s="506"/>
      <c r="L37" s="506"/>
      <c r="M37" s="506"/>
      <c r="N37" s="507"/>
    </row>
    <row r="38" spans="1:14" ht="15.75" customHeight="1">
      <c r="A38" s="506"/>
      <c r="B38" s="506"/>
      <c r="C38" s="509" t="s">
        <v>562</v>
      </c>
      <c r="D38" s="509"/>
      <c r="E38" s="509"/>
      <c r="F38" s="506"/>
      <c r="G38" s="506"/>
      <c r="H38" s="506"/>
      <c r="I38" s="506"/>
      <c r="J38" s="506"/>
      <c r="K38" s="506"/>
      <c r="N38" s="508"/>
    </row>
    <row r="39" spans="1:14" ht="15.75" customHeight="1">
      <c r="A39" s="506"/>
      <c r="B39" s="506"/>
      <c r="C39" s="509"/>
      <c r="D39" s="509"/>
      <c r="E39" s="509"/>
      <c r="F39" s="506"/>
      <c r="G39" s="506"/>
      <c r="H39" s="506"/>
      <c r="I39" s="506"/>
      <c r="J39" s="506"/>
      <c r="K39" s="512" t="s">
        <v>660</v>
      </c>
      <c r="L39" s="574" t="str">
        <f>MGD</f>
        <v/>
      </c>
      <c r="M39" s="509" t="s">
        <v>343</v>
      </c>
      <c r="N39" s="508"/>
    </row>
    <row r="40" spans="1:14" ht="15.75" customHeight="1">
      <c r="A40" s="506"/>
      <c r="B40" s="506"/>
      <c r="C40" s="509"/>
      <c r="D40" s="509"/>
      <c r="E40" s="509"/>
      <c r="F40" s="506"/>
      <c r="G40" s="506"/>
      <c r="H40" s="506"/>
      <c r="I40" s="506"/>
      <c r="J40" s="506"/>
      <c r="K40" s="512" t="s">
        <v>656</v>
      </c>
      <c r="L40" s="574">
        <f>Sheet1!S283</f>
        <v>0</v>
      </c>
      <c r="M40" s="509" t="s">
        <v>343</v>
      </c>
      <c r="N40" s="508"/>
    </row>
    <row r="41" spans="1:14" ht="15.75" customHeight="1">
      <c r="A41" s="506"/>
      <c r="B41" s="506"/>
      <c r="C41" s="509"/>
      <c r="D41" s="509"/>
      <c r="E41" s="509"/>
      <c r="F41" s="506"/>
      <c r="G41" s="506"/>
      <c r="H41" s="506"/>
      <c r="I41" s="506"/>
      <c r="J41" s="506"/>
      <c r="K41" s="512" t="s">
        <v>652</v>
      </c>
      <c r="L41" s="574"/>
      <c r="M41" s="509" t="s">
        <v>343</v>
      </c>
      <c r="N41" s="508"/>
    </row>
    <row r="42" spans="1:14" ht="15.75" customHeight="1">
      <c r="A42" s="506" t="s">
        <v>561</v>
      </c>
      <c r="B42" s="506"/>
      <c r="C42" s="506"/>
      <c r="D42" s="506"/>
      <c r="E42" s="506"/>
      <c r="F42" s="506"/>
      <c r="G42" s="506"/>
      <c r="H42" s="506"/>
      <c r="I42" s="506"/>
      <c r="J42" s="506"/>
      <c r="K42" s="506"/>
      <c r="L42" s="506"/>
      <c r="M42" s="506"/>
      <c r="N42" s="507"/>
    </row>
    <row r="43" spans="1:14" ht="15.75" customHeight="1">
      <c r="A43" s="506" t="s">
        <v>411</v>
      </c>
      <c r="B43" s="506"/>
      <c r="C43" s="506"/>
      <c r="D43" s="506"/>
      <c r="E43" s="506"/>
      <c r="F43" s="506"/>
      <c r="G43" s="506"/>
      <c r="H43" s="506"/>
      <c r="I43" s="506"/>
      <c r="J43" s="506"/>
      <c r="K43" s="506"/>
      <c r="L43" s="506"/>
      <c r="M43" s="506"/>
      <c r="N43" s="507"/>
    </row>
    <row r="44" spans="1:14" ht="15.75" customHeight="1">
      <c r="A44" s="506" t="s">
        <v>412</v>
      </c>
      <c r="B44" s="506"/>
      <c r="C44" s="506"/>
      <c r="D44" s="506"/>
      <c r="E44" s="506"/>
      <c r="F44" s="506"/>
      <c r="G44" s="506"/>
      <c r="H44" s="506"/>
      <c r="I44" s="506"/>
      <c r="J44" s="506"/>
      <c r="K44" s="506"/>
      <c r="L44" s="506"/>
      <c r="M44" s="506"/>
      <c r="N44" s="507"/>
    </row>
    <row r="45" spans="1:14" ht="15.75" customHeight="1">
      <c r="A45" s="506" t="s">
        <v>560</v>
      </c>
      <c r="B45" s="506"/>
      <c r="C45" s="506"/>
      <c r="D45" s="506"/>
      <c r="E45" s="506"/>
      <c r="F45" s="506"/>
      <c r="G45" s="506"/>
      <c r="H45" s="506"/>
      <c r="I45" s="506"/>
      <c r="J45" s="506"/>
      <c r="K45" s="506"/>
      <c r="L45" s="506"/>
      <c r="M45" s="506"/>
      <c r="N45" s="507"/>
    </row>
    <row r="46" spans="1:14" ht="15.75" customHeight="1">
      <c r="A46" s="506"/>
      <c r="B46" s="506"/>
      <c r="C46" s="506"/>
      <c r="D46" s="506"/>
      <c r="E46" s="506"/>
      <c r="F46" s="506"/>
      <c r="G46" s="506"/>
      <c r="H46" s="506"/>
      <c r="I46" s="506"/>
      <c r="J46" s="506"/>
      <c r="K46" s="506"/>
      <c r="L46" s="506"/>
      <c r="M46" s="506"/>
      <c r="N46" s="505"/>
    </row>
    <row r="47" spans="1:14" ht="15.75" customHeight="1">
      <c r="A47" s="506"/>
      <c r="B47" s="506"/>
      <c r="C47" s="506"/>
      <c r="D47" s="506"/>
      <c r="E47" s="506"/>
      <c r="F47" s="506"/>
      <c r="G47" s="506"/>
      <c r="H47" s="506"/>
      <c r="I47" s="506"/>
      <c r="J47" s="506"/>
      <c r="K47" s="506"/>
      <c r="L47" s="506"/>
      <c r="M47" s="506"/>
      <c r="N47" s="505"/>
    </row>
    <row r="48" spans="1:14" ht="15.75" customHeight="1">
      <c r="A48" s="506"/>
      <c r="B48" s="506"/>
      <c r="C48" s="506"/>
      <c r="D48" s="506"/>
      <c r="E48" s="506"/>
      <c r="F48" s="506"/>
      <c r="G48" s="506"/>
      <c r="H48" s="506"/>
      <c r="I48" s="506"/>
      <c r="J48" s="506"/>
      <c r="K48" s="506"/>
      <c r="L48" s="506"/>
      <c r="M48" s="506"/>
      <c r="N48" s="505"/>
    </row>
    <row r="49" spans="1:14" ht="15.75" customHeight="1">
      <c r="A49" s="506"/>
      <c r="B49" s="506"/>
      <c r="C49" s="506"/>
      <c r="D49" s="506"/>
      <c r="E49" s="506"/>
      <c r="F49" s="506"/>
      <c r="G49" s="506"/>
      <c r="H49" s="506"/>
      <c r="I49" s="506"/>
      <c r="J49" s="506"/>
      <c r="K49" s="506"/>
      <c r="L49" s="506"/>
      <c r="M49" s="506"/>
      <c r="N49" s="505"/>
    </row>
    <row r="50" spans="1:14" ht="15.75" customHeight="1">
      <c r="A50" s="506"/>
      <c r="B50" s="506"/>
      <c r="C50" s="506"/>
      <c r="D50" s="506"/>
      <c r="E50" s="506"/>
      <c r="F50" s="506"/>
      <c r="G50" s="506"/>
      <c r="H50" s="506"/>
      <c r="I50" s="506"/>
      <c r="J50" s="506"/>
      <c r="K50" s="506"/>
      <c r="L50" s="506"/>
      <c r="M50" s="506"/>
      <c r="N50" s="505"/>
    </row>
    <row r="51" spans="1:14" ht="15.75" customHeight="1">
      <c r="A51" s="506"/>
      <c r="B51" s="506"/>
      <c r="C51" s="506"/>
      <c r="D51" s="506"/>
      <c r="E51" s="506"/>
      <c r="F51" s="506"/>
      <c r="G51" s="506"/>
      <c r="H51" s="506"/>
      <c r="I51" s="506"/>
      <c r="J51" s="506"/>
      <c r="K51" s="506"/>
      <c r="L51" s="506"/>
      <c r="M51" s="506"/>
      <c r="N51" s="505"/>
    </row>
    <row r="52" spans="1:14" ht="15.75" customHeight="1">
      <c r="A52" s="506"/>
      <c r="B52" s="506"/>
      <c r="C52" s="506"/>
      <c r="D52" s="506"/>
      <c r="E52" s="506"/>
      <c r="F52" s="506"/>
      <c r="G52" s="506"/>
      <c r="H52" s="506"/>
      <c r="I52" s="506"/>
      <c r="J52" s="506"/>
      <c r="K52" s="506"/>
      <c r="L52" s="506"/>
      <c r="M52" s="506"/>
      <c r="N52" s="505"/>
    </row>
    <row r="53" spans="1:14" ht="15.75" customHeight="1">
      <c r="A53" s="506"/>
      <c r="B53" s="506"/>
      <c r="C53" s="506"/>
      <c r="D53" s="506"/>
      <c r="E53" s="506"/>
      <c r="F53" s="506"/>
      <c r="G53" s="506"/>
      <c r="H53" s="506"/>
      <c r="I53" s="506"/>
      <c r="J53" s="506"/>
      <c r="K53" s="506"/>
      <c r="L53" s="506"/>
      <c r="M53" s="506"/>
      <c r="N53" s="505"/>
    </row>
    <row r="54" spans="1:14" ht="15.75" customHeight="1">
      <c r="A54" s="506"/>
      <c r="B54" s="506"/>
      <c r="C54" s="506"/>
      <c r="D54" s="506"/>
      <c r="E54" s="506"/>
      <c r="F54" s="506"/>
      <c r="G54" s="506"/>
      <c r="H54" s="506"/>
      <c r="I54" s="506"/>
      <c r="J54" s="506"/>
      <c r="K54" s="506"/>
      <c r="L54" s="506"/>
      <c r="M54" s="506"/>
      <c r="N54" s="505"/>
    </row>
    <row r="55" spans="1:14" ht="15.75" customHeight="1">
      <c r="A55" s="506"/>
      <c r="B55" s="506"/>
      <c r="C55" s="506"/>
      <c r="D55" s="506"/>
      <c r="E55" s="506"/>
      <c r="F55" s="506"/>
      <c r="G55" s="506"/>
      <c r="H55" s="506"/>
      <c r="I55" s="506"/>
      <c r="J55" s="506"/>
      <c r="K55" s="506"/>
      <c r="L55" s="506"/>
      <c r="M55" s="506"/>
      <c r="N55" s="505"/>
    </row>
    <row r="56" spans="1:14" ht="15.75" customHeight="1">
      <c r="A56" s="506"/>
      <c r="B56" s="506"/>
      <c r="C56" s="506"/>
      <c r="D56" s="506"/>
      <c r="E56" s="506"/>
      <c r="F56" s="506"/>
      <c r="G56" s="506"/>
      <c r="H56" s="506"/>
      <c r="I56" s="506"/>
      <c r="J56" s="506"/>
      <c r="K56" s="506"/>
      <c r="L56" s="506"/>
      <c r="M56" s="506"/>
      <c r="N56" s="505"/>
    </row>
    <row r="57" spans="1:14" ht="15.75" customHeight="1">
      <c r="A57" s="506"/>
      <c r="B57" s="506"/>
      <c r="C57" s="506"/>
      <c r="D57" s="506"/>
      <c r="E57" s="506"/>
      <c r="F57" s="506"/>
      <c r="G57" s="506"/>
      <c r="H57" s="506"/>
      <c r="I57" s="506"/>
      <c r="J57" s="506"/>
      <c r="K57" s="506"/>
      <c r="L57" s="506"/>
      <c r="M57" s="506"/>
      <c r="N57" s="505"/>
    </row>
    <row r="58" spans="1:14" ht="15.75" customHeight="1">
      <c r="A58" s="790" t="s">
        <v>559</v>
      </c>
      <c r="B58" s="790"/>
      <c r="C58" s="790"/>
      <c r="D58" s="790"/>
      <c r="E58" s="790"/>
      <c r="F58" s="790"/>
      <c r="G58" s="790"/>
      <c r="H58" s="790"/>
      <c r="I58" s="790"/>
      <c r="J58" s="790"/>
      <c r="K58" s="790"/>
      <c r="L58" s="790"/>
      <c r="M58" s="790"/>
      <c r="N58" s="790"/>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04" customWidth="1"/>
    <col min="2" max="2" width="19.125" style="504" customWidth="1"/>
    <col min="3" max="4" width="8.625" style="504" customWidth="1"/>
    <col min="5" max="5" width="9" style="504" customWidth="1"/>
    <col min="6" max="6" width="3.25" style="504" customWidth="1"/>
    <col min="7" max="7" width="13.75" style="504" customWidth="1"/>
    <col min="8" max="8" width="8.5" style="504" customWidth="1"/>
    <col min="9" max="9" width="9.5" style="504" customWidth="1"/>
    <col min="10" max="10" width="8.375" style="504" customWidth="1"/>
    <col min="11" max="11" width="8.625" style="504" customWidth="1"/>
    <col min="12" max="16384" width="9" style="504"/>
  </cols>
  <sheetData>
    <row r="1" spans="1:12" ht="27" customHeight="1">
      <c r="A1" s="809" t="s">
        <v>375</v>
      </c>
      <c r="B1" s="809"/>
      <c r="C1" s="809"/>
      <c r="D1" s="809"/>
      <c r="E1" s="809"/>
      <c r="F1" s="809"/>
      <c r="G1" s="809"/>
      <c r="H1" s="809"/>
      <c r="I1" s="809"/>
      <c r="J1" s="809"/>
      <c r="K1" s="809"/>
    </row>
    <row r="2" spans="1:12" ht="18" customHeight="1">
      <c r="A2" s="570" t="s">
        <v>413</v>
      </c>
      <c r="B2" s="569"/>
      <c r="C2" s="569"/>
      <c r="D2" s="569"/>
      <c r="E2" s="569"/>
      <c r="F2" s="569"/>
      <c r="G2" s="569"/>
      <c r="H2" s="569"/>
      <c r="I2" s="569"/>
      <c r="J2" s="569"/>
      <c r="K2" s="569"/>
    </row>
    <row r="3" spans="1:12" ht="15.75" customHeight="1"/>
    <row r="4" spans="1:12" ht="24" customHeight="1">
      <c r="A4" s="568" t="s">
        <v>414</v>
      </c>
      <c r="B4" s="567"/>
      <c r="C4" s="565"/>
      <c r="D4" s="565"/>
      <c r="E4" s="565"/>
      <c r="F4" s="565"/>
      <c r="G4" s="565"/>
      <c r="H4" s="565"/>
      <c r="I4" s="565"/>
      <c r="J4" s="566"/>
      <c r="K4" s="565"/>
    </row>
    <row r="5" spans="1:12" ht="42" customHeight="1">
      <c r="A5" s="812" t="s">
        <v>575</v>
      </c>
      <c r="B5" s="812"/>
      <c r="C5" s="812"/>
      <c r="D5" s="812"/>
      <c r="E5" s="812"/>
      <c r="F5" s="812"/>
      <c r="G5" s="812"/>
      <c r="H5" s="812"/>
      <c r="I5" s="812"/>
      <c r="J5" s="812"/>
      <c r="K5" s="812"/>
    </row>
    <row r="6" spans="1:12" ht="15" customHeight="1">
      <c r="A6" s="564" t="s">
        <v>574</v>
      </c>
      <c r="B6" s="563"/>
      <c r="C6" s="563"/>
      <c r="D6" s="563"/>
      <c r="E6" s="563"/>
      <c r="F6" s="563"/>
      <c r="G6" s="563"/>
      <c r="H6" s="563"/>
      <c r="I6" s="562"/>
      <c r="J6" s="561"/>
      <c r="K6" s="561"/>
    </row>
    <row r="7" spans="1:12" ht="15" customHeight="1">
      <c r="A7" s="560" t="s">
        <v>573</v>
      </c>
      <c r="B7" s="559"/>
      <c r="C7" s="559"/>
      <c r="D7" s="559"/>
      <c r="E7" s="559"/>
      <c r="F7" s="559"/>
      <c r="G7" s="559"/>
      <c r="H7" s="559"/>
      <c r="I7" s="559"/>
      <c r="J7" s="559"/>
      <c r="K7" s="559"/>
    </row>
    <row r="8" spans="1:12" ht="15" customHeight="1">
      <c r="J8" s="811"/>
      <c r="K8" s="811"/>
    </row>
    <row r="9" spans="1:12" ht="15" customHeight="1">
      <c r="A9" s="545"/>
      <c r="E9" s="545"/>
      <c r="H9" s="520" t="s">
        <v>415</v>
      </c>
      <c r="I9" s="558"/>
      <c r="J9" s="810" t="s">
        <v>398</v>
      </c>
      <c r="K9" s="810"/>
    </row>
    <row r="10" spans="1:12" ht="15.75" customHeight="1">
      <c r="A10" s="557" t="s">
        <v>416</v>
      </c>
      <c r="B10" s="509" t="s">
        <v>417</v>
      </c>
      <c r="C10" s="508"/>
      <c r="E10" s="545"/>
      <c r="H10" s="556" t="s">
        <v>418</v>
      </c>
      <c r="J10" s="806"/>
      <c r="K10" s="807"/>
    </row>
    <row r="11" spans="1:12" ht="15.75" customHeight="1">
      <c r="A11" s="552" t="s">
        <v>419</v>
      </c>
      <c r="B11" s="509" t="s">
        <v>420</v>
      </c>
      <c r="C11" s="508"/>
      <c r="E11" s="545"/>
      <c r="H11" s="555" t="s">
        <v>421</v>
      </c>
      <c r="J11" s="806"/>
      <c r="K11" s="807"/>
    </row>
    <row r="12" spans="1:12" ht="15.75" customHeight="1">
      <c r="A12" s="552" t="s">
        <v>422</v>
      </c>
      <c r="B12" s="509" t="s">
        <v>423</v>
      </c>
      <c r="C12" s="508"/>
      <c r="E12" s="545"/>
      <c r="H12" s="553" t="s">
        <v>424</v>
      </c>
      <c r="J12" s="806"/>
      <c r="K12" s="807"/>
    </row>
    <row r="13" spans="1:12" ht="15.75" customHeight="1">
      <c r="A13" s="554" t="s">
        <v>425</v>
      </c>
      <c r="B13" s="509" t="s">
        <v>426</v>
      </c>
      <c r="C13" s="508"/>
      <c r="E13" s="545"/>
      <c r="H13" s="553" t="s">
        <v>424</v>
      </c>
      <c r="J13" s="806"/>
      <c r="K13" s="807"/>
    </row>
    <row r="14" spans="1:12" ht="15.75" customHeight="1">
      <c r="A14" s="554" t="s">
        <v>427</v>
      </c>
      <c r="B14" s="509" t="s">
        <v>428</v>
      </c>
      <c r="C14" s="508"/>
      <c r="E14" s="545"/>
      <c r="H14" s="553" t="s">
        <v>429</v>
      </c>
      <c r="J14" s="806"/>
      <c r="K14" s="807"/>
      <c r="L14" s="545"/>
    </row>
    <row r="15" spans="1:12" ht="15.75" customHeight="1">
      <c r="A15" s="552" t="s">
        <v>430</v>
      </c>
      <c r="B15" s="509" t="s">
        <v>431</v>
      </c>
      <c r="C15" s="508"/>
      <c r="E15" s="545"/>
      <c r="H15" s="553" t="s">
        <v>432</v>
      </c>
      <c r="J15" s="806"/>
      <c r="K15" s="807"/>
      <c r="L15" s="545"/>
    </row>
    <row r="16" spans="1:12" ht="15.75" customHeight="1">
      <c r="A16" s="552" t="s">
        <v>433</v>
      </c>
      <c r="B16" s="509" t="s">
        <v>434</v>
      </c>
      <c r="C16" s="508"/>
      <c r="E16" s="545"/>
      <c r="H16" s="553" t="s">
        <v>435</v>
      </c>
      <c r="J16" s="806"/>
      <c r="K16" s="807"/>
      <c r="L16" s="545"/>
    </row>
    <row r="17" spans="1:12" ht="15.75" customHeight="1">
      <c r="A17" s="552" t="s">
        <v>436</v>
      </c>
      <c r="B17" s="551" t="s">
        <v>572</v>
      </c>
      <c r="C17" s="508"/>
      <c r="H17" s="550" t="s">
        <v>437</v>
      </c>
      <c r="I17" s="505"/>
      <c r="J17" s="806"/>
      <c r="K17" s="807"/>
      <c r="L17" s="549"/>
    </row>
    <row r="18" spans="1:12" ht="15.75" customHeight="1">
      <c r="A18" s="521"/>
      <c r="B18" s="548"/>
      <c r="E18" s="545"/>
      <c r="H18" s="547"/>
      <c r="J18" s="546"/>
      <c r="K18" s="546"/>
      <c r="L18" s="545"/>
    </row>
    <row r="19" spans="1:12" ht="24" customHeight="1">
      <c r="A19" s="808" t="s">
        <v>438</v>
      </c>
      <c r="B19" s="808"/>
      <c r="C19" s="808"/>
      <c r="D19" s="808"/>
      <c r="E19" s="808"/>
      <c r="F19" s="808"/>
      <c r="G19" s="808"/>
      <c r="H19" s="808"/>
      <c r="I19" s="808"/>
      <c r="J19" s="808"/>
      <c r="K19" s="808"/>
    </row>
    <row r="20" spans="1:12" ht="15" customHeight="1">
      <c r="A20" s="544"/>
      <c r="B20" s="543"/>
      <c r="C20" s="543"/>
      <c r="D20" s="543"/>
      <c r="E20" s="543"/>
      <c r="F20" s="543"/>
      <c r="G20" s="543"/>
      <c r="H20" s="543"/>
      <c r="I20" s="543"/>
      <c r="J20" s="543"/>
      <c r="K20" s="543"/>
    </row>
    <row r="21" spans="1:12" ht="290.25" customHeight="1">
      <c r="A21" s="813"/>
      <c r="B21" s="814"/>
      <c r="C21" s="814"/>
      <c r="D21" s="814"/>
      <c r="E21" s="814"/>
      <c r="F21" s="814"/>
      <c r="G21" s="814"/>
      <c r="H21" s="814"/>
      <c r="I21" s="814"/>
      <c r="J21" s="814"/>
      <c r="K21" s="815"/>
    </row>
    <row r="22" spans="1:12" ht="15" customHeight="1" thickBot="1">
      <c r="A22" s="804"/>
      <c r="B22" s="804"/>
      <c r="C22" s="804"/>
      <c r="D22" s="804"/>
      <c r="E22" s="804"/>
      <c r="F22" s="804"/>
      <c r="G22" s="804"/>
      <c r="H22" s="804"/>
      <c r="I22" s="804"/>
      <c r="J22" s="804"/>
      <c r="K22" s="804"/>
    </row>
    <row r="23" spans="1:12" ht="13.5" hidden="1" thickBot="1">
      <c r="A23" s="805"/>
      <c r="B23" s="805"/>
      <c r="C23" s="805"/>
      <c r="D23" s="805"/>
      <c r="E23" s="805"/>
      <c r="F23" s="805"/>
      <c r="G23" s="805"/>
      <c r="H23" s="805"/>
      <c r="I23" s="805"/>
      <c r="J23" s="805"/>
      <c r="K23" s="805"/>
    </row>
    <row r="24" spans="1:12" ht="13.5" hidden="1" thickBot="1">
      <c r="A24" s="805"/>
      <c r="B24" s="805"/>
      <c r="C24" s="805"/>
      <c r="D24" s="805"/>
      <c r="E24" s="805"/>
      <c r="F24" s="805"/>
      <c r="G24" s="805"/>
      <c r="H24" s="805"/>
      <c r="I24" s="805"/>
      <c r="J24" s="805"/>
      <c r="K24" s="805"/>
    </row>
    <row r="25" spans="1:12" ht="13.5" hidden="1" thickBot="1">
      <c r="A25" s="805"/>
      <c r="B25" s="805"/>
      <c r="C25" s="805"/>
      <c r="D25" s="805"/>
      <c r="E25" s="805"/>
      <c r="F25" s="805"/>
      <c r="G25" s="805"/>
      <c r="H25" s="805"/>
      <c r="I25" s="805"/>
      <c r="J25" s="805"/>
      <c r="K25" s="805"/>
    </row>
    <row r="26" spans="1:12" ht="13.5" hidden="1" thickBot="1">
      <c r="A26" s="805"/>
      <c r="B26" s="805"/>
      <c r="C26" s="805"/>
      <c r="D26" s="805"/>
      <c r="E26" s="805"/>
      <c r="F26" s="805"/>
      <c r="G26" s="805"/>
      <c r="H26" s="805"/>
      <c r="I26" s="805"/>
      <c r="J26" s="805"/>
      <c r="K26" s="805"/>
    </row>
    <row r="27" spans="1:12" ht="13.5" hidden="1" thickBot="1">
      <c r="A27" s="805"/>
      <c r="B27" s="805"/>
      <c r="C27" s="805"/>
      <c r="D27" s="805"/>
      <c r="E27" s="805"/>
      <c r="F27" s="805"/>
      <c r="G27" s="805"/>
      <c r="H27" s="805"/>
      <c r="I27" s="805"/>
      <c r="J27" s="805"/>
      <c r="K27" s="805"/>
    </row>
    <row r="28" spans="1:12" ht="13.5" hidden="1" thickBot="1">
      <c r="A28" s="805"/>
      <c r="B28" s="805"/>
      <c r="C28" s="805"/>
      <c r="D28" s="805"/>
      <c r="E28" s="805"/>
      <c r="F28" s="805"/>
      <c r="G28" s="805"/>
      <c r="H28" s="805"/>
      <c r="I28" s="805"/>
      <c r="J28" s="805"/>
      <c r="K28" s="805"/>
    </row>
    <row r="29" spans="1:12" ht="201.75" customHeight="1" thickBot="1">
      <c r="A29" s="801" t="s">
        <v>571</v>
      </c>
      <c r="B29" s="802"/>
      <c r="C29" s="802"/>
      <c r="D29" s="802"/>
      <c r="E29" s="802"/>
      <c r="F29" s="802"/>
      <c r="G29" s="802"/>
      <c r="H29" s="802"/>
      <c r="I29" s="802"/>
      <c r="J29" s="802"/>
      <c r="K29" s="803"/>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opLeftCell="D382" zoomScale="75" zoomScaleNormal="75" workbookViewId="0">
      <selection activeCell="P347" sqref="P347:S347"/>
    </sheetView>
  </sheetViews>
  <sheetFormatPr defaultRowHeight="14.1" customHeight="1"/>
  <cols>
    <col min="1" max="1" width="2.375" style="592" customWidth="1"/>
    <col min="2" max="2" width="2.375" style="21" customWidth="1"/>
    <col min="3" max="13" width="10.625" style="21" customWidth="1"/>
    <col min="14" max="14" width="2.375" style="21" customWidth="1"/>
    <col min="15" max="35" width="10.625" style="21" customWidth="1"/>
    <col min="36" max="36" width="10.625" style="610"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665</v>
      </c>
      <c r="P1" s="23"/>
      <c r="Q1" s="23"/>
      <c r="R1" s="23"/>
      <c r="S1" s="23"/>
      <c r="T1" s="23"/>
      <c r="U1" s="23"/>
      <c r="V1" s="23"/>
      <c r="W1" s="23"/>
      <c r="X1" s="23"/>
      <c r="Y1" s="24"/>
      <c r="AA1" s="25" t="s">
        <v>0</v>
      </c>
    </row>
    <row r="2" spans="1:43" ht="14.1" customHeight="1">
      <c r="A2" s="17">
        <v>2</v>
      </c>
      <c r="B2" s="26"/>
      <c r="C2" s="27"/>
      <c r="D2" s="27"/>
      <c r="E2" s="27"/>
      <c r="F2" s="27"/>
      <c r="G2" s="27"/>
      <c r="H2" s="28" t="s">
        <v>1</v>
      </c>
      <c r="I2" s="27"/>
      <c r="J2" s="27"/>
      <c r="K2" s="27"/>
      <c r="L2" s="27"/>
      <c r="M2" s="29"/>
      <c r="O2" s="30"/>
      <c r="T2" s="31" t="s">
        <v>1</v>
      </c>
      <c r="Y2" s="32"/>
      <c r="AA2" s="33" t="s">
        <v>2</v>
      </c>
    </row>
    <row r="3" spans="1:43" ht="14.1" customHeight="1">
      <c r="A3" s="17">
        <v>3</v>
      </c>
      <c r="B3" s="26"/>
      <c r="C3" s="27"/>
      <c r="D3" s="27"/>
      <c r="E3" s="27"/>
      <c r="F3" s="27"/>
      <c r="G3" s="27"/>
      <c r="H3" s="28" t="s">
        <v>3</v>
      </c>
      <c r="I3" s="27"/>
      <c r="J3" s="27"/>
      <c r="K3" s="27"/>
      <c r="L3" s="27"/>
      <c r="M3" s="29"/>
      <c r="O3" s="30"/>
      <c r="T3" s="31" t="s">
        <v>3</v>
      </c>
      <c r="Y3" s="32"/>
      <c r="AA3" s="34" t="str">
        <f>IF(AB7="","",AB7)</f>
        <v/>
      </c>
    </row>
    <row r="4" spans="1:43" ht="14.1" customHeight="1">
      <c r="A4" s="17">
        <v>4</v>
      </c>
      <c r="B4" s="26"/>
      <c r="C4" s="27"/>
      <c r="D4" s="27"/>
      <c r="E4" s="27"/>
      <c r="F4" s="27"/>
      <c r="G4" s="27"/>
      <c r="H4" s="27"/>
      <c r="I4" s="27"/>
      <c r="J4" s="27"/>
      <c r="K4" s="27"/>
      <c r="L4" s="27"/>
      <c r="M4" s="29"/>
      <c r="O4" s="30"/>
      <c r="T4" s="592"/>
      <c r="Y4" s="32"/>
      <c r="AA4" s="35" t="s">
        <v>4</v>
      </c>
      <c r="AB4" s="36" t="s">
        <v>5</v>
      </c>
    </row>
    <row r="5" spans="1:43" ht="14.1" customHeight="1">
      <c r="A5" s="17">
        <v>5</v>
      </c>
      <c r="B5" s="26"/>
      <c r="C5" s="27"/>
      <c r="D5" s="27"/>
      <c r="E5" s="27"/>
      <c r="F5" s="27"/>
      <c r="G5" s="27"/>
      <c r="H5" s="28" t="s">
        <v>6</v>
      </c>
      <c r="I5" s="27"/>
      <c r="J5" s="27"/>
      <c r="K5" s="27"/>
      <c r="L5" s="27"/>
      <c r="M5" s="29"/>
      <c r="O5" s="30"/>
      <c r="T5" s="31" t="s">
        <v>6</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7</v>
      </c>
      <c r="AB6" s="21" t="s">
        <v>8</v>
      </c>
      <c r="AD6" s="21" t="s">
        <v>9</v>
      </c>
    </row>
    <row r="7" spans="1:43" ht="14.1" customHeight="1" thickTop="1">
      <c r="A7" s="17">
        <v>7</v>
      </c>
      <c r="O7" s="21" t="s">
        <v>10</v>
      </c>
      <c r="P7" s="44"/>
      <c r="Q7" s="45"/>
      <c r="W7" s="21" t="s">
        <v>11</v>
      </c>
      <c r="X7" s="46" t="str">
        <f>IF(Y7&lt;&gt;"",Y7,IF(AB9="","",AB9))</f>
        <v>Eugene Mah</v>
      </c>
      <c r="Y7" s="47" t="s">
        <v>12</v>
      </c>
      <c r="AA7" s="35" t="s">
        <v>0</v>
      </c>
      <c r="AB7" s="48"/>
      <c r="AC7" s="49" t="str">
        <f t="shared" ref="AC7:AC19" si="0">IF(AB7&lt;&gt;AD7,"Change","")</f>
        <v>Change</v>
      </c>
      <c r="AD7" s="50" t="str">
        <f>IF(OR(AA2="",AA2=0),"",AA2)</f>
        <v>Page1,HVLPage,ExpChart,ImgQuality,Compg1,GraphAcryl,LeedsTO10</v>
      </c>
    </row>
    <row r="8" spans="1:43" ht="14.1" customHeight="1" thickBot="1">
      <c r="A8" s="17">
        <v>8</v>
      </c>
      <c r="G8" s="51"/>
      <c r="H8" s="51" t="s">
        <v>13</v>
      </c>
      <c r="O8" s="21" t="s">
        <v>14</v>
      </c>
      <c r="P8" s="52" t="str">
        <f>IF(AB8="","",AB8)</f>
        <v/>
      </c>
      <c r="Q8" s="53"/>
      <c r="T8" s="259" t="s">
        <v>13</v>
      </c>
      <c r="W8" s="54"/>
      <c r="X8" s="54"/>
      <c r="Y8" s="55"/>
      <c r="AA8" s="35" t="s">
        <v>15</v>
      </c>
      <c r="AB8" s="56"/>
      <c r="AC8" s="49" t="str">
        <f t="shared" si="0"/>
        <v/>
      </c>
      <c r="AD8" s="57" t="str">
        <f>IF(P7="","",P7)</f>
        <v/>
      </c>
    </row>
    <row r="9" spans="1:43" ht="14.1" customHeight="1" thickTop="1" thickBot="1">
      <c r="A9" s="17">
        <v>9</v>
      </c>
      <c r="B9" s="58"/>
      <c r="C9" s="59"/>
      <c r="D9" s="60" t="s">
        <v>16</v>
      </c>
      <c r="E9" s="59"/>
      <c r="F9" s="59"/>
      <c r="G9" s="59"/>
      <c r="H9" s="59"/>
      <c r="I9" s="59"/>
      <c r="J9" s="59"/>
      <c r="K9" s="59"/>
      <c r="L9" s="59"/>
      <c r="M9" s="61"/>
      <c r="O9" s="62"/>
      <c r="P9" s="63" t="s">
        <v>16</v>
      </c>
      <c r="Q9" s="23"/>
      <c r="R9" s="23"/>
      <c r="S9" s="64" t="s">
        <v>17</v>
      </c>
      <c r="T9" s="23"/>
      <c r="U9" s="23"/>
      <c r="V9" s="23"/>
      <c r="W9" s="64" t="s">
        <v>17</v>
      </c>
      <c r="X9" s="23"/>
      <c r="Y9" s="24"/>
      <c r="AA9" s="35" t="s">
        <v>18</v>
      </c>
      <c r="AB9" s="65"/>
      <c r="AC9" s="49" t="str">
        <f t="shared" si="0"/>
        <v>Change</v>
      </c>
      <c r="AD9" s="66" t="str">
        <f>IF(X7="","",X7)</f>
        <v>Eugene Mah</v>
      </c>
      <c r="AH9" s="592" t="s">
        <v>19</v>
      </c>
      <c r="AI9" s="592" t="s">
        <v>20</v>
      </c>
      <c r="AJ9" s="611" t="s">
        <v>21</v>
      </c>
      <c r="AK9" s="592" t="s">
        <v>22</v>
      </c>
      <c r="AL9" s="592" t="s">
        <v>23</v>
      </c>
      <c r="AM9" s="592" t="s">
        <v>24</v>
      </c>
      <c r="AN9" s="592" t="s">
        <v>25</v>
      </c>
      <c r="AO9" s="592" t="s">
        <v>26</v>
      </c>
      <c r="AP9" s="592" t="s">
        <v>27</v>
      </c>
      <c r="AQ9" s="592" t="s">
        <v>28</v>
      </c>
    </row>
    <row r="10" spans="1:43" ht="14.1" customHeight="1">
      <c r="A10" s="17">
        <v>10</v>
      </c>
      <c r="B10" s="67"/>
      <c r="C10" s="68"/>
      <c r="E10" s="35" t="s">
        <v>29</v>
      </c>
      <c r="F10" s="819" t="str">
        <f>IF(R10="","",R10)</f>
        <v/>
      </c>
      <c r="G10" s="819"/>
      <c r="J10" s="35" t="s">
        <v>30</v>
      </c>
      <c r="K10" s="819" t="str">
        <f>IF(V10="","",V10)</f>
        <v/>
      </c>
      <c r="L10" s="819"/>
      <c r="M10" s="69"/>
      <c r="O10" s="30"/>
      <c r="Q10" s="35" t="s">
        <v>29</v>
      </c>
      <c r="R10" s="46" t="str">
        <f>IF(S10&lt;&gt;"",S10,IF(AB10="","",AB10))</f>
        <v/>
      </c>
      <c r="S10" s="47"/>
      <c r="U10" s="35" t="s">
        <v>30</v>
      </c>
      <c r="V10" s="46" t="str">
        <f>IF(W10&lt;&gt;"",W10,IF(AB15="","",AB15))</f>
        <v/>
      </c>
      <c r="W10" s="47"/>
      <c r="Y10" s="32"/>
      <c r="AA10" s="35" t="s">
        <v>29</v>
      </c>
      <c r="AB10" s="65"/>
      <c r="AC10" s="49" t="str">
        <f t="shared" si="0"/>
        <v/>
      </c>
      <c r="AD10" s="66" t="str">
        <f>IF(R10="","",R10)</f>
        <v/>
      </c>
      <c r="AH10" s="596">
        <v>24</v>
      </c>
      <c r="AI10" s="594">
        <v>50</v>
      </c>
      <c r="AJ10" s="210">
        <v>0</v>
      </c>
      <c r="AK10" s="594" t="str">
        <f>IF($V$21="","",$V$21)</f>
        <v/>
      </c>
      <c r="AL10" s="594" t="str">
        <f>IF($V$24="","",$V$24)</f>
        <v/>
      </c>
      <c r="AM10" s="594"/>
      <c r="AN10" s="594"/>
      <c r="AO10" s="594"/>
      <c r="AP10" s="594"/>
      <c r="AQ10" s="597"/>
    </row>
    <row r="11" spans="1:43" ht="14.1" customHeight="1">
      <c r="A11" s="17">
        <v>11</v>
      </c>
      <c r="B11" s="67"/>
      <c r="C11" s="68"/>
      <c r="E11" s="35" t="s">
        <v>32</v>
      </c>
      <c r="F11" s="826" t="str">
        <f>IF(R11="","",R11)</f>
        <v/>
      </c>
      <c r="G11" s="826"/>
      <c r="J11" s="35" t="s">
        <v>33</v>
      </c>
      <c r="K11" s="819" t="str">
        <f>IF(V11="","",V11)</f>
        <v/>
      </c>
      <c r="L11" s="819"/>
      <c r="M11" s="69"/>
      <c r="O11" s="30"/>
      <c r="Q11" s="35" t="s">
        <v>32</v>
      </c>
      <c r="R11" s="46" t="str">
        <f>IF(S11&lt;&gt;"",S11,IF(AB11="","",AB11))</f>
        <v/>
      </c>
      <c r="S11" s="47"/>
      <c r="U11" s="35" t="s">
        <v>33</v>
      </c>
      <c r="V11" s="46" t="str">
        <f>IF(W11&lt;&gt;"",W11,IF(AB16="","",AB16))</f>
        <v/>
      </c>
      <c r="W11" s="47"/>
      <c r="Y11" s="32"/>
      <c r="AA11" s="35" t="s">
        <v>32</v>
      </c>
      <c r="AB11" s="65"/>
      <c r="AC11" s="49" t="str">
        <f t="shared" si="0"/>
        <v/>
      </c>
      <c r="AD11" s="66" t="str">
        <f>IF(R11="","",R11)</f>
        <v/>
      </c>
      <c r="AH11" s="602">
        <v>24</v>
      </c>
      <c r="AI11" s="603">
        <v>50</v>
      </c>
      <c r="AJ11" s="604">
        <v>0</v>
      </c>
      <c r="AK11" s="603" t="str">
        <f t="shared" ref="AK11:AK74" si="1">IF($V$21="","",$V$21)</f>
        <v/>
      </c>
      <c r="AL11" s="603" t="str">
        <f t="shared" ref="AL11:AL56" si="2">IF($V$24="","",$V$24)</f>
        <v/>
      </c>
      <c r="AM11" s="603"/>
      <c r="AN11" s="603"/>
      <c r="AO11" s="603"/>
      <c r="AP11" s="603"/>
      <c r="AQ11" s="605"/>
    </row>
    <row r="12" spans="1:43" ht="14.1" customHeight="1">
      <c r="A12" s="17">
        <v>12</v>
      </c>
      <c r="B12" s="67"/>
      <c r="C12" s="68"/>
      <c r="E12" s="35" t="s">
        <v>34</v>
      </c>
      <c r="F12" s="826" t="str">
        <f>IF(R12="","",R12)</f>
        <v/>
      </c>
      <c r="G12" s="826"/>
      <c r="J12" s="35" t="s">
        <v>35</v>
      </c>
      <c r="K12" s="825" t="str">
        <f>IF(V12="","",V12)</f>
        <v/>
      </c>
      <c r="L12" s="825"/>
      <c r="M12" s="69"/>
      <c r="O12" s="30"/>
      <c r="Q12" s="35" t="s">
        <v>34</v>
      </c>
      <c r="R12" s="46" t="str">
        <f>IF(S12&lt;&gt;"",S12,IF(AB12="","",AB12))</f>
        <v/>
      </c>
      <c r="S12" s="47"/>
      <c r="U12" s="35" t="s">
        <v>35</v>
      </c>
      <c r="V12" s="72" t="str">
        <f>IF(W12&lt;&gt;"",W12,IF(AB17="","",AB17))</f>
        <v/>
      </c>
      <c r="W12" s="73"/>
      <c r="Y12" s="32"/>
      <c r="AA12" s="35" t="s">
        <v>34</v>
      </c>
      <c r="AB12" s="65"/>
      <c r="AC12" s="49" t="str">
        <f t="shared" si="0"/>
        <v/>
      </c>
      <c r="AD12" s="66" t="str">
        <f>IF(R12="","",R12)</f>
        <v/>
      </c>
      <c r="AH12" s="602">
        <v>24</v>
      </c>
      <c r="AI12" s="603">
        <v>50</v>
      </c>
      <c r="AJ12" s="604">
        <v>0.3</v>
      </c>
      <c r="AK12" s="603" t="str">
        <f t="shared" si="1"/>
        <v/>
      </c>
      <c r="AL12" s="603" t="str">
        <f t="shared" si="2"/>
        <v/>
      </c>
      <c r="AM12" s="603"/>
      <c r="AN12" s="603"/>
      <c r="AO12" s="603"/>
      <c r="AP12" s="603"/>
      <c r="AQ12" s="605"/>
    </row>
    <row r="13" spans="1:43" ht="14.1" customHeight="1">
      <c r="A13" s="17">
        <v>13</v>
      </c>
      <c r="B13" s="67"/>
      <c r="C13" s="68"/>
      <c r="E13" s="35" t="s">
        <v>36</v>
      </c>
      <c r="F13" s="826" t="str">
        <f>IF(R13="","",R13)</f>
        <v/>
      </c>
      <c r="G13" s="826"/>
      <c r="J13" s="35" t="s">
        <v>37</v>
      </c>
      <c r="K13" s="819" t="str">
        <f>IF(V13="","",V13)</f>
        <v/>
      </c>
      <c r="L13" s="819"/>
      <c r="M13" s="69"/>
      <c r="O13" s="30"/>
      <c r="Q13" s="35" t="s">
        <v>36</v>
      </c>
      <c r="R13" s="46" t="str">
        <f>IF(S13&lt;&gt;"",S13,IF(AB13="","",AB13))</f>
        <v/>
      </c>
      <c r="S13" s="47"/>
      <c r="U13" s="35" t="s">
        <v>37</v>
      </c>
      <c r="V13" s="46" t="str">
        <f>IF(W13&lt;&gt;"",W13,IF(AB18="","",AB18))</f>
        <v/>
      </c>
      <c r="W13" s="47"/>
      <c r="Y13" s="32"/>
      <c r="AA13" s="35" t="s">
        <v>36</v>
      </c>
      <c r="AB13" s="65"/>
      <c r="AC13" s="49" t="str">
        <f t="shared" si="0"/>
        <v/>
      </c>
      <c r="AD13" s="66" t="str">
        <f>IF(R13="","",R13)</f>
        <v/>
      </c>
      <c r="AH13" s="602">
        <v>24</v>
      </c>
      <c r="AI13" s="603">
        <v>50</v>
      </c>
      <c r="AJ13" s="604">
        <v>0.3</v>
      </c>
      <c r="AK13" s="603" t="str">
        <f t="shared" si="1"/>
        <v/>
      </c>
      <c r="AL13" s="603" t="str">
        <f t="shared" si="2"/>
        <v/>
      </c>
      <c r="AM13" s="603"/>
      <c r="AN13" s="603"/>
      <c r="AO13" s="603"/>
      <c r="AP13" s="603"/>
      <c r="AQ13" s="605"/>
    </row>
    <row r="14" spans="1:43" ht="14.1" customHeight="1">
      <c r="A14" s="17">
        <v>14</v>
      </c>
      <c r="B14" s="67"/>
      <c r="C14" s="68"/>
      <c r="M14" s="69"/>
      <c r="O14" s="30"/>
      <c r="Q14" s="35" t="s">
        <v>38</v>
      </c>
      <c r="R14" s="46" t="str">
        <f>IF(S14&lt;&gt;"",S14,IF(AB14="","",AB14))</f>
        <v/>
      </c>
      <c r="S14" s="47"/>
      <c r="U14" s="35" t="s">
        <v>39</v>
      </c>
      <c r="V14" s="46" t="str">
        <f>IF(W14&lt;&gt;"",W14,IF(AB19="","",AB19))</f>
        <v/>
      </c>
      <c r="W14" s="47"/>
      <c r="Y14" s="32"/>
      <c r="AA14" s="35" t="s">
        <v>38</v>
      </c>
      <c r="AB14" s="74"/>
      <c r="AC14" s="49" t="str">
        <f t="shared" si="0"/>
        <v/>
      </c>
      <c r="AD14" s="66" t="str">
        <f>IF(R14="","",R14)</f>
        <v/>
      </c>
      <c r="AH14" s="602">
        <v>24</v>
      </c>
      <c r="AI14" s="603">
        <v>50</v>
      </c>
      <c r="AJ14" s="604">
        <v>0.4</v>
      </c>
      <c r="AK14" s="603" t="str">
        <f t="shared" si="1"/>
        <v/>
      </c>
      <c r="AL14" s="603" t="str">
        <f t="shared" si="2"/>
        <v/>
      </c>
      <c r="AM14" s="603"/>
      <c r="AN14" s="603"/>
      <c r="AO14" s="603"/>
      <c r="AP14" s="603"/>
      <c r="AQ14" s="605"/>
    </row>
    <row r="15" spans="1:43" ht="14.1" customHeight="1">
      <c r="A15" s="17">
        <v>15</v>
      </c>
      <c r="B15" s="67"/>
      <c r="C15" s="68"/>
      <c r="D15" s="75" t="s">
        <v>40</v>
      </c>
      <c r="M15" s="69"/>
      <c r="O15" s="30"/>
      <c r="Y15" s="32"/>
      <c r="AA15" s="35" t="s">
        <v>30</v>
      </c>
      <c r="AB15" s="65"/>
      <c r="AC15" s="49" t="str">
        <f t="shared" si="0"/>
        <v/>
      </c>
      <c r="AD15" s="66" t="str">
        <f>IF(V10="","",V10)</f>
        <v/>
      </c>
      <c r="AH15" s="602">
        <v>24</v>
      </c>
      <c r="AI15" s="603">
        <v>50</v>
      </c>
      <c r="AJ15" s="604">
        <v>0.4</v>
      </c>
      <c r="AK15" s="603" t="str">
        <f t="shared" si="1"/>
        <v/>
      </c>
      <c r="AL15" s="603" t="str">
        <f t="shared" si="2"/>
        <v/>
      </c>
      <c r="AM15" s="603"/>
      <c r="AN15" s="603"/>
      <c r="AO15" s="603"/>
      <c r="AP15" s="603"/>
      <c r="AQ15" s="605"/>
    </row>
    <row r="16" spans="1:43" ht="14.1" customHeight="1">
      <c r="A16" s="17">
        <v>16</v>
      </c>
      <c r="B16" s="67"/>
      <c r="C16" s="68"/>
      <c r="E16" s="35" t="s">
        <v>41</v>
      </c>
      <c r="F16" s="819" t="str">
        <f>IF(R17="","",R17)</f>
        <v/>
      </c>
      <c r="G16" s="819"/>
      <c r="J16" s="35" t="s">
        <v>42</v>
      </c>
      <c r="K16" s="825" t="str">
        <f>IF(V17="","",V17)</f>
        <v/>
      </c>
      <c r="L16" s="825"/>
      <c r="M16" s="69"/>
      <c r="O16" s="30"/>
      <c r="P16" s="75" t="s">
        <v>40</v>
      </c>
      <c r="Y16" s="32"/>
      <c r="AA16" s="35" t="s">
        <v>33</v>
      </c>
      <c r="AB16" s="65"/>
      <c r="AC16" s="49" t="str">
        <f t="shared" si="0"/>
        <v/>
      </c>
      <c r="AD16" s="66" t="str">
        <f>IF(V11="","",V11)</f>
        <v/>
      </c>
      <c r="AH16" s="602">
        <v>24</v>
      </c>
      <c r="AI16" s="603">
        <v>50</v>
      </c>
      <c r="AJ16" s="604">
        <v>0.5</v>
      </c>
      <c r="AK16" s="603" t="str">
        <f t="shared" si="1"/>
        <v/>
      </c>
      <c r="AL16" s="603" t="str">
        <f t="shared" si="2"/>
        <v/>
      </c>
      <c r="AM16" s="603"/>
      <c r="AN16" s="603"/>
      <c r="AO16" s="603"/>
      <c r="AP16" s="603"/>
      <c r="AQ16" s="605"/>
    </row>
    <row r="17" spans="1:43" ht="14.1" customHeight="1">
      <c r="A17" s="17">
        <v>17</v>
      </c>
      <c r="B17" s="67"/>
      <c r="C17" s="68"/>
      <c r="E17" s="35" t="s">
        <v>43</v>
      </c>
      <c r="F17" s="819" t="str">
        <f>IF(R18="","",R18)</f>
        <v/>
      </c>
      <c r="G17" s="819"/>
      <c r="J17" s="35" t="s">
        <v>44</v>
      </c>
      <c r="K17" s="827" t="str">
        <f>IF(V18="","",V18)</f>
        <v/>
      </c>
      <c r="L17" s="827"/>
      <c r="M17" s="69"/>
      <c r="O17" s="30"/>
      <c r="Q17" s="35" t="s">
        <v>41</v>
      </c>
      <c r="R17" s="46" t="str">
        <f>IF(S17&lt;&gt;"",S17,IF(AB21="","",AB21))</f>
        <v/>
      </c>
      <c r="S17" s="47"/>
      <c r="U17" s="35" t="s">
        <v>42</v>
      </c>
      <c r="V17" s="72" t="str">
        <f>IF(W17&lt;&gt;"",W17,IF(AB24="","",AB24))</f>
        <v/>
      </c>
      <c r="W17" s="76"/>
      <c r="Y17" s="32"/>
      <c r="AA17" s="35" t="s">
        <v>35</v>
      </c>
      <c r="AB17" s="77"/>
      <c r="AC17" s="49" t="str">
        <f t="shared" si="0"/>
        <v/>
      </c>
      <c r="AD17" s="78" t="str">
        <f>IF(V12="","",V12)</f>
        <v/>
      </c>
      <c r="AH17" s="602">
        <v>24</v>
      </c>
      <c r="AI17" s="603">
        <v>50</v>
      </c>
      <c r="AJ17" s="604">
        <v>0.5</v>
      </c>
      <c r="AK17" s="603" t="str">
        <f t="shared" si="1"/>
        <v/>
      </c>
      <c r="AL17" s="603" t="str">
        <f t="shared" si="2"/>
        <v/>
      </c>
      <c r="AM17" s="603"/>
      <c r="AN17" s="603"/>
      <c r="AO17" s="603"/>
      <c r="AP17" s="603"/>
      <c r="AQ17" s="605"/>
    </row>
    <row r="18" spans="1:43" ht="14.1" customHeight="1">
      <c r="A18" s="17">
        <v>18</v>
      </c>
      <c r="B18" s="67"/>
      <c r="C18" s="68"/>
      <c r="E18" s="35" t="s">
        <v>45</v>
      </c>
      <c r="F18" s="819" t="str">
        <f>IF(R19="","",R19)</f>
        <v/>
      </c>
      <c r="G18" s="819"/>
      <c r="J18" s="35" t="s">
        <v>46</v>
      </c>
      <c r="K18" s="819" t="str">
        <f>IF(V19="","",V19)</f>
        <v/>
      </c>
      <c r="L18" s="819"/>
      <c r="M18" s="69"/>
      <c r="O18" s="30"/>
      <c r="Q18" s="35" t="s">
        <v>43</v>
      </c>
      <c r="R18" s="46" t="str">
        <f>IF(S18&lt;&gt;"",S18,IF(AB22="","",AB22))</f>
        <v/>
      </c>
      <c r="S18" s="47"/>
      <c r="U18" s="35" t="s">
        <v>44</v>
      </c>
      <c r="V18" s="46" t="str">
        <f>IF(W18&lt;&gt;"",W18,IF(AB25="","",AB25))</f>
        <v/>
      </c>
      <c r="W18" s="47"/>
      <c r="Y18" s="32"/>
      <c r="AA18" s="35" t="s">
        <v>37</v>
      </c>
      <c r="AB18" s="65"/>
      <c r="AC18" s="49" t="str">
        <f t="shared" si="0"/>
        <v/>
      </c>
      <c r="AD18" s="66" t="str">
        <f>IF(V13="","",V13)</f>
        <v/>
      </c>
      <c r="AH18" s="598">
        <v>25</v>
      </c>
      <c r="AI18" s="16">
        <v>50</v>
      </c>
      <c r="AJ18" s="70">
        <v>0</v>
      </c>
      <c r="AK18" s="16" t="str">
        <f t="shared" si="1"/>
        <v/>
      </c>
      <c r="AL18" s="16" t="str">
        <f t="shared" si="2"/>
        <v/>
      </c>
      <c r="AM18" s="16"/>
      <c r="AN18" s="16"/>
      <c r="AO18" s="16"/>
      <c r="AP18" s="16"/>
      <c r="AQ18" s="599"/>
    </row>
    <row r="19" spans="1:43" ht="14.1" customHeight="1">
      <c r="A19" s="17">
        <v>19</v>
      </c>
      <c r="B19" s="67"/>
      <c r="C19" s="68"/>
      <c r="M19" s="69"/>
      <c r="O19" s="30"/>
      <c r="Q19" s="35" t="s">
        <v>45</v>
      </c>
      <c r="R19" s="46" t="str">
        <f>IF(S19&lt;&gt;"",S19,IF(AB23="","",AB23))</f>
        <v/>
      </c>
      <c r="S19" s="47"/>
      <c r="U19" s="35" t="s">
        <v>46</v>
      </c>
      <c r="V19" s="46" t="str">
        <f>IF(W19&lt;&gt;"",W19,IF(AB26="","",AB26))</f>
        <v/>
      </c>
      <c r="W19" s="47"/>
      <c r="Y19" s="32"/>
      <c r="AA19" s="35" t="s">
        <v>47</v>
      </c>
      <c r="AB19" s="65"/>
      <c r="AC19" s="49" t="str">
        <f t="shared" si="0"/>
        <v/>
      </c>
      <c r="AD19" s="66" t="str">
        <f>IF(V14="","",V14)</f>
        <v/>
      </c>
      <c r="AH19" s="602">
        <v>25</v>
      </c>
      <c r="AI19" s="603">
        <v>50</v>
      </c>
      <c r="AJ19" s="604">
        <v>0</v>
      </c>
      <c r="AK19" s="603" t="str">
        <f t="shared" si="1"/>
        <v/>
      </c>
      <c r="AL19" s="603" t="str">
        <f t="shared" si="2"/>
        <v/>
      </c>
      <c r="AM19" s="603"/>
      <c r="AN19" s="603"/>
      <c r="AO19" s="603"/>
      <c r="AP19" s="603"/>
      <c r="AQ19" s="605"/>
    </row>
    <row r="20" spans="1:43" ht="14.1" customHeight="1">
      <c r="A20" s="17">
        <v>20</v>
      </c>
      <c r="B20" s="67"/>
      <c r="C20" s="68"/>
      <c r="D20" s="75" t="s">
        <v>48</v>
      </c>
      <c r="J20" s="79"/>
      <c r="M20" s="69"/>
      <c r="O20" s="30"/>
      <c r="Y20" s="32"/>
      <c r="AA20" s="43" t="s">
        <v>40</v>
      </c>
      <c r="AH20" s="602">
        <v>25</v>
      </c>
      <c r="AI20" s="603">
        <v>50</v>
      </c>
      <c r="AJ20" s="604">
        <v>0.3</v>
      </c>
      <c r="AK20" s="603" t="str">
        <f t="shared" si="1"/>
        <v/>
      </c>
      <c r="AL20" s="603" t="str">
        <f t="shared" si="2"/>
        <v/>
      </c>
      <c r="AM20" s="603"/>
      <c r="AN20" s="603"/>
      <c r="AO20" s="603"/>
      <c r="AP20" s="603"/>
      <c r="AQ20" s="605"/>
    </row>
    <row r="21" spans="1:43" ht="14.1" customHeight="1">
      <c r="A21" s="17">
        <v>21</v>
      </c>
      <c r="B21" s="67"/>
      <c r="C21" s="68"/>
      <c r="E21" s="35" t="s">
        <v>49</v>
      </c>
      <c r="F21" s="819" t="str">
        <f>IF(R22="","",R22)</f>
        <v/>
      </c>
      <c r="G21" s="819"/>
      <c r="J21" s="35" t="s">
        <v>50</v>
      </c>
      <c r="K21" s="819" t="str">
        <f>IF(V21="","",V21)</f>
        <v/>
      </c>
      <c r="L21" s="819"/>
      <c r="M21" s="69"/>
      <c r="O21" s="30"/>
      <c r="P21" s="75" t="s">
        <v>48</v>
      </c>
      <c r="U21" s="75" t="s">
        <v>50</v>
      </c>
      <c r="V21" s="46" t="str">
        <f>IF(W21&lt;&gt;"",W21,IF(AB38="","",AB38))</f>
        <v/>
      </c>
      <c r="W21" s="47"/>
      <c r="Y21" s="32"/>
      <c r="AA21" s="35" t="s">
        <v>41</v>
      </c>
      <c r="AB21" s="65"/>
      <c r="AC21" s="49" t="str">
        <f t="shared" ref="AC21:AC26" si="3">IF(AB21&lt;&gt;AD21,"Change","")</f>
        <v/>
      </c>
      <c r="AD21" s="66" t="str">
        <f>IF(R17="","",R17)</f>
        <v/>
      </c>
      <c r="AH21" s="602">
        <v>25</v>
      </c>
      <c r="AI21" s="603">
        <v>50</v>
      </c>
      <c r="AJ21" s="604">
        <v>0.3</v>
      </c>
      <c r="AK21" s="603" t="str">
        <f t="shared" si="1"/>
        <v/>
      </c>
      <c r="AL21" s="603" t="str">
        <f t="shared" si="2"/>
        <v/>
      </c>
      <c r="AM21" s="603"/>
      <c r="AN21" s="603"/>
      <c r="AO21" s="603"/>
      <c r="AP21" s="603"/>
      <c r="AQ21" s="605"/>
    </row>
    <row r="22" spans="1:43" ht="14.1" customHeight="1">
      <c r="A22" s="17">
        <v>22</v>
      </c>
      <c r="B22" s="67"/>
      <c r="C22" s="68"/>
      <c r="E22" s="35" t="s">
        <v>42</v>
      </c>
      <c r="F22" s="825" t="str">
        <f>IF(R23="","",R23)</f>
        <v/>
      </c>
      <c r="G22" s="825"/>
      <c r="J22" s="35"/>
      <c r="K22" s="819" t="str">
        <f>IF(V22="","",V22)</f>
        <v/>
      </c>
      <c r="L22" s="819"/>
      <c r="M22" s="69"/>
      <c r="O22" s="30"/>
      <c r="Q22" s="35" t="s">
        <v>49</v>
      </c>
      <c r="R22" s="46" t="str">
        <f>IF(S22&lt;&gt;"",S22,IF(AB28="","",AB28))</f>
        <v/>
      </c>
      <c r="S22" s="47"/>
      <c r="V22" s="46" t="str">
        <f>IF(W22&lt;&gt;"",W22,IF(AB39="","",AB39))</f>
        <v/>
      </c>
      <c r="W22" s="47"/>
      <c r="Y22" s="32"/>
      <c r="AA22" s="35" t="s">
        <v>43</v>
      </c>
      <c r="AB22" s="65"/>
      <c r="AC22" s="49" t="str">
        <f t="shared" si="3"/>
        <v/>
      </c>
      <c r="AD22" s="66" t="str">
        <f>IF(R18="","",R18)</f>
        <v/>
      </c>
      <c r="AH22" s="602">
        <v>25</v>
      </c>
      <c r="AI22" s="603">
        <v>50</v>
      </c>
      <c r="AJ22" s="604">
        <v>0.4</v>
      </c>
      <c r="AK22" s="603" t="str">
        <f t="shared" si="1"/>
        <v/>
      </c>
      <c r="AL22" s="603" t="str">
        <f t="shared" si="2"/>
        <v/>
      </c>
      <c r="AM22" s="603"/>
      <c r="AN22" s="603"/>
      <c r="AO22" s="603"/>
      <c r="AP22" s="603"/>
      <c r="AQ22" s="605"/>
    </row>
    <row r="23" spans="1:43" ht="14.1" customHeight="1">
      <c r="A23" s="17">
        <v>23</v>
      </c>
      <c r="B23" s="67"/>
      <c r="C23" s="68"/>
      <c r="D23" s="75" t="s">
        <v>52</v>
      </c>
      <c r="J23" s="35" t="s">
        <v>53</v>
      </c>
      <c r="K23" s="819" t="str">
        <f>IF(V24="","",V24)</f>
        <v/>
      </c>
      <c r="L23" s="819"/>
      <c r="M23" s="69"/>
      <c r="O23" s="30"/>
      <c r="Q23" s="35" t="s">
        <v>42</v>
      </c>
      <c r="R23" s="72" t="str">
        <f>IF(S23&lt;&gt;"",S23,IF(AB29="","",AB29))</f>
        <v/>
      </c>
      <c r="S23" s="76"/>
      <c r="V23" s="4"/>
      <c r="W23" s="4"/>
      <c r="Y23" s="32"/>
      <c r="AA23" s="35" t="s">
        <v>45</v>
      </c>
      <c r="AB23" s="65"/>
      <c r="AC23" s="49" t="str">
        <f t="shared" si="3"/>
        <v/>
      </c>
      <c r="AD23" s="66" t="str">
        <f>IF(R19="","",R19)</f>
        <v/>
      </c>
      <c r="AH23" s="602">
        <v>25</v>
      </c>
      <c r="AI23" s="603">
        <v>50</v>
      </c>
      <c r="AJ23" s="604">
        <v>0.4</v>
      </c>
      <c r="AK23" s="603" t="str">
        <f t="shared" si="1"/>
        <v/>
      </c>
      <c r="AL23" s="603" t="str">
        <f t="shared" si="2"/>
        <v/>
      </c>
      <c r="AM23" s="603"/>
      <c r="AN23" s="603"/>
      <c r="AO23" s="603"/>
      <c r="AP23" s="603"/>
      <c r="AQ23" s="605"/>
    </row>
    <row r="24" spans="1:43" ht="14.1" customHeight="1">
      <c r="A24" s="17">
        <v>24</v>
      </c>
      <c r="B24" s="67"/>
      <c r="C24" s="68"/>
      <c r="E24" s="35" t="s">
        <v>41</v>
      </c>
      <c r="F24" s="819" t="str">
        <f>IF(R25="","",R25)</f>
        <v/>
      </c>
      <c r="G24" s="819"/>
      <c r="K24" s="819" t="str">
        <f>IF(V25="","",V25)</f>
        <v/>
      </c>
      <c r="L24" s="819"/>
      <c r="M24" s="69"/>
      <c r="O24" s="30"/>
      <c r="P24" s="75" t="s">
        <v>52</v>
      </c>
      <c r="U24" s="75" t="s">
        <v>53</v>
      </c>
      <c r="V24" s="46" t="str">
        <f>IF(W24&lt;&gt;"",W24,IF(AB40="","",AB40))</f>
        <v/>
      </c>
      <c r="W24" s="47"/>
      <c r="Y24" s="32"/>
      <c r="AA24" s="35" t="s">
        <v>42</v>
      </c>
      <c r="AB24" s="77"/>
      <c r="AC24" s="49" t="str">
        <f t="shared" si="3"/>
        <v/>
      </c>
      <c r="AD24" s="78" t="str">
        <f>IF(V17="","",V17)</f>
        <v/>
      </c>
      <c r="AH24" s="602">
        <v>25</v>
      </c>
      <c r="AI24" s="603">
        <v>50</v>
      </c>
      <c r="AJ24" s="604">
        <v>0.5</v>
      </c>
      <c r="AK24" s="603" t="str">
        <f t="shared" si="1"/>
        <v/>
      </c>
      <c r="AL24" s="603" t="str">
        <f t="shared" si="2"/>
        <v/>
      </c>
      <c r="AM24" s="603"/>
      <c r="AN24" s="603"/>
      <c r="AO24" s="603"/>
      <c r="AP24" s="603"/>
      <c r="AQ24" s="605"/>
    </row>
    <row r="25" spans="1:43" ht="14.1" customHeight="1">
      <c r="A25" s="17">
        <v>25</v>
      </c>
      <c r="B25" s="67"/>
      <c r="C25" s="68"/>
      <c r="E25" s="35" t="s">
        <v>43</v>
      </c>
      <c r="F25" s="819" t="str">
        <f>IF(R26="","",R26)</f>
        <v/>
      </c>
      <c r="G25" s="819"/>
      <c r="J25" s="4"/>
      <c r="K25" s="4"/>
      <c r="L25" s="4"/>
      <c r="M25" s="69"/>
      <c r="O25" s="30"/>
      <c r="Q25" s="35" t="s">
        <v>41</v>
      </c>
      <c r="R25" s="46" t="str">
        <f>IF(S25&lt;&gt;"",S25,IF(AB30="","",AB30))</f>
        <v/>
      </c>
      <c r="S25" s="47"/>
      <c r="V25" s="46" t="str">
        <f>IF(W25&lt;&gt;"",W25,IF(AB44="","",AB44))</f>
        <v/>
      </c>
      <c r="W25" s="47"/>
      <c r="Y25" s="32"/>
      <c r="AA25" s="35" t="s">
        <v>44</v>
      </c>
      <c r="AB25" s="65"/>
      <c r="AC25" s="49" t="str">
        <f t="shared" si="3"/>
        <v/>
      </c>
      <c r="AD25" s="66" t="str">
        <f>IF(V18="","",V18)</f>
        <v/>
      </c>
      <c r="AH25" s="602">
        <v>25</v>
      </c>
      <c r="AI25" s="603">
        <v>50</v>
      </c>
      <c r="AJ25" s="604">
        <v>0.5</v>
      </c>
      <c r="AK25" s="603" t="str">
        <f t="shared" si="1"/>
        <v/>
      </c>
      <c r="AL25" s="603" t="str">
        <f t="shared" si="2"/>
        <v/>
      </c>
      <c r="AM25" s="603"/>
      <c r="AN25" s="603"/>
      <c r="AO25" s="603"/>
      <c r="AP25" s="603"/>
      <c r="AQ25" s="605"/>
    </row>
    <row r="26" spans="1:43" ht="14.1" customHeight="1">
      <c r="A26" s="17">
        <v>26</v>
      </c>
      <c r="B26" s="67"/>
      <c r="C26" s="68"/>
      <c r="E26" s="35" t="s">
        <v>44</v>
      </c>
      <c r="F26" s="819" t="str">
        <f>IF(R27="","",R27)</f>
        <v/>
      </c>
      <c r="G26" s="819"/>
      <c r="I26" s="75" t="s">
        <v>55</v>
      </c>
      <c r="J26" s="4"/>
      <c r="K26" s="4"/>
      <c r="L26" s="4"/>
      <c r="M26" s="69"/>
      <c r="O26" s="30"/>
      <c r="Q26" s="35" t="s">
        <v>43</v>
      </c>
      <c r="R26" s="46" t="str">
        <f>IF(S26&lt;&gt;"",S26,IF(AB31="","",AB31))</f>
        <v/>
      </c>
      <c r="S26" s="47"/>
      <c r="V26" s="4"/>
      <c r="W26" s="4"/>
      <c r="Y26" s="32"/>
      <c r="AA26" s="35" t="s">
        <v>46</v>
      </c>
      <c r="AB26" s="65"/>
      <c r="AC26" s="49" t="str">
        <f t="shared" si="3"/>
        <v/>
      </c>
      <c r="AD26" s="66" t="str">
        <f>IF(V19="","",V19)</f>
        <v/>
      </c>
      <c r="AH26" s="598">
        <v>26</v>
      </c>
      <c r="AI26" s="16">
        <v>50</v>
      </c>
      <c r="AJ26" s="70">
        <v>0</v>
      </c>
      <c r="AK26" s="16" t="str">
        <f t="shared" si="1"/>
        <v/>
      </c>
      <c r="AL26" s="16" t="str">
        <f t="shared" si="2"/>
        <v/>
      </c>
      <c r="AM26" s="16"/>
      <c r="AN26" s="16"/>
      <c r="AO26" s="16"/>
      <c r="AP26" s="16"/>
      <c r="AQ26" s="599"/>
    </row>
    <row r="27" spans="1:43" ht="14.1" customHeight="1">
      <c r="A27" s="17">
        <v>27</v>
      </c>
      <c r="B27" s="67"/>
      <c r="C27" s="68"/>
      <c r="D27" s="75" t="s">
        <v>56</v>
      </c>
      <c r="J27" s="35" t="s">
        <v>57</v>
      </c>
      <c r="K27" s="819" t="str">
        <f>IF(V28="","",V28)</f>
        <v/>
      </c>
      <c r="L27" s="819"/>
      <c r="M27" s="69"/>
      <c r="O27" s="30"/>
      <c r="Q27" s="35" t="s">
        <v>44</v>
      </c>
      <c r="R27" s="46" t="str">
        <f>IF(S27&lt;&gt;"",S27,IF(AB32="","",AB32))</f>
        <v/>
      </c>
      <c r="S27" s="47"/>
      <c r="U27" s="79" t="s">
        <v>55</v>
      </c>
      <c r="Y27" s="32"/>
      <c r="AA27" s="75" t="s">
        <v>48</v>
      </c>
      <c r="AH27" s="598">
        <v>28</v>
      </c>
      <c r="AI27" s="16">
        <v>20</v>
      </c>
      <c r="AJ27" s="70">
        <v>0</v>
      </c>
      <c r="AK27" s="16" t="str">
        <f t="shared" si="1"/>
        <v/>
      </c>
      <c r="AL27" s="16" t="str">
        <f t="shared" si="2"/>
        <v/>
      </c>
      <c r="AM27" s="16"/>
      <c r="AN27" s="16"/>
      <c r="AO27" s="16"/>
      <c r="AP27" s="16"/>
      <c r="AQ27" s="599"/>
    </row>
    <row r="28" spans="1:43" ht="14.1" customHeight="1">
      <c r="A28" s="17">
        <v>28</v>
      </c>
      <c r="B28" s="67"/>
      <c r="C28" s="68"/>
      <c r="E28" s="35" t="s">
        <v>41</v>
      </c>
      <c r="F28" s="819" t="str">
        <f>IF(R29="","",R29)</f>
        <v/>
      </c>
      <c r="G28" s="819"/>
      <c r="I28" s="4"/>
      <c r="J28" s="35" t="s">
        <v>58</v>
      </c>
      <c r="K28" s="819" t="str">
        <f>IF(V29="","",V29)</f>
        <v/>
      </c>
      <c r="L28" s="819"/>
      <c r="M28" s="69"/>
      <c r="O28" s="30"/>
      <c r="P28" s="75" t="s">
        <v>56</v>
      </c>
      <c r="U28" s="35" t="s">
        <v>57</v>
      </c>
      <c r="V28" s="46" t="str">
        <f>IF(W28&lt;&gt;"",W28,IF(AB36="","",AB36))</f>
        <v/>
      </c>
      <c r="W28" s="47"/>
      <c r="Y28" s="32"/>
      <c r="AA28" s="35" t="s">
        <v>49</v>
      </c>
      <c r="AB28" s="65"/>
      <c r="AC28" s="49" t="str">
        <f t="shared" ref="AC28:AC43" si="4">IF(AB28&lt;&gt;AD28,"Change","")</f>
        <v/>
      </c>
      <c r="AD28" s="66" t="str">
        <f>IF(R22="","",R22)</f>
        <v/>
      </c>
      <c r="AH28" s="598">
        <v>28</v>
      </c>
      <c r="AI28" s="16">
        <v>50</v>
      </c>
      <c r="AJ28" s="70">
        <v>0</v>
      </c>
      <c r="AK28" s="16" t="str">
        <f t="shared" si="1"/>
        <v/>
      </c>
      <c r="AL28" s="16" t="str">
        <f t="shared" si="2"/>
        <v/>
      </c>
      <c r="AM28" s="16"/>
      <c r="AN28" s="16"/>
      <c r="AO28" s="16"/>
      <c r="AP28" s="16"/>
      <c r="AQ28" s="599"/>
    </row>
    <row r="29" spans="1:43" ht="14.1" customHeight="1">
      <c r="A29" s="17">
        <v>29</v>
      </c>
      <c r="B29" s="67"/>
      <c r="C29" s="68"/>
      <c r="E29" s="35" t="s">
        <v>43</v>
      </c>
      <c r="F29" s="819" t="str">
        <f>IF(R30="","",R30)</f>
        <v/>
      </c>
      <c r="G29" s="819"/>
      <c r="I29" s="75" t="s">
        <v>59</v>
      </c>
      <c r="J29" s="35" t="s">
        <v>60</v>
      </c>
      <c r="K29" s="819" t="str">
        <f>IF(V32="","",V32)</f>
        <v/>
      </c>
      <c r="L29" s="819"/>
      <c r="M29" s="69"/>
      <c r="O29" s="30"/>
      <c r="Q29" s="35" t="s">
        <v>41</v>
      </c>
      <c r="R29" s="46" t="str">
        <f>IF(S29&lt;&gt;"",S29,IF(AB33="","",AB33))</f>
        <v/>
      </c>
      <c r="S29" s="47"/>
      <c r="U29" s="35" t="s">
        <v>58</v>
      </c>
      <c r="V29" s="46" t="str">
        <f>IF(W29&lt;&gt;"",W29,IF(AB37="","",AB37))</f>
        <v/>
      </c>
      <c r="W29" s="47"/>
      <c r="Y29" s="32"/>
      <c r="AA29" s="35" t="s">
        <v>42</v>
      </c>
      <c r="AB29" s="77"/>
      <c r="AC29" s="49" t="str">
        <f t="shared" si="4"/>
        <v/>
      </c>
      <c r="AD29" s="78" t="str">
        <f>IF(R23="","",R23)</f>
        <v/>
      </c>
      <c r="AH29" s="598">
        <v>28</v>
      </c>
      <c r="AI29" s="16">
        <v>50</v>
      </c>
      <c r="AJ29" s="70">
        <v>0</v>
      </c>
      <c r="AK29" s="16" t="str">
        <f t="shared" si="1"/>
        <v/>
      </c>
      <c r="AL29" s="16" t="str">
        <f t="shared" si="2"/>
        <v/>
      </c>
      <c r="AM29" s="16"/>
      <c r="AN29" s="16"/>
      <c r="AO29" s="16"/>
      <c r="AP29" s="16"/>
      <c r="AQ29" s="599"/>
    </row>
    <row r="30" spans="1:43" ht="14.1" customHeight="1">
      <c r="A30" s="17">
        <v>30</v>
      </c>
      <c r="B30" s="67"/>
      <c r="C30" s="68"/>
      <c r="E30" s="35" t="s">
        <v>44</v>
      </c>
      <c r="F30" s="819" t="str">
        <f>IF(R31="","",R31)</f>
        <v/>
      </c>
      <c r="G30" s="819"/>
      <c r="J30" s="35" t="s">
        <v>61</v>
      </c>
      <c r="K30" s="819" t="str">
        <f>IF(V33="","",V33)</f>
        <v/>
      </c>
      <c r="L30" s="819"/>
      <c r="M30" s="69"/>
      <c r="O30" s="30"/>
      <c r="Q30" s="35" t="s">
        <v>43</v>
      </c>
      <c r="R30" s="46" t="str">
        <f>IF(S30&lt;&gt;"",S30,IF(AB34="","",AB34))</f>
        <v/>
      </c>
      <c r="S30" s="47"/>
      <c r="Y30" s="32"/>
      <c r="AA30" s="35" t="s">
        <v>41</v>
      </c>
      <c r="AB30" s="65"/>
      <c r="AC30" s="49" t="str">
        <f t="shared" si="4"/>
        <v/>
      </c>
      <c r="AD30" s="66" t="str">
        <f>IF(R25="","",R25)</f>
        <v/>
      </c>
      <c r="AH30" s="598">
        <v>28</v>
      </c>
      <c r="AI30" s="16">
        <v>50</v>
      </c>
      <c r="AJ30" s="70">
        <v>0</v>
      </c>
      <c r="AK30" s="16" t="str">
        <f t="shared" si="1"/>
        <v/>
      </c>
      <c r="AL30" s="16" t="str">
        <f t="shared" si="2"/>
        <v/>
      </c>
      <c r="AM30" s="16"/>
      <c r="AN30" s="16"/>
      <c r="AO30" s="16"/>
      <c r="AP30" s="16"/>
      <c r="AQ30" s="599"/>
    </row>
    <row r="31" spans="1:43" ht="14.1" customHeight="1" thickBot="1">
      <c r="A31" s="17">
        <v>31</v>
      </c>
      <c r="B31" s="80"/>
      <c r="C31" s="81"/>
      <c r="D31" s="81"/>
      <c r="E31" s="81"/>
      <c r="F31" s="81"/>
      <c r="G31" s="81"/>
      <c r="H31" s="81"/>
      <c r="I31" s="81"/>
      <c r="J31" s="81"/>
      <c r="K31" s="81"/>
      <c r="L31" s="81"/>
      <c r="M31" s="82"/>
      <c r="O31" s="30"/>
      <c r="Q31" s="35" t="s">
        <v>44</v>
      </c>
      <c r="R31" s="46" t="str">
        <f>IF(S31&lt;&gt;"",S31,IF(AB35="","",AB35))</f>
        <v/>
      </c>
      <c r="S31" s="47"/>
      <c r="U31" s="75" t="s">
        <v>59</v>
      </c>
      <c r="Y31" s="32"/>
      <c r="AA31" s="35" t="s">
        <v>43</v>
      </c>
      <c r="AB31" s="65"/>
      <c r="AC31" s="49" t="str">
        <f t="shared" si="4"/>
        <v/>
      </c>
      <c r="AD31" s="66" t="str">
        <f>IF(R26="","",R26)</f>
        <v/>
      </c>
      <c r="AH31" s="602">
        <v>28</v>
      </c>
      <c r="AI31" s="603">
        <v>50</v>
      </c>
      <c r="AJ31" s="604">
        <v>0</v>
      </c>
      <c r="AK31" s="603" t="str">
        <f t="shared" si="1"/>
        <v/>
      </c>
      <c r="AL31" s="603" t="str">
        <f t="shared" si="2"/>
        <v/>
      </c>
      <c r="AM31" s="603"/>
      <c r="AN31" s="603"/>
      <c r="AO31" s="603"/>
      <c r="AP31" s="603"/>
      <c r="AQ31" s="605"/>
    </row>
    <row r="32" spans="1:43" ht="14.1" customHeight="1" thickTop="1">
      <c r="A32" s="17">
        <v>32</v>
      </c>
      <c r="O32" s="30"/>
      <c r="U32" s="35" t="s">
        <v>60</v>
      </c>
      <c r="V32" s="46" t="str">
        <f>IF(W32&lt;&gt;"",W32,IF(AB45="","",AB45))</f>
        <v/>
      </c>
      <c r="W32" s="47"/>
      <c r="Y32" s="32"/>
      <c r="AA32" s="35" t="s">
        <v>44</v>
      </c>
      <c r="AB32" s="65"/>
      <c r="AC32" s="49" t="str">
        <f t="shared" si="4"/>
        <v/>
      </c>
      <c r="AD32" s="66" t="str">
        <f>IF(R27="","",R27)</f>
        <v/>
      </c>
      <c r="AH32" s="602">
        <v>28</v>
      </c>
      <c r="AI32" s="603">
        <v>50</v>
      </c>
      <c r="AJ32" s="604">
        <v>0.3</v>
      </c>
      <c r="AK32" s="603" t="str">
        <f t="shared" si="1"/>
        <v/>
      </c>
      <c r="AL32" s="603" t="str">
        <f t="shared" si="2"/>
        <v/>
      </c>
      <c r="AM32" s="603"/>
      <c r="AN32" s="603"/>
      <c r="AO32" s="603"/>
      <c r="AP32" s="603"/>
      <c r="AQ32" s="605"/>
    </row>
    <row r="33" spans="1:43" ht="14.1" customHeight="1" thickBot="1">
      <c r="A33" s="17">
        <v>33</v>
      </c>
      <c r="H33" s="51" t="s">
        <v>62</v>
      </c>
      <c r="O33" s="30"/>
      <c r="U33" s="35" t="s">
        <v>61</v>
      </c>
      <c r="V33" s="46" t="str">
        <f>IF(W33&lt;&gt;"",W33,IF(AB46="","",AB46))</f>
        <v/>
      </c>
      <c r="W33" s="47"/>
      <c r="Y33" s="32"/>
      <c r="AA33" s="35" t="s">
        <v>41</v>
      </c>
      <c r="AB33" s="65"/>
      <c r="AC33" s="49" t="str">
        <f t="shared" si="4"/>
        <v/>
      </c>
      <c r="AD33" s="66" t="str">
        <f>IF(R29="","",R29)</f>
        <v/>
      </c>
      <c r="AH33" s="602">
        <v>28</v>
      </c>
      <c r="AI33" s="603">
        <v>50</v>
      </c>
      <c r="AJ33" s="604">
        <v>0.3</v>
      </c>
      <c r="AK33" s="603" t="str">
        <f t="shared" si="1"/>
        <v/>
      </c>
      <c r="AL33" s="603" t="str">
        <f t="shared" si="2"/>
        <v/>
      </c>
      <c r="AM33" s="603"/>
      <c r="AN33" s="603"/>
      <c r="AO33" s="603"/>
      <c r="AP33" s="603"/>
      <c r="AQ33" s="605"/>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43</v>
      </c>
      <c r="AB34" s="65"/>
      <c r="AC34" s="49" t="str">
        <f t="shared" si="4"/>
        <v/>
      </c>
      <c r="AD34" s="66" t="str">
        <f>IF(R30="","",R30)</f>
        <v/>
      </c>
      <c r="AH34" s="602">
        <v>28</v>
      </c>
      <c r="AI34" s="603">
        <v>50</v>
      </c>
      <c r="AJ34" s="604">
        <v>0.4</v>
      </c>
      <c r="AK34" s="603" t="str">
        <f t="shared" si="1"/>
        <v/>
      </c>
      <c r="AL34" s="603" t="str">
        <f t="shared" si="2"/>
        <v/>
      </c>
      <c r="AM34" s="603"/>
      <c r="AN34" s="603"/>
      <c r="AO34" s="603"/>
      <c r="AP34" s="603"/>
      <c r="AQ34" s="605"/>
    </row>
    <row r="35" spans="1:43" ht="14.1" customHeight="1" thickBot="1">
      <c r="A35" s="17">
        <v>35</v>
      </c>
      <c r="B35" s="67"/>
      <c r="C35" s="83" t="s">
        <v>63</v>
      </c>
      <c r="D35" s="828" t="s">
        <v>64</v>
      </c>
      <c r="E35" s="828"/>
      <c r="F35" s="828"/>
      <c r="G35" s="828" t="s">
        <v>65</v>
      </c>
      <c r="H35" s="828"/>
      <c r="I35" s="828"/>
      <c r="J35" s="828" t="s">
        <v>66</v>
      </c>
      <c r="K35" s="828"/>
      <c r="L35" s="828"/>
      <c r="M35" s="69"/>
      <c r="O35" s="40"/>
      <c r="P35" s="41"/>
      <c r="Q35" s="41"/>
      <c r="R35" s="41"/>
      <c r="S35" s="41"/>
      <c r="T35" s="41"/>
      <c r="U35" s="41"/>
      <c r="V35" s="41"/>
      <c r="W35" s="41"/>
      <c r="X35" s="41"/>
      <c r="Y35" s="42"/>
      <c r="AA35" s="35" t="s">
        <v>44</v>
      </c>
      <c r="AB35" s="65"/>
      <c r="AC35" s="49" t="str">
        <f t="shared" si="4"/>
        <v/>
      </c>
      <c r="AD35" s="66" t="str">
        <f>IF(R31="","",R31)</f>
        <v/>
      </c>
      <c r="AH35" s="602">
        <v>28</v>
      </c>
      <c r="AI35" s="603">
        <v>50</v>
      </c>
      <c r="AJ35" s="604">
        <v>0.4</v>
      </c>
      <c r="AK35" s="603" t="str">
        <f t="shared" si="1"/>
        <v/>
      </c>
      <c r="AL35" s="603" t="str">
        <f t="shared" si="2"/>
        <v/>
      </c>
      <c r="AM35" s="603"/>
      <c r="AN35" s="603"/>
      <c r="AO35" s="603"/>
      <c r="AP35" s="603"/>
      <c r="AQ35" s="605"/>
    </row>
    <row r="36" spans="1:43" ht="14.1" customHeight="1">
      <c r="A36" s="17">
        <v>36</v>
      </c>
      <c r="B36" s="67"/>
      <c r="C36" s="84" t="s">
        <v>67</v>
      </c>
      <c r="D36" s="587"/>
      <c r="E36" s="588"/>
      <c r="F36" s="593"/>
      <c r="G36" s="829" t="s">
        <v>68</v>
      </c>
      <c r="H36" s="829"/>
      <c r="I36" s="829"/>
      <c r="J36" s="587"/>
      <c r="K36" s="588"/>
      <c r="L36" s="593"/>
      <c r="M36" s="69"/>
      <c r="AA36" s="35" t="s">
        <v>57</v>
      </c>
      <c r="AB36" s="65"/>
      <c r="AC36" s="49" t="str">
        <f t="shared" si="4"/>
        <v/>
      </c>
      <c r="AD36" s="66" t="str">
        <f>IF(V28="","",V28)</f>
        <v/>
      </c>
      <c r="AH36" s="602">
        <v>28</v>
      </c>
      <c r="AI36" s="603">
        <v>50</v>
      </c>
      <c r="AJ36" s="604">
        <v>0.5</v>
      </c>
      <c r="AK36" s="603" t="str">
        <f t="shared" si="1"/>
        <v/>
      </c>
      <c r="AL36" s="603" t="str">
        <f t="shared" si="2"/>
        <v/>
      </c>
      <c r="AM36" s="603"/>
      <c r="AN36" s="603"/>
      <c r="AO36" s="603"/>
      <c r="AP36" s="603"/>
      <c r="AQ36" s="605"/>
    </row>
    <row r="37" spans="1:43" ht="14.1" customHeight="1" thickBot="1">
      <c r="A37" s="17">
        <v>37</v>
      </c>
      <c r="B37" s="67"/>
      <c r="C37" s="84" t="s">
        <v>69</v>
      </c>
      <c r="D37" s="85" t="s">
        <v>70</v>
      </c>
      <c r="E37" s="86" t="s">
        <v>24</v>
      </c>
      <c r="F37" s="87" t="s">
        <v>71</v>
      </c>
      <c r="G37" s="85" t="s">
        <v>70</v>
      </c>
      <c r="H37" s="86" t="s">
        <v>24</v>
      </c>
      <c r="I37" s="87" t="s">
        <v>71</v>
      </c>
      <c r="J37" s="85" t="s">
        <v>70</v>
      </c>
      <c r="K37" s="86" t="s">
        <v>24</v>
      </c>
      <c r="L37" s="87" t="s">
        <v>71</v>
      </c>
      <c r="M37" s="69"/>
      <c r="T37" s="259" t="s">
        <v>72</v>
      </c>
      <c r="AA37" s="35" t="s">
        <v>58</v>
      </c>
      <c r="AB37" s="65"/>
      <c r="AC37" s="49" t="str">
        <f t="shared" si="4"/>
        <v/>
      </c>
      <c r="AD37" s="66" t="str">
        <f>IF(V29="","",V29)</f>
        <v/>
      </c>
      <c r="AH37" s="602">
        <v>28</v>
      </c>
      <c r="AI37" s="603">
        <v>50</v>
      </c>
      <c r="AJ37" s="604">
        <v>0.5</v>
      </c>
      <c r="AK37" s="603" t="str">
        <f t="shared" si="1"/>
        <v/>
      </c>
      <c r="AL37" s="603" t="str">
        <f t="shared" si="2"/>
        <v/>
      </c>
      <c r="AM37" s="603"/>
      <c r="AN37" s="603"/>
      <c r="AO37" s="603"/>
      <c r="AP37" s="603"/>
      <c r="AQ37" s="605"/>
    </row>
    <row r="38" spans="1:43" ht="14.1" customHeight="1" thickTop="1">
      <c r="A38" s="17">
        <v>38</v>
      </c>
      <c r="B38" s="67"/>
      <c r="C38" s="88" t="s">
        <v>73</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74</v>
      </c>
      <c r="P38" s="23"/>
      <c r="Q38" s="23"/>
      <c r="R38" s="23"/>
      <c r="S38" s="23"/>
      <c r="T38" s="23"/>
      <c r="U38" s="23"/>
      <c r="V38" s="23"/>
      <c r="W38" s="23"/>
      <c r="X38" s="23"/>
      <c r="Y38" s="24"/>
      <c r="AA38" s="35" t="s">
        <v>75</v>
      </c>
      <c r="AB38" s="65"/>
      <c r="AC38" s="49" t="str">
        <f t="shared" si="4"/>
        <v/>
      </c>
      <c r="AD38" s="66" t="str">
        <f>IF(V21="","",V21)</f>
        <v/>
      </c>
      <c r="AH38" s="598">
        <v>28</v>
      </c>
      <c r="AI38" s="16">
        <v>100</v>
      </c>
      <c r="AJ38" s="70">
        <v>0</v>
      </c>
      <c r="AK38" s="16" t="str">
        <f t="shared" si="1"/>
        <v/>
      </c>
      <c r="AL38" s="16" t="str">
        <f t="shared" si="2"/>
        <v/>
      </c>
      <c r="AM38" s="16"/>
      <c r="AN38" s="16"/>
      <c r="AO38" s="16"/>
      <c r="AP38" s="16"/>
      <c r="AQ38" s="599"/>
    </row>
    <row r="39" spans="1:43" ht="14.1" customHeight="1">
      <c r="A39" s="17">
        <v>39</v>
      </c>
      <c r="B39" s="67"/>
      <c r="C39" s="93" t="s">
        <v>76</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77</v>
      </c>
      <c r="Y39" s="32"/>
      <c r="AA39" s="35" t="s">
        <v>78</v>
      </c>
      <c r="AB39" s="65"/>
      <c r="AC39" s="49" t="str">
        <f t="shared" si="4"/>
        <v/>
      </c>
      <c r="AD39" s="66" t="str">
        <f>IF(V22="","",V22)</f>
        <v/>
      </c>
      <c r="AH39" s="598">
        <v>28</v>
      </c>
      <c r="AI39" s="16">
        <v>320</v>
      </c>
      <c r="AJ39" s="70">
        <v>0</v>
      </c>
      <c r="AK39" s="16" t="str">
        <f t="shared" si="1"/>
        <v/>
      </c>
      <c r="AL39" s="16" t="str">
        <f t="shared" si="2"/>
        <v/>
      </c>
      <c r="AM39" s="16"/>
      <c r="AN39" s="16"/>
      <c r="AO39" s="16"/>
      <c r="AP39" s="16"/>
      <c r="AQ39" s="599"/>
    </row>
    <row r="40" spans="1:43" ht="14.1" customHeight="1">
      <c r="A40" s="17">
        <v>40</v>
      </c>
      <c r="B40" s="67"/>
      <c r="C40" s="93" t="s">
        <v>79</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80</v>
      </c>
      <c r="Y40" s="32"/>
      <c r="AA40" s="35" t="s">
        <v>81</v>
      </c>
      <c r="AB40" s="65"/>
      <c r="AC40" s="49" t="str">
        <f t="shared" si="4"/>
        <v/>
      </c>
      <c r="AD40" s="66" t="str">
        <f>IF(V24="","",V24)</f>
        <v/>
      </c>
      <c r="AH40" s="598">
        <v>30</v>
      </c>
      <c r="AI40" s="16">
        <v>50</v>
      </c>
      <c r="AJ40" s="70">
        <v>0</v>
      </c>
      <c r="AK40" s="16" t="str">
        <f t="shared" si="1"/>
        <v/>
      </c>
      <c r="AL40" s="16" t="str">
        <f t="shared" si="2"/>
        <v/>
      </c>
      <c r="AM40" s="16"/>
      <c r="AN40" s="16"/>
      <c r="AO40" s="16"/>
      <c r="AP40" s="16"/>
      <c r="AQ40" s="599"/>
    </row>
    <row r="41" spans="1:43" ht="14.1" customHeight="1" thickBot="1">
      <c r="A41" s="17">
        <v>41</v>
      </c>
      <c r="B41" s="67"/>
      <c r="C41" s="97" t="s">
        <v>82</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83</v>
      </c>
      <c r="Y41" s="32"/>
      <c r="AA41" s="35" t="s">
        <v>84</v>
      </c>
      <c r="AB41" s="65"/>
      <c r="AC41" s="49" t="str">
        <f t="shared" si="4"/>
        <v/>
      </c>
      <c r="AD41" s="66" t="str">
        <f>IF(V25="","",V25)</f>
        <v/>
      </c>
      <c r="AH41" s="598">
        <v>32</v>
      </c>
      <c r="AI41" s="16">
        <v>50</v>
      </c>
      <c r="AJ41" s="70">
        <v>0</v>
      </c>
      <c r="AK41" s="16" t="str">
        <f t="shared" si="1"/>
        <v/>
      </c>
      <c r="AL41" s="16" t="str">
        <f t="shared" si="2"/>
        <v/>
      </c>
      <c r="AM41" s="16"/>
      <c r="AN41" s="16"/>
      <c r="AO41" s="16"/>
      <c r="AP41" s="16"/>
      <c r="AQ41" s="599"/>
    </row>
    <row r="42" spans="1:43" ht="14.1" customHeight="1">
      <c r="A42" s="17">
        <v>42</v>
      </c>
      <c r="B42" s="67"/>
      <c r="M42" s="69"/>
      <c r="O42" s="96"/>
      <c r="P42" s="36" t="s">
        <v>85</v>
      </c>
      <c r="Y42" s="32"/>
      <c r="AA42" s="35" t="s">
        <v>60</v>
      </c>
      <c r="AB42" s="65"/>
      <c r="AC42" s="49" t="str">
        <f t="shared" si="4"/>
        <v/>
      </c>
      <c r="AD42" s="66" t="str">
        <f>IF(V32="","",V32)</f>
        <v/>
      </c>
      <c r="AH42" s="602">
        <v>32</v>
      </c>
      <c r="AI42" s="603">
        <v>50</v>
      </c>
      <c r="AJ42" s="604">
        <v>0</v>
      </c>
      <c r="AK42" s="603" t="str">
        <f t="shared" si="1"/>
        <v/>
      </c>
      <c r="AL42" s="603" t="str">
        <f t="shared" si="2"/>
        <v/>
      </c>
      <c r="AM42" s="603"/>
      <c r="AN42" s="603"/>
      <c r="AO42" s="603"/>
      <c r="AP42" s="603"/>
      <c r="AQ42" s="605"/>
    </row>
    <row r="43" spans="1:43" ht="14.1" customHeight="1">
      <c r="A43" s="17">
        <v>43</v>
      </c>
      <c r="B43" s="67"/>
      <c r="H43" s="51" t="s">
        <v>72</v>
      </c>
      <c r="M43" s="69"/>
      <c r="O43" s="96"/>
      <c r="P43" s="36" t="s">
        <v>86</v>
      </c>
      <c r="Y43" s="32"/>
      <c r="AA43" s="35" t="s">
        <v>87</v>
      </c>
      <c r="AB43" s="65"/>
      <c r="AC43" s="49" t="str">
        <f t="shared" si="4"/>
        <v/>
      </c>
      <c r="AD43" s="66" t="str">
        <f>IF(V33="","",V33)</f>
        <v/>
      </c>
      <c r="AH43" s="602">
        <v>32</v>
      </c>
      <c r="AI43" s="603">
        <v>50</v>
      </c>
      <c r="AJ43" s="604">
        <v>0.4</v>
      </c>
      <c r="AK43" s="603" t="str">
        <f t="shared" si="1"/>
        <v/>
      </c>
      <c r="AL43" s="603" t="str">
        <f t="shared" si="2"/>
        <v/>
      </c>
      <c r="AM43" s="603"/>
      <c r="AN43" s="603"/>
      <c r="AO43" s="603"/>
      <c r="AP43" s="603"/>
      <c r="AQ43" s="605"/>
    </row>
    <row r="44" spans="1:43" ht="14.1" customHeight="1">
      <c r="A44" s="17">
        <v>44</v>
      </c>
      <c r="B44" s="67"/>
      <c r="C44" s="101" t="s">
        <v>88</v>
      </c>
      <c r="L44" s="830" t="s">
        <v>89</v>
      </c>
      <c r="M44" s="830"/>
      <c r="O44" s="30"/>
      <c r="Y44" s="32"/>
      <c r="AA44" s="75" t="s">
        <v>62</v>
      </c>
      <c r="AH44" s="602">
        <v>32</v>
      </c>
      <c r="AI44" s="603">
        <v>50</v>
      </c>
      <c r="AJ44" s="604">
        <v>0.4</v>
      </c>
      <c r="AK44" s="603" t="str">
        <f t="shared" si="1"/>
        <v/>
      </c>
      <c r="AL44" s="603" t="str">
        <f t="shared" si="2"/>
        <v/>
      </c>
      <c r="AM44" s="603"/>
      <c r="AN44" s="603"/>
      <c r="AO44" s="603"/>
      <c r="AP44" s="603"/>
      <c r="AQ44" s="605"/>
    </row>
    <row r="45" spans="1:43" ht="14.1" customHeight="1">
      <c r="A45" s="17">
        <v>45</v>
      </c>
      <c r="B45" s="67"/>
      <c r="C45" s="102" t="s">
        <v>90</v>
      </c>
      <c r="E45" s="36" t="s">
        <v>77</v>
      </c>
      <c r="L45" s="103" t="str">
        <f>IF(O39="","TBD",IF(O39=1,"YES",IF(O39=3,"NA","")))</f>
        <v>TBD</v>
      </c>
      <c r="M45" s="104" t="str">
        <f>IF(O39=2,"NO","")</f>
        <v/>
      </c>
      <c r="O45" s="96"/>
      <c r="P45" s="21" t="s">
        <v>517</v>
      </c>
      <c r="Y45" s="32"/>
      <c r="AA45" s="43" t="s">
        <v>64</v>
      </c>
      <c r="AH45" s="602">
        <v>32</v>
      </c>
      <c r="AI45" s="603">
        <v>50</v>
      </c>
      <c r="AJ45" s="604">
        <v>0.5</v>
      </c>
      <c r="AK45" s="603" t="str">
        <f t="shared" si="1"/>
        <v/>
      </c>
      <c r="AL45" s="603" t="str">
        <f t="shared" si="2"/>
        <v/>
      </c>
      <c r="AM45" s="603"/>
      <c r="AN45" s="603"/>
      <c r="AO45" s="603"/>
      <c r="AP45" s="603"/>
      <c r="AQ45" s="605"/>
    </row>
    <row r="46" spans="1:43" ht="14.1" customHeight="1">
      <c r="A46" s="17">
        <v>46</v>
      </c>
      <c r="B46" s="67"/>
      <c r="C46" s="102" t="s">
        <v>92</v>
      </c>
      <c r="E46" s="36" t="s">
        <v>80</v>
      </c>
      <c r="L46" s="103" t="str">
        <f>IF(O40="","TBD",IF(O40=1,"YES",IF(O40=3,"NA","")))</f>
        <v>TBD</v>
      </c>
      <c r="M46" s="104" t="str">
        <f>IF(O40=2,"NO","")</f>
        <v/>
      </c>
      <c r="O46" s="96"/>
      <c r="P46" s="21" t="s">
        <v>518</v>
      </c>
      <c r="Y46" s="32"/>
      <c r="AA46" s="35" t="s">
        <v>94</v>
      </c>
      <c r="AB46" s="65"/>
      <c r="AD46" s="66" t="str">
        <f>IF(P124="","",P124)</f>
        <v/>
      </c>
      <c r="AH46" s="602">
        <v>32</v>
      </c>
      <c r="AI46" s="603">
        <v>50</v>
      </c>
      <c r="AJ46" s="604">
        <v>0.5</v>
      </c>
      <c r="AK46" s="603" t="str">
        <f t="shared" si="1"/>
        <v/>
      </c>
      <c r="AL46" s="603" t="str">
        <f t="shared" si="2"/>
        <v/>
      </c>
      <c r="AM46" s="603"/>
      <c r="AN46" s="603"/>
      <c r="AO46" s="603"/>
      <c r="AP46" s="603"/>
      <c r="AQ46" s="605"/>
    </row>
    <row r="47" spans="1:43" ht="14.1" customHeight="1">
      <c r="A47" s="17">
        <v>47</v>
      </c>
      <c r="B47" s="67"/>
      <c r="C47" s="102" t="s">
        <v>95</v>
      </c>
      <c r="E47" s="36" t="s">
        <v>83</v>
      </c>
      <c r="L47" s="103" t="str">
        <f>IF(O41="","TBD",IF(O41=1,"YES",IF(O41=3,"NA","")))</f>
        <v>TBD</v>
      </c>
      <c r="M47" s="104" t="str">
        <f>IF(O41=2,"NO","")</f>
        <v/>
      </c>
      <c r="O47" s="96"/>
      <c r="P47" s="21" t="s">
        <v>519</v>
      </c>
      <c r="Y47" s="32"/>
      <c r="AA47" s="35" t="s">
        <v>97</v>
      </c>
      <c r="AB47" s="65"/>
      <c r="AD47" s="66" t="str">
        <f>IF(Q124="","",Q124)</f>
        <v/>
      </c>
      <c r="AH47" s="602">
        <v>32</v>
      </c>
      <c r="AI47" s="603">
        <v>50</v>
      </c>
      <c r="AJ47" s="604">
        <v>0.6</v>
      </c>
      <c r="AK47" s="603" t="str">
        <f t="shared" si="1"/>
        <v/>
      </c>
      <c r="AL47" s="603" t="str">
        <f t="shared" si="2"/>
        <v/>
      </c>
      <c r="AM47" s="603"/>
      <c r="AN47" s="603"/>
      <c r="AO47" s="603"/>
      <c r="AP47" s="603"/>
      <c r="AQ47" s="605"/>
    </row>
    <row r="48" spans="1:43" ht="14.1" customHeight="1">
      <c r="A48" s="17">
        <v>48</v>
      </c>
      <c r="B48" s="67"/>
      <c r="E48" s="36" t="s">
        <v>85</v>
      </c>
      <c r="L48" s="103" t="str">
        <f>IF(O42="","TBD",IF(O42=1,"YES",IF(O42=3,"NA","")))</f>
        <v>TBD</v>
      </c>
      <c r="M48" s="104" t="str">
        <f>IF(O42=2,"NO","")</f>
        <v/>
      </c>
      <c r="O48" s="96"/>
      <c r="P48" s="21" t="s">
        <v>520</v>
      </c>
      <c r="Y48" s="32"/>
      <c r="AA48" s="35" t="s">
        <v>99</v>
      </c>
      <c r="AB48" s="65"/>
      <c r="AD48" s="66" t="str">
        <f>IF(R124="","",R124)</f>
        <v/>
      </c>
      <c r="AH48" s="602">
        <v>32</v>
      </c>
      <c r="AI48" s="603">
        <v>50</v>
      </c>
      <c r="AJ48" s="604">
        <v>0.6</v>
      </c>
      <c r="AK48" s="603" t="str">
        <f t="shared" si="1"/>
        <v/>
      </c>
      <c r="AL48" s="603" t="str">
        <f t="shared" si="2"/>
        <v/>
      </c>
      <c r="AM48" s="603"/>
      <c r="AN48" s="603"/>
      <c r="AO48" s="603"/>
      <c r="AP48" s="603"/>
      <c r="AQ48" s="605"/>
    </row>
    <row r="49" spans="1:43" ht="14.1" customHeight="1">
      <c r="A49" s="17">
        <v>49</v>
      </c>
      <c r="B49" s="67"/>
      <c r="E49" s="36" t="s">
        <v>86</v>
      </c>
      <c r="L49" s="103" t="str">
        <f>IF(O43="","TBD",IF(O43=1,"YES",IF(O43=3,"NA","")))</f>
        <v>TBD</v>
      </c>
      <c r="M49" s="104" t="str">
        <f>IF(O43=2,"NO","")</f>
        <v/>
      </c>
      <c r="O49" s="96"/>
      <c r="P49" s="21" t="s">
        <v>521</v>
      </c>
      <c r="Y49" s="32"/>
      <c r="AA49" s="35" t="s">
        <v>94</v>
      </c>
      <c r="AB49" s="65"/>
      <c r="AD49" s="66" t="str">
        <f>IF(P125="","",P125)</f>
        <v/>
      </c>
      <c r="AH49" s="598">
        <v>34</v>
      </c>
      <c r="AI49" s="16">
        <v>50</v>
      </c>
      <c r="AJ49" s="70">
        <v>0</v>
      </c>
      <c r="AK49" s="16" t="str">
        <f t="shared" si="1"/>
        <v/>
      </c>
      <c r="AL49" s="16" t="str">
        <f t="shared" si="2"/>
        <v/>
      </c>
      <c r="AM49" s="16"/>
      <c r="AN49" s="16"/>
      <c r="AO49" s="16"/>
      <c r="AP49" s="16"/>
      <c r="AQ49" s="599"/>
    </row>
    <row r="50" spans="1:43" ht="14.1" customHeight="1">
      <c r="A50" s="17">
        <v>50</v>
      </c>
      <c r="B50" s="67"/>
      <c r="H50" s="259" t="s">
        <v>91</v>
      </c>
      <c r="M50" s="69"/>
      <c r="O50" s="96"/>
      <c r="P50" s="21" t="s">
        <v>522</v>
      </c>
      <c r="Y50" s="32"/>
      <c r="AA50" s="35" t="s">
        <v>97</v>
      </c>
      <c r="AB50" s="65"/>
      <c r="AD50" s="66" t="str">
        <f>IF(Q125="","",Q125)</f>
        <v/>
      </c>
      <c r="AH50" s="602">
        <v>34</v>
      </c>
      <c r="AI50" s="603">
        <v>50</v>
      </c>
      <c r="AJ50" s="604">
        <v>0</v>
      </c>
      <c r="AK50" s="603" t="str">
        <f t="shared" si="1"/>
        <v/>
      </c>
      <c r="AL50" s="603" t="str">
        <f t="shared" si="2"/>
        <v/>
      </c>
      <c r="AM50" s="603"/>
      <c r="AN50" s="603"/>
      <c r="AO50" s="603"/>
      <c r="AP50" s="603"/>
      <c r="AQ50" s="605"/>
    </row>
    <row r="51" spans="1:43" ht="14.1" customHeight="1">
      <c r="A51" s="17">
        <v>51</v>
      </c>
      <c r="B51" s="67"/>
      <c r="E51" s="68" t="s">
        <v>93</v>
      </c>
      <c r="L51" s="103" t="str">
        <f t="shared" ref="L51:L63" si="6">IF(O64="","TBD",IF(O64=1,"YES",IF(O64=3,"NA","")))</f>
        <v>TBD</v>
      </c>
      <c r="M51" s="104" t="str">
        <f t="shared" ref="M51:M63" si="7">IF(O64=2,"NO","")</f>
        <v/>
      </c>
      <c r="O51" s="96"/>
      <c r="P51" s="21" t="s">
        <v>523</v>
      </c>
      <c r="Y51" s="32"/>
      <c r="AA51" s="35" t="s">
        <v>99</v>
      </c>
      <c r="AB51" s="65"/>
      <c r="AD51" s="66" t="str">
        <f>IF(R125="","",R125)</f>
        <v/>
      </c>
      <c r="AH51" s="602">
        <v>34</v>
      </c>
      <c r="AI51" s="603">
        <v>50</v>
      </c>
      <c r="AJ51" s="604">
        <v>0.4</v>
      </c>
      <c r="AK51" s="603" t="str">
        <f t="shared" si="1"/>
        <v/>
      </c>
      <c r="AL51" s="603" t="str">
        <f t="shared" si="2"/>
        <v/>
      </c>
      <c r="AM51" s="603"/>
      <c r="AN51" s="603"/>
      <c r="AO51" s="603"/>
      <c r="AP51" s="603"/>
      <c r="AQ51" s="605"/>
    </row>
    <row r="52" spans="1:43" ht="14.1" customHeight="1">
      <c r="A52" s="17">
        <v>52</v>
      </c>
      <c r="B52" s="67"/>
      <c r="E52" s="68" t="s">
        <v>96</v>
      </c>
      <c r="L52" s="103" t="str">
        <f t="shared" si="6"/>
        <v>TBD</v>
      </c>
      <c r="M52" s="104" t="str">
        <f t="shared" si="7"/>
        <v/>
      </c>
      <c r="O52" s="96"/>
      <c r="P52" s="21" t="s">
        <v>524</v>
      </c>
      <c r="Y52" s="32"/>
      <c r="AA52" s="35" t="s">
        <v>94</v>
      </c>
      <c r="AB52" s="65"/>
      <c r="AD52" s="66" t="str">
        <f>IF(P126="","",P126)</f>
        <v/>
      </c>
      <c r="AH52" s="602">
        <v>34</v>
      </c>
      <c r="AI52" s="603">
        <v>50</v>
      </c>
      <c r="AJ52" s="604">
        <v>0.4</v>
      </c>
      <c r="AK52" s="603" t="str">
        <f t="shared" si="1"/>
        <v/>
      </c>
      <c r="AL52" s="603" t="str">
        <f t="shared" si="2"/>
        <v/>
      </c>
      <c r="AM52" s="603"/>
      <c r="AN52" s="603"/>
      <c r="AO52" s="603"/>
      <c r="AP52" s="603"/>
      <c r="AQ52" s="605"/>
    </row>
    <row r="53" spans="1:43" ht="14.1" customHeight="1">
      <c r="A53" s="17">
        <v>53</v>
      </c>
      <c r="B53" s="67"/>
      <c r="E53" s="68" t="s">
        <v>98</v>
      </c>
      <c r="L53" s="103" t="str">
        <f t="shared" si="6"/>
        <v>TBD</v>
      </c>
      <c r="M53" s="104" t="str">
        <f t="shared" si="7"/>
        <v/>
      </c>
      <c r="O53" s="96"/>
      <c r="P53" s="21" t="s">
        <v>525</v>
      </c>
      <c r="Y53" s="32"/>
      <c r="AA53" s="35" t="s">
        <v>97</v>
      </c>
      <c r="AB53" s="65"/>
      <c r="AD53" s="66" t="str">
        <f>IF(Q126="","",Q126)</f>
        <v/>
      </c>
      <c r="AH53" s="602">
        <v>34</v>
      </c>
      <c r="AI53" s="603">
        <v>50</v>
      </c>
      <c r="AJ53" s="604">
        <v>0.5</v>
      </c>
      <c r="AK53" s="603" t="str">
        <f t="shared" si="1"/>
        <v/>
      </c>
      <c r="AL53" s="603" t="str">
        <f t="shared" si="2"/>
        <v/>
      </c>
      <c r="AM53" s="603"/>
      <c r="AN53" s="603"/>
      <c r="AO53" s="603"/>
      <c r="AP53" s="603"/>
      <c r="AQ53" s="605"/>
    </row>
    <row r="54" spans="1:43" ht="14.1" customHeight="1">
      <c r="A54" s="17">
        <v>54</v>
      </c>
      <c r="B54" s="67"/>
      <c r="E54" s="68" t="s">
        <v>100</v>
      </c>
      <c r="L54" s="103" t="str">
        <f t="shared" si="6"/>
        <v>TBD</v>
      </c>
      <c r="M54" s="104" t="str">
        <f t="shared" si="7"/>
        <v/>
      </c>
      <c r="O54" s="96"/>
      <c r="P54" s="21" t="s">
        <v>526</v>
      </c>
      <c r="Y54" s="32"/>
      <c r="AA54" s="35" t="s">
        <v>99</v>
      </c>
      <c r="AB54" s="65"/>
      <c r="AD54" s="66" t="str">
        <f>IF(R126="","",R126)</f>
        <v/>
      </c>
      <c r="AH54" s="602">
        <v>34</v>
      </c>
      <c r="AI54" s="603">
        <v>50</v>
      </c>
      <c r="AJ54" s="604">
        <v>0.5</v>
      </c>
      <c r="AK54" s="603" t="str">
        <f t="shared" si="1"/>
        <v/>
      </c>
      <c r="AL54" s="603" t="str">
        <f t="shared" si="2"/>
        <v/>
      </c>
      <c r="AM54" s="603"/>
      <c r="AN54" s="603"/>
      <c r="AO54" s="603"/>
      <c r="AP54" s="603"/>
      <c r="AQ54" s="605"/>
    </row>
    <row r="55" spans="1:43" ht="14.1" customHeight="1">
      <c r="A55" s="17">
        <v>55</v>
      </c>
      <c r="B55" s="67"/>
      <c r="E55" s="68" t="s">
        <v>101</v>
      </c>
      <c r="L55" s="103" t="str">
        <f t="shared" si="6"/>
        <v>TBD</v>
      </c>
      <c r="M55" s="104" t="str">
        <f t="shared" si="7"/>
        <v/>
      </c>
      <c r="O55" s="96"/>
      <c r="P55" s="21" t="s">
        <v>527</v>
      </c>
      <c r="Y55" s="32"/>
      <c r="AA55" s="35" t="s">
        <v>94</v>
      </c>
      <c r="AB55" s="65"/>
      <c r="AD55" s="66" t="str">
        <f>IF(P127="","",P127)</f>
        <v/>
      </c>
      <c r="AH55" s="602">
        <v>34</v>
      </c>
      <c r="AI55" s="603">
        <v>50</v>
      </c>
      <c r="AJ55" s="604">
        <v>0.6</v>
      </c>
      <c r="AK55" s="603" t="str">
        <f t="shared" si="1"/>
        <v/>
      </c>
      <c r="AL55" s="603" t="str">
        <f t="shared" si="2"/>
        <v/>
      </c>
      <c r="AM55" s="603"/>
      <c r="AN55" s="603"/>
      <c r="AO55" s="603"/>
      <c r="AP55" s="603"/>
      <c r="AQ55" s="605"/>
    </row>
    <row r="56" spans="1:43" ht="14.1" customHeight="1" thickBot="1">
      <c r="A56" s="17">
        <v>56</v>
      </c>
      <c r="B56" s="67"/>
      <c r="E56" s="68" t="s">
        <v>102</v>
      </c>
      <c r="L56" s="103" t="str">
        <f t="shared" si="6"/>
        <v>TBD</v>
      </c>
      <c r="M56" s="104" t="str">
        <f t="shared" si="7"/>
        <v/>
      </c>
      <c r="O56" s="96"/>
      <c r="P56" s="21" t="s">
        <v>528</v>
      </c>
      <c r="Y56" s="32"/>
      <c r="AA56" s="35" t="s">
        <v>97</v>
      </c>
      <c r="AB56" s="65"/>
      <c r="AD56" s="66"/>
      <c r="AH56" s="606">
        <v>34</v>
      </c>
      <c r="AI56" s="607">
        <v>50</v>
      </c>
      <c r="AJ56" s="608">
        <v>0.6</v>
      </c>
      <c r="AK56" s="607" t="str">
        <f t="shared" si="1"/>
        <v/>
      </c>
      <c r="AL56" s="607" t="str">
        <f t="shared" si="2"/>
        <v/>
      </c>
      <c r="AM56" s="607"/>
      <c r="AN56" s="607"/>
      <c r="AO56" s="607"/>
      <c r="AP56" s="607"/>
      <c r="AQ56" s="609"/>
    </row>
    <row r="57" spans="1:43" ht="14.1" customHeight="1">
      <c r="A57" s="17">
        <v>57</v>
      </c>
      <c r="B57" s="67"/>
      <c r="E57" s="68" t="s">
        <v>108</v>
      </c>
      <c r="L57" s="103" t="str">
        <f t="shared" si="6"/>
        <v>TBD</v>
      </c>
      <c r="M57" s="104" t="str">
        <f t="shared" si="7"/>
        <v/>
      </c>
      <c r="O57" s="96"/>
      <c r="P57" s="21" t="s">
        <v>529</v>
      </c>
      <c r="Y57" s="32"/>
      <c r="AA57" s="35" t="s">
        <v>99</v>
      </c>
      <c r="AB57" s="65"/>
      <c r="AD57" s="66"/>
      <c r="AH57" s="596">
        <v>28</v>
      </c>
      <c r="AI57" s="594">
        <v>50</v>
      </c>
      <c r="AJ57" s="210">
        <v>0</v>
      </c>
      <c r="AK57" s="594" t="str">
        <f t="shared" si="1"/>
        <v/>
      </c>
      <c r="AL57" s="594" t="str">
        <f>IF($V$25="","",$V$25)</f>
        <v/>
      </c>
      <c r="AM57" s="594"/>
      <c r="AN57" s="594"/>
      <c r="AO57" s="594"/>
      <c r="AP57" s="594"/>
      <c r="AQ57" s="597"/>
    </row>
    <row r="58" spans="1:43" ht="14.1" customHeight="1">
      <c r="A58" s="17">
        <v>58</v>
      </c>
      <c r="B58" s="67"/>
      <c r="E58" s="68" t="s">
        <v>104</v>
      </c>
      <c r="L58" s="103" t="str">
        <f t="shared" si="6"/>
        <v>TBD</v>
      </c>
      <c r="M58" s="104" t="str">
        <f t="shared" si="7"/>
        <v/>
      </c>
      <c r="O58" s="96"/>
      <c r="P58" s="21" t="s">
        <v>530</v>
      </c>
      <c r="Y58" s="32"/>
      <c r="AA58" s="43" t="s">
        <v>111</v>
      </c>
      <c r="AH58" s="613">
        <v>28</v>
      </c>
      <c r="AI58" s="614">
        <v>50</v>
      </c>
      <c r="AJ58" s="615">
        <v>0</v>
      </c>
      <c r="AK58" s="614" t="str">
        <f t="shared" si="1"/>
        <v/>
      </c>
      <c r="AL58" s="614" t="str">
        <f t="shared" ref="AL58:AL90" si="8">IF($V$25="","",$V$25)</f>
        <v/>
      </c>
      <c r="AM58" s="614"/>
      <c r="AN58" s="614"/>
      <c r="AO58" s="614"/>
      <c r="AP58" s="614"/>
      <c r="AQ58" s="616"/>
    </row>
    <row r="59" spans="1:43" ht="14.1" customHeight="1">
      <c r="A59" s="17">
        <v>59</v>
      </c>
      <c r="B59" s="67"/>
      <c r="E59" s="68" t="s">
        <v>105</v>
      </c>
      <c r="L59" s="103" t="str">
        <f t="shared" si="6"/>
        <v>TBD</v>
      </c>
      <c r="M59" s="104" t="str">
        <f t="shared" si="7"/>
        <v/>
      </c>
      <c r="O59" s="96"/>
      <c r="P59" s="21" t="s">
        <v>531</v>
      </c>
      <c r="Y59" s="32"/>
      <c r="AA59" s="35" t="s">
        <v>94</v>
      </c>
      <c r="AB59" s="65"/>
      <c r="AD59" s="66" t="str">
        <f>IF(S124="","",S124)</f>
        <v/>
      </c>
      <c r="AH59" s="613">
        <v>28</v>
      </c>
      <c r="AI59" s="614">
        <v>50</v>
      </c>
      <c r="AJ59" s="615">
        <v>0.4</v>
      </c>
      <c r="AK59" s="614" t="str">
        <f t="shared" si="1"/>
        <v/>
      </c>
      <c r="AL59" s="614" t="str">
        <f t="shared" si="8"/>
        <v/>
      </c>
      <c r="AM59" s="614"/>
      <c r="AN59" s="614"/>
      <c r="AO59" s="614"/>
      <c r="AP59" s="614"/>
      <c r="AQ59" s="616"/>
    </row>
    <row r="60" spans="1:43" ht="14.1" customHeight="1">
      <c r="A60" s="17">
        <v>60</v>
      </c>
      <c r="B60" s="67"/>
      <c r="E60" s="68" t="s">
        <v>106</v>
      </c>
      <c r="L60" s="103" t="str">
        <f t="shared" si="6"/>
        <v>TBD</v>
      </c>
      <c r="M60" s="104" t="str">
        <f t="shared" si="7"/>
        <v/>
      </c>
      <c r="O60" s="96"/>
      <c r="P60" s="21" t="s">
        <v>532</v>
      </c>
      <c r="Y60" s="32"/>
      <c r="AA60" s="35" t="s">
        <v>97</v>
      </c>
      <c r="AB60" s="65"/>
      <c r="AD60" s="66" t="str">
        <f>IF(T124="","",T124)</f>
        <v/>
      </c>
      <c r="AH60" s="613">
        <v>28</v>
      </c>
      <c r="AI60" s="614">
        <v>50</v>
      </c>
      <c r="AJ60" s="615">
        <v>0.4</v>
      </c>
      <c r="AK60" s="614" t="str">
        <f t="shared" si="1"/>
        <v/>
      </c>
      <c r="AL60" s="614" t="str">
        <f t="shared" si="8"/>
        <v/>
      </c>
      <c r="AM60" s="614"/>
      <c r="AN60" s="614"/>
      <c r="AO60" s="614"/>
      <c r="AP60" s="614"/>
      <c r="AQ60" s="616"/>
    </row>
    <row r="61" spans="1:43" ht="14.1" customHeight="1">
      <c r="A61" s="17">
        <v>61</v>
      </c>
      <c r="B61" s="67"/>
      <c r="E61" s="68" t="s">
        <v>107</v>
      </c>
      <c r="L61" s="103" t="str">
        <f t="shared" si="6"/>
        <v>TBD</v>
      </c>
      <c r="M61" s="104" t="str">
        <f t="shared" si="7"/>
        <v/>
      </c>
      <c r="O61" s="273" t="str">
        <f>IF(Q149="","",IF(AND(AVERAGE(Q149:Q152)&gt;=3.5,AVERAGE(Q149:Q152)&lt;=4.3),1,2))</f>
        <v/>
      </c>
      <c r="P61" s="21" t="s">
        <v>659</v>
      </c>
      <c r="Y61" s="32"/>
      <c r="AA61" s="35" t="s">
        <v>99</v>
      </c>
      <c r="AB61" s="65"/>
      <c r="AD61" s="66" t="str">
        <f>IF(U124="","",U124)</f>
        <v/>
      </c>
      <c r="AH61" s="613">
        <v>28</v>
      </c>
      <c r="AI61" s="614">
        <v>50</v>
      </c>
      <c r="AJ61" s="615">
        <v>0.5</v>
      </c>
      <c r="AK61" s="614" t="str">
        <f t="shared" si="1"/>
        <v/>
      </c>
      <c r="AL61" s="614" t="str">
        <f t="shared" si="8"/>
        <v/>
      </c>
      <c r="AM61" s="614"/>
      <c r="AN61" s="614"/>
      <c r="AO61" s="614"/>
      <c r="AP61" s="614"/>
      <c r="AQ61" s="616"/>
    </row>
    <row r="62" spans="1:43" ht="14.1" customHeight="1">
      <c r="A62" s="17">
        <v>62</v>
      </c>
      <c r="B62" s="67"/>
      <c r="E62" s="68" t="s">
        <v>114</v>
      </c>
      <c r="L62" s="103" t="str">
        <f t="shared" si="6"/>
        <v>TBD</v>
      </c>
      <c r="M62" s="104" t="str">
        <f t="shared" si="7"/>
        <v/>
      </c>
      <c r="O62" s="30"/>
      <c r="Y62" s="32"/>
      <c r="AA62" s="35" t="s">
        <v>94</v>
      </c>
      <c r="AB62" s="65"/>
      <c r="AD62" s="66" t="str">
        <f>IF(S125="","",S125)</f>
        <v/>
      </c>
      <c r="AH62" s="613">
        <v>28</v>
      </c>
      <c r="AI62" s="614">
        <v>50</v>
      </c>
      <c r="AJ62" s="615">
        <v>0.5</v>
      </c>
      <c r="AK62" s="614" t="str">
        <f t="shared" si="1"/>
        <v/>
      </c>
      <c r="AL62" s="614" t="str">
        <f t="shared" si="8"/>
        <v/>
      </c>
      <c r="AM62" s="614"/>
      <c r="AN62" s="614"/>
      <c r="AO62" s="614"/>
      <c r="AP62" s="614"/>
      <c r="AQ62" s="616"/>
    </row>
    <row r="63" spans="1:43" ht="14.1" customHeight="1">
      <c r="A63" s="17">
        <v>63</v>
      </c>
      <c r="B63" s="67"/>
      <c r="E63" s="21" t="s">
        <v>116</v>
      </c>
      <c r="L63" s="103" t="str">
        <f t="shared" si="6"/>
        <v>TBD</v>
      </c>
      <c r="M63" s="104" t="str">
        <f t="shared" si="7"/>
        <v/>
      </c>
      <c r="O63" s="30"/>
      <c r="T63" s="259" t="s">
        <v>91</v>
      </c>
      <c r="Y63" s="32"/>
      <c r="AA63" s="35" t="s">
        <v>97</v>
      </c>
      <c r="AB63" s="65"/>
      <c r="AD63" s="66" t="str">
        <f>IF(T125="","",T125)</f>
        <v/>
      </c>
      <c r="AH63" s="613">
        <v>28</v>
      </c>
      <c r="AI63" s="614">
        <v>50</v>
      </c>
      <c r="AJ63" s="615">
        <v>0.6</v>
      </c>
      <c r="AK63" s="614" t="str">
        <f t="shared" si="1"/>
        <v/>
      </c>
      <c r="AL63" s="614" t="str">
        <f t="shared" si="8"/>
        <v/>
      </c>
      <c r="AM63" s="614"/>
      <c r="AN63" s="614"/>
      <c r="AO63" s="614"/>
      <c r="AP63" s="614"/>
      <c r="AQ63" s="617"/>
    </row>
    <row r="64" spans="1:43" ht="14.1" customHeight="1">
      <c r="A64" s="17">
        <v>64</v>
      </c>
      <c r="B64" s="67"/>
      <c r="C64" s="68"/>
      <c r="D64" s="68"/>
      <c r="E64" s="68"/>
      <c r="F64" s="68"/>
      <c r="G64" s="68"/>
      <c r="H64" s="68"/>
      <c r="I64" s="68"/>
      <c r="J64" s="68"/>
      <c r="K64" s="68"/>
      <c r="L64" s="68"/>
      <c r="M64" s="69"/>
      <c r="O64" s="96"/>
      <c r="P64" s="68" t="s">
        <v>93</v>
      </c>
      <c r="Y64" s="32"/>
      <c r="AA64" s="35" t="s">
        <v>99</v>
      </c>
      <c r="AB64" s="65"/>
      <c r="AD64" s="66" t="str">
        <f>IF(U125="","",U125)</f>
        <v/>
      </c>
      <c r="AH64" s="613">
        <v>28</v>
      </c>
      <c r="AI64" s="614">
        <v>50</v>
      </c>
      <c r="AJ64" s="615">
        <v>0.6</v>
      </c>
      <c r="AK64" s="614" t="str">
        <f t="shared" si="1"/>
        <v/>
      </c>
      <c r="AL64" s="614" t="str">
        <f t="shared" si="8"/>
        <v/>
      </c>
      <c r="AM64" s="614"/>
      <c r="AN64" s="614"/>
      <c r="AO64" s="614"/>
      <c r="AP64" s="614"/>
      <c r="AQ64" s="617"/>
    </row>
    <row r="65" spans="1:43" ht="14.1" customHeight="1">
      <c r="A65" s="17">
        <v>65</v>
      </c>
      <c r="B65" s="67"/>
      <c r="C65" s="68"/>
      <c r="D65" s="68"/>
      <c r="E65" s="68"/>
      <c r="F65" s="68"/>
      <c r="G65" s="68"/>
      <c r="H65" s="68"/>
      <c r="I65" s="68"/>
      <c r="J65" s="68"/>
      <c r="K65" s="68"/>
      <c r="L65" s="68"/>
      <c r="M65" s="69"/>
      <c r="O65" s="96"/>
      <c r="P65" s="68" t="s">
        <v>96</v>
      </c>
      <c r="Y65" s="32"/>
      <c r="AA65" s="35" t="s">
        <v>94</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98</v>
      </c>
      <c r="Y66" s="32"/>
      <c r="AA66" s="35" t="s">
        <v>97</v>
      </c>
      <c r="AB66" s="65"/>
      <c r="AD66" s="66" t="str">
        <f>IF(T126="","",T126)</f>
        <v/>
      </c>
      <c r="AH66" s="613">
        <v>30</v>
      </c>
      <c r="AI66" s="614">
        <v>50</v>
      </c>
      <c r="AJ66" s="615">
        <v>0</v>
      </c>
      <c r="AK66" s="614" t="str">
        <f t="shared" si="1"/>
        <v/>
      </c>
      <c r="AL66" s="614" t="str">
        <f t="shared" si="8"/>
        <v/>
      </c>
      <c r="AM66" s="614"/>
      <c r="AN66" s="614"/>
      <c r="AO66" s="614"/>
      <c r="AP66" s="614"/>
      <c r="AQ66" s="617"/>
    </row>
    <row r="67" spans="1:43" ht="14.1" customHeight="1">
      <c r="A67" s="17">
        <v>67</v>
      </c>
      <c r="B67" s="67"/>
      <c r="C67" s="68"/>
      <c r="D67" s="68"/>
      <c r="E67" s="68"/>
      <c r="F67" s="68"/>
      <c r="G67" s="68"/>
      <c r="H67" s="68"/>
      <c r="I67" s="68"/>
      <c r="J67" s="68"/>
      <c r="K67" s="68"/>
      <c r="L67" s="68"/>
      <c r="M67" s="69"/>
      <c r="O67" s="96"/>
      <c r="P67" s="68" t="s">
        <v>100</v>
      </c>
      <c r="Y67" s="32"/>
      <c r="AA67" s="35" t="s">
        <v>99</v>
      </c>
      <c r="AB67" s="65"/>
      <c r="AD67" s="66" t="str">
        <f>IF(U126="","",U126)</f>
        <v/>
      </c>
      <c r="AH67" s="613">
        <v>30</v>
      </c>
      <c r="AI67" s="614">
        <v>50</v>
      </c>
      <c r="AJ67" s="615">
        <v>0.4</v>
      </c>
      <c r="AK67" s="614" t="str">
        <f t="shared" si="1"/>
        <v/>
      </c>
      <c r="AL67" s="614" t="str">
        <f t="shared" si="8"/>
        <v/>
      </c>
      <c r="AM67" s="614"/>
      <c r="AN67" s="614"/>
      <c r="AO67" s="614"/>
      <c r="AP67" s="614"/>
      <c r="AQ67" s="617"/>
    </row>
    <row r="68" spans="1:43" ht="14.1" customHeight="1">
      <c r="A68" s="17">
        <v>68</v>
      </c>
      <c r="B68" s="67"/>
      <c r="C68" s="68"/>
      <c r="D68" s="68"/>
      <c r="E68" s="68"/>
      <c r="F68" s="68"/>
      <c r="G68" s="68"/>
      <c r="H68" s="68"/>
      <c r="I68" s="68"/>
      <c r="J68" s="68"/>
      <c r="K68" s="68"/>
      <c r="L68" s="68"/>
      <c r="M68" s="69"/>
      <c r="O68" s="96"/>
      <c r="P68" s="68" t="s">
        <v>101</v>
      </c>
      <c r="Y68" s="32"/>
      <c r="AA68" s="35" t="s">
        <v>94</v>
      </c>
      <c r="AB68" s="65"/>
      <c r="AD68" s="66" t="str">
        <f>IF(S127="","",S127)</f>
        <v/>
      </c>
      <c r="AH68" s="613">
        <v>30</v>
      </c>
      <c r="AI68" s="614">
        <v>50</v>
      </c>
      <c r="AJ68" s="615">
        <v>0.4</v>
      </c>
      <c r="AK68" s="614" t="str">
        <f t="shared" si="1"/>
        <v/>
      </c>
      <c r="AL68" s="614" t="str">
        <f t="shared" si="8"/>
        <v/>
      </c>
      <c r="AM68" s="614"/>
      <c r="AN68" s="614"/>
      <c r="AO68" s="614"/>
      <c r="AP68" s="614"/>
      <c r="AQ68" s="617"/>
    </row>
    <row r="69" spans="1:43" ht="14.1" customHeight="1">
      <c r="A69" s="17">
        <v>69</v>
      </c>
      <c r="B69" s="67"/>
      <c r="C69" s="68"/>
      <c r="D69" s="68"/>
      <c r="E69" s="68"/>
      <c r="F69" s="68"/>
      <c r="G69" s="68"/>
      <c r="H69" s="68"/>
      <c r="I69" s="68"/>
      <c r="J69" s="68"/>
      <c r="K69" s="68"/>
      <c r="L69" s="68"/>
      <c r="M69" s="69"/>
      <c r="O69" s="96"/>
      <c r="P69" s="68" t="s">
        <v>102</v>
      </c>
      <c r="Y69" s="32"/>
      <c r="AA69" s="35" t="s">
        <v>97</v>
      </c>
      <c r="AB69" s="65"/>
      <c r="AD69" s="66" t="str">
        <f>IF(T127="","",T127)</f>
        <v/>
      </c>
      <c r="AH69" s="613">
        <v>30</v>
      </c>
      <c r="AI69" s="614">
        <v>50</v>
      </c>
      <c r="AJ69" s="615">
        <v>0.5</v>
      </c>
      <c r="AK69" s="614" t="str">
        <f t="shared" si="1"/>
        <v/>
      </c>
      <c r="AL69" s="614" t="str">
        <f t="shared" si="8"/>
        <v/>
      </c>
      <c r="AM69" s="614"/>
      <c r="AN69" s="614"/>
      <c r="AO69" s="614"/>
      <c r="AP69" s="614"/>
      <c r="AQ69" s="617"/>
    </row>
    <row r="70" spans="1:43" ht="14.1" customHeight="1" thickBot="1">
      <c r="A70" s="17">
        <v>70</v>
      </c>
      <c r="B70" s="80"/>
      <c r="C70" s="81"/>
      <c r="D70" s="81"/>
      <c r="E70" s="81"/>
      <c r="F70" s="81"/>
      <c r="G70" s="81"/>
      <c r="H70" s="81"/>
      <c r="I70" s="81"/>
      <c r="J70" s="81"/>
      <c r="K70" s="81"/>
      <c r="L70" s="81"/>
      <c r="M70" s="82"/>
      <c r="O70" s="96"/>
      <c r="P70" s="68" t="s">
        <v>103</v>
      </c>
      <c r="Y70" s="32"/>
      <c r="AA70" s="35" t="s">
        <v>99</v>
      </c>
      <c r="AB70" s="65"/>
      <c r="AD70" s="66" t="str">
        <f>IF(U127="","",U127)</f>
        <v/>
      </c>
      <c r="AH70" s="613">
        <v>30</v>
      </c>
      <c r="AI70" s="614">
        <v>50</v>
      </c>
      <c r="AJ70" s="615">
        <v>0.5</v>
      </c>
      <c r="AK70" s="614" t="str">
        <f t="shared" si="1"/>
        <v/>
      </c>
      <c r="AL70" s="614" t="str">
        <f t="shared" si="8"/>
        <v/>
      </c>
      <c r="AM70" s="614"/>
      <c r="AN70" s="614"/>
      <c r="AO70" s="614"/>
      <c r="AP70" s="614"/>
      <c r="AQ70" s="617"/>
    </row>
    <row r="71" spans="1:43" ht="14.1" customHeight="1" thickTop="1">
      <c r="A71" s="17">
        <v>71</v>
      </c>
      <c r="C71" s="109" t="s">
        <v>10</v>
      </c>
      <c r="D71" s="379" t="str">
        <f>IF($P$7="","",$P$7)</f>
        <v/>
      </c>
      <c r="E71" s="27"/>
      <c r="F71" s="27"/>
      <c r="G71" s="27"/>
      <c r="H71" s="27"/>
      <c r="I71" s="27"/>
      <c r="J71" s="27"/>
      <c r="K71" s="27"/>
      <c r="L71" s="109" t="s">
        <v>11</v>
      </c>
      <c r="M71" s="380" t="str">
        <f>IF($X$7="","",$X$7)</f>
        <v>Eugene Mah</v>
      </c>
      <c r="O71" s="96"/>
      <c r="P71" s="68" t="s">
        <v>104</v>
      </c>
      <c r="Y71" s="32"/>
      <c r="AA71" s="43" t="s">
        <v>66</v>
      </c>
      <c r="AH71" s="613">
        <v>30</v>
      </c>
      <c r="AI71" s="614">
        <v>50</v>
      </c>
      <c r="AJ71" s="615">
        <v>0.6</v>
      </c>
      <c r="AK71" s="614" t="str">
        <f t="shared" si="1"/>
        <v/>
      </c>
      <c r="AL71" s="614" t="str">
        <f t="shared" si="8"/>
        <v/>
      </c>
      <c r="AM71" s="614"/>
      <c r="AN71" s="614"/>
      <c r="AO71" s="614"/>
      <c r="AP71" s="614"/>
      <c r="AQ71" s="617"/>
    </row>
    <row r="72" spans="1:43" ht="14.1" customHeight="1">
      <c r="A72" s="17">
        <v>72</v>
      </c>
      <c r="C72" s="109" t="s">
        <v>120</v>
      </c>
      <c r="D72" s="380" t="str">
        <f>IF($R$14="","",$R$14)</f>
        <v/>
      </c>
      <c r="E72" s="27"/>
      <c r="F72" s="27"/>
      <c r="G72" s="27"/>
      <c r="H72" s="27"/>
      <c r="I72" s="27"/>
      <c r="J72" s="27"/>
      <c r="K72" s="27"/>
      <c r="L72" s="109" t="s">
        <v>36</v>
      </c>
      <c r="M72" s="380" t="str">
        <f>IF($R$13="","",$R$13)</f>
        <v/>
      </c>
      <c r="O72" s="96"/>
      <c r="P72" s="68" t="s">
        <v>105</v>
      </c>
      <c r="Y72" s="32"/>
      <c r="AA72" s="35" t="s">
        <v>94</v>
      </c>
      <c r="AB72" s="65"/>
      <c r="AD72" s="66" t="str">
        <f>IF(V124="","",V124)</f>
        <v/>
      </c>
      <c r="AH72" s="613">
        <v>30</v>
      </c>
      <c r="AI72" s="614">
        <v>50</v>
      </c>
      <c r="AJ72" s="615">
        <v>0.6</v>
      </c>
      <c r="AK72" s="614" t="str">
        <f t="shared" si="1"/>
        <v/>
      </c>
      <c r="AL72" s="614" t="str">
        <f t="shared" si="8"/>
        <v/>
      </c>
      <c r="AM72" s="614"/>
      <c r="AN72" s="614"/>
      <c r="AO72" s="614"/>
      <c r="AP72" s="614"/>
      <c r="AQ72" s="617"/>
    </row>
    <row r="73" spans="1:43" ht="14.1" customHeight="1">
      <c r="A73" s="17">
        <v>1</v>
      </c>
      <c r="M73" s="112" t="str">
        <f>$H$2</f>
        <v>Medical University of South Carolina</v>
      </c>
      <c r="O73" s="96"/>
      <c r="P73" s="68" t="s">
        <v>106</v>
      </c>
      <c r="Y73" s="32"/>
      <c r="AA73" s="35" t="s">
        <v>97</v>
      </c>
      <c r="AB73" s="65"/>
      <c r="AD73" s="66" t="str">
        <f>IF(W124="","",W124)</f>
        <v/>
      </c>
      <c r="AH73" s="600">
        <v>32</v>
      </c>
      <c r="AI73" s="595">
        <v>50</v>
      </c>
      <c r="AJ73" s="612">
        <v>0</v>
      </c>
      <c r="AK73" s="595" t="str">
        <f t="shared" si="1"/>
        <v/>
      </c>
      <c r="AL73" s="595" t="str">
        <f t="shared" si="8"/>
        <v/>
      </c>
      <c r="AM73" s="595"/>
      <c r="AN73" s="595"/>
      <c r="AO73" s="595"/>
      <c r="AP73" s="595"/>
      <c r="AQ73" s="601"/>
    </row>
    <row r="74" spans="1:43" ht="14.1" customHeight="1" thickBot="1">
      <c r="A74" s="17">
        <v>2</v>
      </c>
      <c r="H74" s="51" t="s">
        <v>72</v>
      </c>
      <c r="M74" s="113" t="str">
        <f>$H$5</f>
        <v>Mammography System Compliance Inspection</v>
      </c>
      <c r="O74" s="96"/>
      <c r="P74" s="68" t="s">
        <v>107</v>
      </c>
      <c r="Y74" s="32"/>
      <c r="AA74" s="35" t="s">
        <v>99</v>
      </c>
      <c r="AB74" s="65"/>
      <c r="AD74" s="66" t="str">
        <f>IF(X124="","",X124)</f>
        <v/>
      </c>
      <c r="AH74" s="613">
        <v>32</v>
      </c>
      <c r="AI74" s="614">
        <v>50</v>
      </c>
      <c r="AJ74" s="615">
        <v>0</v>
      </c>
      <c r="AK74" s="614" t="str">
        <f t="shared" si="1"/>
        <v/>
      </c>
      <c r="AL74" s="614" t="str">
        <f t="shared" si="8"/>
        <v/>
      </c>
      <c r="AM74" s="614"/>
      <c r="AN74" s="614"/>
      <c r="AO74" s="614"/>
      <c r="AP74" s="614"/>
      <c r="AQ74" s="617"/>
    </row>
    <row r="75" spans="1:43" ht="14.1" customHeight="1" thickTop="1">
      <c r="A75" s="17">
        <v>3</v>
      </c>
      <c r="B75" s="58"/>
      <c r="C75" s="114" t="s">
        <v>88</v>
      </c>
      <c r="D75" s="59"/>
      <c r="E75" s="59"/>
      <c r="F75" s="59"/>
      <c r="G75" s="59"/>
      <c r="H75" s="115" t="s">
        <v>112</v>
      </c>
      <c r="I75" s="59"/>
      <c r="J75" s="59"/>
      <c r="K75" s="59"/>
      <c r="L75" s="59"/>
      <c r="M75" s="61"/>
      <c r="O75" s="96"/>
      <c r="P75" s="68" t="s">
        <v>109</v>
      </c>
      <c r="Y75" s="32"/>
      <c r="AA75" s="35" t="s">
        <v>94</v>
      </c>
      <c r="AB75" s="65"/>
      <c r="AD75" s="66" t="str">
        <f>IF(V125="","",V125)</f>
        <v/>
      </c>
      <c r="AH75" s="613">
        <v>32</v>
      </c>
      <c r="AI75" s="614">
        <v>50</v>
      </c>
      <c r="AJ75" s="615">
        <v>0.4</v>
      </c>
      <c r="AK75" s="614" t="str">
        <f t="shared" ref="AK75:AK90" si="9">IF($V$21="","",$V$21)</f>
        <v/>
      </c>
      <c r="AL75" s="614" t="str">
        <f t="shared" si="8"/>
        <v/>
      </c>
      <c r="AM75" s="614"/>
      <c r="AN75" s="614"/>
      <c r="AO75" s="614"/>
      <c r="AP75" s="614"/>
      <c r="AQ75" s="617"/>
    </row>
    <row r="76" spans="1:43" ht="14.1" customHeight="1">
      <c r="A76" s="17">
        <v>4</v>
      </c>
      <c r="B76" s="67"/>
      <c r="C76" s="68" t="s">
        <v>125</v>
      </c>
      <c r="D76" s="68"/>
      <c r="E76" s="68" t="s">
        <v>126</v>
      </c>
      <c r="F76" s="68"/>
      <c r="G76" s="68"/>
      <c r="H76" s="68"/>
      <c r="I76" s="68"/>
      <c r="J76" s="68"/>
      <c r="K76" s="68"/>
      <c r="L76" s="148" t="str">
        <f t="shared" ref="L76:L107" si="10">IF(O79="","TBD",IF(O79=1,"YES",IF(O79=3,"NA","")))</f>
        <v>TBD</v>
      </c>
      <c r="M76" s="104" t="str">
        <f t="shared" ref="M76:M107" si="11">IF(O79=2,"NO","")</f>
        <v/>
      </c>
      <c r="O76" s="96"/>
      <c r="P76" s="21" t="s">
        <v>110</v>
      </c>
      <c r="Y76" s="32"/>
      <c r="AA76" s="35" t="s">
        <v>97</v>
      </c>
      <c r="AB76" s="65"/>
      <c r="AD76" s="66" t="str">
        <f>IF(W125="","",W125)</f>
        <v/>
      </c>
      <c r="AH76" s="613">
        <v>32</v>
      </c>
      <c r="AI76" s="614">
        <v>50</v>
      </c>
      <c r="AJ76" s="615">
        <v>0.4</v>
      </c>
      <c r="AK76" s="614" t="str">
        <f t="shared" si="9"/>
        <v/>
      </c>
      <c r="AL76" s="614" t="str">
        <f t="shared" si="8"/>
        <v/>
      </c>
      <c r="AM76" s="614"/>
      <c r="AN76" s="614"/>
      <c r="AO76" s="614"/>
      <c r="AP76" s="614"/>
      <c r="AQ76" s="617"/>
    </row>
    <row r="77" spans="1:43" ht="14.1" customHeight="1">
      <c r="A77" s="17">
        <v>5</v>
      </c>
      <c r="B77" s="67"/>
      <c r="C77" s="68" t="s">
        <v>128</v>
      </c>
      <c r="D77" s="68"/>
      <c r="E77" s="68" t="s">
        <v>129</v>
      </c>
      <c r="F77" s="68"/>
      <c r="G77" s="68"/>
      <c r="H77" s="68"/>
      <c r="I77" s="68"/>
      <c r="J77" s="68"/>
      <c r="K77" s="68"/>
      <c r="L77" s="148" t="str">
        <f t="shared" si="10"/>
        <v>TBD</v>
      </c>
      <c r="M77" s="104" t="str">
        <f t="shared" si="11"/>
        <v/>
      </c>
      <c r="O77" s="30"/>
      <c r="Y77" s="32"/>
      <c r="AA77" s="35" t="s">
        <v>99</v>
      </c>
      <c r="AB77" s="65"/>
      <c r="AD77" s="66" t="str">
        <f>IF(X125="","",X125)</f>
        <v/>
      </c>
      <c r="AH77" s="613">
        <v>32</v>
      </c>
      <c r="AI77" s="614">
        <v>50</v>
      </c>
      <c r="AJ77" s="615">
        <v>0.5</v>
      </c>
      <c r="AK77" s="614" t="str">
        <f t="shared" si="9"/>
        <v/>
      </c>
      <c r="AL77" s="614" t="str">
        <f t="shared" si="8"/>
        <v/>
      </c>
      <c r="AM77" s="614"/>
      <c r="AN77" s="614"/>
      <c r="AO77" s="614"/>
      <c r="AP77" s="614"/>
      <c r="AQ77" s="617"/>
    </row>
    <row r="78" spans="1:43" ht="14.1" customHeight="1">
      <c r="A78" s="17">
        <v>6</v>
      </c>
      <c r="B78" s="67"/>
      <c r="C78" s="68" t="s">
        <v>131</v>
      </c>
      <c r="D78" s="68"/>
      <c r="E78" s="68" t="s">
        <v>117</v>
      </c>
      <c r="F78" s="68"/>
      <c r="G78" s="68"/>
      <c r="H78" s="68"/>
      <c r="I78" s="68"/>
      <c r="J78" s="68"/>
      <c r="K78" s="68"/>
      <c r="L78" s="148" t="str">
        <f t="shared" si="10"/>
        <v>TBD</v>
      </c>
      <c r="M78" s="104" t="str">
        <f t="shared" si="11"/>
        <v/>
      </c>
      <c r="O78" s="30"/>
      <c r="T78" s="259" t="s">
        <v>112</v>
      </c>
      <c r="Y78" s="32"/>
      <c r="AA78" s="35" t="s">
        <v>94</v>
      </c>
      <c r="AB78" s="65"/>
      <c r="AD78" s="66" t="str">
        <f>IF(V126="","",V126)</f>
        <v/>
      </c>
      <c r="AH78" s="613">
        <v>32</v>
      </c>
      <c r="AI78" s="614">
        <v>50</v>
      </c>
      <c r="AJ78" s="615">
        <v>0.5</v>
      </c>
      <c r="AK78" s="614" t="str">
        <f t="shared" si="9"/>
        <v/>
      </c>
      <c r="AL78" s="614" t="str">
        <f t="shared" si="8"/>
        <v/>
      </c>
      <c r="AM78" s="614"/>
      <c r="AN78" s="614"/>
      <c r="AO78" s="614"/>
      <c r="AP78" s="614"/>
      <c r="AQ78" s="617"/>
    </row>
    <row r="79" spans="1:43" ht="14.1" customHeight="1">
      <c r="A79" s="17">
        <v>7</v>
      </c>
      <c r="B79" s="67"/>
      <c r="C79" s="68" t="s">
        <v>133</v>
      </c>
      <c r="D79" s="68"/>
      <c r="E79" s="68" t="s">
        <v>134</v>
      </c>
      <c r="F79" s="68"/>
      <c r="G79" s="68"/>
      <c r="H79" s="68"/>
      <c r="I79" s="68"/>
      <c r="J79" s="68"/>
      <c r="K79" s="68"/>
      <c r="L79" s="148" t="str">
        <f t="shared" si="10"/>
        <v>TBD</v>
      </c>
      <c r="M79" s="104" t="str">
        <f t="shared" si="11"/>
        <v/>
      </c>
      <c r="O79" s="96"/>
      <c r="P79" s="21" t="s">
        <v>113</v>
      </c>
      <c r="Y79" s="32"/>
      <c r="AA79" s="35" t="s">
        <v>97</v>
      </c>
      <c r="AB79" s="65"/>
      <c r="AD79" s="66" t="str">
        <f>IF(W126="","",W126)</f>
        <v/>
      </c>
      <c r="AH79" s="613">
        <v>32</v>
      </c>
      <c r="AI79" s="614">
        <v>50</v>
      </c>
      <c r="AJ79" s="615">
        <v>0.6</v>
      </c>
      <c r="AK79" s="614" t="str">
        <f t="shared" si="9"/>
        <v/>
      </c>
      <c r="AL79" s="614" t="str">
        <f t="shared" si="8"/>
        <v/>
      </c>
      <c r="AM79" s="614"/>
      <c r="AN79" s="614"/>
      <c r="AO79" s="614"/>
      <c r="AP79" s="614"/>
      <c r="AQ79" s="617"/>
    </row>
    <row r="80" spans="1:43" ht="14.1" customHeight="1">
      <c r="A80" s="17">
        <v>8</v>
      </c>
      <c r="B80" s="67"/>
      <c r="C80" s="68" t="s">
        <v>136</v>
      </c>
      <c r="D80" s="68"/>
      <c r="E80" s="68" t="s">
        <v>119</v>
      </c>
      <c r="F80" s="68"/>
      <c r="G80" s="68"/>
      <c r="H80" s="68"/>
      <c r="I80" s="68"/>
      <c r="J80" s="68"/>
      <c r="K80" s="68"/>
      <c r="L80" s="148" t="str">
        <f t="shared" si="10"/>
        <v>TBD</v>
      </c>
      <c r="M80" s="104" t="str">
        <f t="shared" si="11"/>
        <v/>
      </c>
      <c r="O80" s="96"/>
      <c r="P80" s="21" t="s">
        <v>115</v>
      </c>
      <c r="Y80" s="32"/>
      <c r="AA80" s="35" t="s">
        <v>99</v>
      </c>
      <c r="AB80" s="65"/>
      <c r="AD80" s="66" t="str">
        <f>IF(X126="","",X126)</f>
        <v/>
      </c>
      <c r="AH80" s="613">
        <v>32</v>
      </c>
      <c r="AI80" s="614">
        <v>50</v>
      </c>
      <c r="AJ80" s="615">
        <v>0.6</v>
      </c>
      <c r="AK80" s="614" t="str">
        <f t="shared" si="9"/>
        <v/>
      </c>
      <c r="AL80" s="614" t="str">
        <f t="shared" si="8"/>
        <v/>
      </c>
      <c r="AM80" s="614"/>
      <c r="AN80" s="614"/>
      <c r="AO80" s="614"/>
      <c r="AP80" s="614"/>
      <c r="AQ80" s="617"/>
    </row>
    <row r="81" spans="1:43" ht="14.1" customHeight="1">
      <c r="A81" s="17">
        <v>9</v>
      </c>
      <c r="B81" s="67"/>
      <c r="C81" s="68" t="s">
        <v>138</v>
      </c>
      <c r="D81" s="68"/>
      <c r="E81" s="68" t="s">
        <v>139</v>
      </c>
      <c r="F81" s="68"/>
      <c r="G81" s="68"/>
      <c r="H81" s="68"/>
      <c r="I81" s="68"/>
      <c r="J81" s="68"/>
      <c r="K81" s="68"/>
      <c r="L81" s="148" t="str">
        <f t="shared" si="10"/>
        <v>TBD</v>
      </c>
      <c r="M81" s="104" t="str">
        <f t="shared" si="11"/>
        <v/>
      </c>
      <c r="O81" s="96"/>
      <c r="P81" s="21" t="s">
        <v>117</v>
      </c>
      <c r="Y81" s="32"/>
      <c r="AA81" s="35" t="s">
        <v>94</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141</v>
      </c>
      <c r="D82" s="68"/>
      <c r="E82" s="68" t="s">
        <v>122</v>
      </c>
      <c r="F82" s="68"/>
      <c r="G82" s="68"/>
      <c r="H82" s="68"/>
      <c r="I82" s="68"/>
      <c r="J82" s="68"/>
      <c r="K82" s="68"/>
      <c r="L82" s="148" t="str">
        <f t="shared" si="10"/>
        <v>YES</v>
      </c>
      <c r="M82" s="104" t="str">
        <f t="shared" si="11"/>
        <v/>
      </c>
      <c r="O82" s="96"/>
      <c r="P82" s="21" t="s">
        <v>118</v>
      </c>
      <c r="Y82" s="32"/>
      <c r="AA82" s="35" t="s">
        <v>97</v>
      </c>
      <c r="AB82" s="65"/>
      <c r="AD82" s="66" t="str">
        <f>IF(W127="","",W127)</f>
        <v/>
      </c>
      <c r="AH82" s="613">
        <v>34</v>
      </c>
      <c r="AI82" s="614">
        <v>50</v>
      </c>
      <c r="AJ82" s="615">
        <v>0</v>
      </c>
      <c r="AK82" s="614" t="str">
        <f t="shared" si="9"/>
        <v/>
      </c>
      <c r="AL82" s="614" t="str">
        <f t="shared" si="8"/>
        <v/>
      </c>
      <c r="AM82" s="614"/>
      <c r="AN82" s="614"/>
      <c r="AO82" s="614"/>
      <c r="AP82" s="614"/>
      <c r="AQ82" s="617"/>
    </row>
    <row r="83" spans="1:43" ht="14.1" customHeight="1">
      <c r="A83" s="17">
        <v>11</v>
      </c>
      <c r="B83" s="67"/>
      <c r="C83" s="68" t="s">
        <v>143</v>
      </c>
      <c r="D83" s="68"/>
      <c r="E83" s="68" t="s">
        <v>144</v>
      </c>
      <c r="F83" s="68"/>
      <c r="G83" s="68"/>
      <c r="H83" s="68"/>
      <c r="I83" s="68"/>
      <c r="J83" s="68"/>
      <c r="K83" s="68"/>
      <c r="L83" s="148" t="str">
        <f t="shared" si="10"/>
        <v>TBD</v>
      </c>
      <c r="M83" s="104" t="str">
        <f t="shared" si="11"/>
        <v/>
      </c>
      <c r="O83" s="96"/>
      <c r="P83" s="21" t="s">
        <v>119</v>
      </c>
      <c r="Y83" s="32"/>
      <c r="AA83" s="35" t="s">
        <v>99</v>
      </c>
      <c r="AB83" s="65"/>
      <c r="AD83" s="66" t="str">
        <f>IF(X127="","",X127)</f>
        <v/>
      </c>
      <c r="AH83" s="613">
        <v>34</v>
      </c>
      <c r="AI83" s="614">
        <v>50</v>
      </c>
      <c r="AJ83" s="615">
        <v>0.4</v>
      </c>
      <c r="AK83" s="614" t="str">
        <f t="shared" si="9"/>
        <v/>
      </c>
      <c r="AL83" s="614" t="str">
        <f t="shared" si="8"/>
        <v/>
      </c>
      <c r="AM83" s="614"/>
      <c r="AN83" s="614"/>
      <c r="AO83" s="614"/>
      <c r="AP83" s="614"/>
      <c r="AQ83" s="617"/>
    </row>
    <row r="84" spans="1:43" ht="14.1" customHeight="1">
      <c r="A84" s="17">
        <v>12</v>
      </c>
      <c r="B84" s="67"/>
      <c r="C84" s="68" t="s">
        <v>146</v>
      </c>
      <c r="D84" s="68"/>
      <c r="E84" s="68" t="s">
        <v>124</v>
      </c>
      <c r="F84" s="68"/>
      <c r="G84" s="68"/>
      <c r="H84" s="68"/>
      <c r="I84" s="68"/>
      <c r="J84" s="68"/>
      <c r="K84" s="68"/>
      <c r="L84" s="148" t="str">
        <f t="shared" si="10"/>
        <v>TBD</v>
      </c>
      <c r="M84" s="104" t="str">
        <f t="shared" si="11"/>
        <v/>
      </c>
      <c r="O84" s="96"/>
      <c r="P84" s="21" t="s">
        <v>121</v>
      </c>
      <c r="Y84" s="32"/>
      <c r="AH84" s="613">
        <v>34</v>
      </c>
      <c r="AI84" s="614">
        <v>50</v>
      </c>
      <c r="AJ84" s="615">
        <v>0.4</v>
      </c>
      <c r="AK84" s="614" t="str">
        <f t="shared" si="9"/>
        <v/>
      </c>
      <c r="AL84" s="614" t="str">
        <f t="shared" si="8"/>
        <v/>
      </c>
      <c r="AM84" s="614"/>
      <c r="AN84" s="614"/>
      <c r="AO84" s="614"/>
      <c r="AP84" s="614"/>
      <c r="AQ84" s="617"/>
    </row>
    <row r="85" spans="1:43" ht="14.1" customHeight="1">
      <c r="A85" s="17">
        <v>13</v>
      </c>
      <c r="B85" s="67"/>
      <c r="C85" s="68" t="s">
        <v>148</v>
      </c>
      <c r="D85" s="68"/>
      <c r="E85" s="68" t="s">
        <v>127</v>
      </c>
      <c r="F85" s="68"/>
      <c r="G85" s="68"/>
      <c r="H85" s="68"/>
      <c r="I85" s="68"/>
      <c r="J85" s="68"/>
      <c r="K85" s="68"/>
      <c r="L85" s="148" t="str">
        <f t="shared" si="10"/>
        <v>TBD</v>
      </c>
      <c r="M85" s="104" t="str">
        <f t="shared" si="11"/>
        <v/>
      </c>
      <c r="O85" s="273">
        <f>IF(U175&gt;160,1,2)</f>
        <v>1</v>
      </c>
      <c r="P85" s="21" t="s">
        <v>122</v>
      </c>
      <c r="Y85" s="32"/>
      <c r="AA85" s="35" t="s">
        <v>160</v>
      </c>
      <c r="AB85" s="65"/>
      <c r="AD85" s="116" t="str">
        <f>IF(X271="","",X271)</f>
        <v/>
      </c>
      <c r="AH85" s="613">
        <v>34</v>
      </c>
      <c r="AI85" s="614">
        <v>50</v>
      </c>
      <c r="AJ85" s="615">
        <v>0.5</v>
      </c>
      <c r="AK85" s="614" t="str">
        <f t="shared" si="9"/>
        <v/>
      </c>
      <c r="AL85" s="614" t="str">
        <f t="shared" si="8"/>
        <v/>
      </c>
      <c r="AM85" s="614"/>
      <c r="AN85" s="614"/>
      <c r="AO85" s="614"/>
      <c r="AP85" s="614"/>
      <c r="AQ85" s="617"/>
    </row>
    <row r="86" spans="1:43" ht="14.1" customHeight="1">
      <c r="A86" s="17">
        <v>14</v>
      </c>
      <c r="B86" s="67"/>
      <c r="C86" s="68" t="s">
        <v>148</v>
      </c>
      <c r="D86" s="68"/>
      <c r="E86" s="68" t="s">
        <v>130</v>
      </c>
      <c r="F86" s="68"/>
      <c r="G86" s="68"/>
      <c r="H86" s="68"/>
      <c r="I86" s="68"/>
      <c r="J86" s="68"/>
      <c r="K86" s="68"/>
      <c r="L86" s="148" t="str">
        <f t="shared" si="10"/>
        <v>TBD</v>
      </c>
      <c r="M86" s="104" t="str">
        <f t="shared" si="11"/>
        <v/>
      </c>
      <c r="O86" s="96"/>
      <c r="P86" s="21" t="s">
        <v>123</v>
      </c>
      <c r="Y86" s="32"/>
      <c r="AA86" s="35" t="s">
        <v>535</v>
      </c>
      <c r="AB86" s="65"/>
      <c r="AD86" s="117" t="str">
        <f>IF(S386="","",S386)</f>
        <v/>
      </c>
      <c r="AH86" s="613">
        <v>34</v>
      </c>
      <c r="AI86" s="614">
        <v>50</v>
      </c>
      <c r="AJ86" s="615">
        <v>0.5</v>
      </c>
      <c r="AK86" s="614" t="str">
        <f t="shared" si="9"/>
        <v/>
      </c>
      <c r="AL86" s="614" t="str">
        <f t="shared" si="8"/>
        <v/>
      </c>
      <c r="AM86" s="614"/>
      <c r="AN86" s="614"/>
      <c r="AO86" s="614"/>
      <c r="AP86" s="614"/>
      <c r="AQ86" s="617"/>
    </row>
    <row r="87" spans="1:43" ht="14.1" customHeight="1">
      <c r="A87" s="17">
        <v>15</v>
      </c>
      <c r="B87" s="67"/>
      <c r="C87" s="68" t="s">
        <v>151</v>
      </c>
      <c r="D87" s="68"/>
      <c r="E87" s="68" t="s">
        <v>132</v>
      </c>
      <c r="F87" s="68"/>
      <c r="G87" s="68"/>
      <c r="H87" s="68"/>
      <c r="I87" s="68"/>
      <c r="J87" s="68"/>
      <c r="K87" s="68"/>
      <c r="L87" s="148" t="str">
        <f t="shared" si="10"/>
        <v>TBD</v>
      </c>
      <c r="M87" s="104" t="str">
        <f t="shared" si="11"/>
        <v/>
      </c>
      <c r="O87" s="96"/>
      <c r="P87" s="21" t="s">
        <v>124</v>
      </c>
      <c r="Y87" s="32"/>
      <c r="AA87" s="35" t="s">
        <v>536</v>
      </c>
      <c r="AB87" s="65"/>
      <c r="AD87" s="116" t="str">
        <f>IF(T386="","",T386)</f>
        <v/>
      </c>
      <c r="AH87" s="613">
        <v>34</v>
      </c>
      <c r="AI87" s="614">
        <v>50</v>
      </c>
      <c r="AJ87" s="615">
        <v>0.6</v>
      </c>
      <c r="AK87" s="614" t="str">
        <f t="shared" si="9"/>
        <v/>
      </c>
      <c r="AL87" s="614" t="str">
        <f t="shared" si="8"/>
        <v/>
      </c>
      <c r="AM87" s="614"/>
      <c r="AN87" s="614"/>
      <c r="AO87" s="614"/>
      <c r="AP87" s="614"/>
      <c r="AQ87" s="617"/>
    </row>
    <row r="88" spans="1:43" ht="14.1" customHeight="1">
      <c r="A88" s="17">
        <v>16</v>
      </c>
      <c r="B88" s="67"/>
      <c r="C88" s="68" t="s">
        <v>153</v>
      </c>
      <c r="D88" s="68"/>
      <c r="E88" s="68" t="s">
        <v>135</v>
      </c>
      <c r="F88" s="68"/>
      <c r="G88" s="68"/>
      <c r="H88" s="68"/>
      <c r="I88" s="68"/>
      <c r="J88" s="68"/>
      <c r="K88" s="68"/>
      <c r="L88" s="148" t="str">
        <f t="shared" si="10"/>
        <v>TBD</v>
      </c>
      <c r="M88" s="104" t="str">
        <f t="shared" si="11"/>
        <v/>
      </c>
      <c r="O88" s="96"/>
      <c r="P88" s="21" t="s">
        <v>127</v>
      </c>
      <c r="Y88" s="32"/>
      <c r="AA88" s="35" t="s">
        <v>537</v>
      </c>
      <c r="AB88" s="65"/>
      <c r="AD88" s="117" t="str">
        <f>IF(X386="","",X386)</f>
        <v/>
      </c>
      <c r="AH88" s="613">
        <v>34</v>
      </c>
      <c r="AI88" s="614">
        <v>50</v>
      </c>
      <c r="AJ88" s="615">
        <v>0.6</v>
      </c>
      <c r="AK88" s="614" t="str">
        <f t="shared" si="9"/>
        <v/>
      </c>
      <c r="AL88" s="614" t="str">
        <f t="shared" si="8"/>
        <v/>
      </c>
      <c r="AM88" s="614"/>
      <c r="AN88" s="614"/>
      <c r="AO88" s="614"/>
      <c r="AP88" s="614"/>
      <c r="AQ88" s="617"/>
    </row>
    <row r="89" spans="1:43" ht="14.1" customHeight="1">
      <c r="A89" s="17">
        <v>17</v>
      </c>
      <c r="B89" s="67"/>
      <c r="C89" s="335"/>
      <c r="D89" s="68"/>
      <c r="E89" s="68" t="s">
        <v>137</v>
      </c>
      <c r="F89" s="68"/>
      <c r="G89" s="68"/>
      <c r="H89" s="68"/>
      <c r="I89" s="68"/>
      <c r="J89" s="68"/>
      <c r="K89" s="68"/>
      <c r="L89" s="148" t="str">
        <f t="shared" si="10"/>
        <v>TBD</v>
      </c>
      <c r="M89" s="104" t="str">
        <f t="shared" si="11"/>
        <v/>
      </c>
      <c r="O89" s="96"/>
      <c r="P89" s="21" t="s">
        <v>130</v>
      </c>
      <c r="Y89" s="32"/>
      <c r="AA89" s="35" t="s">
        <v>538</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156</v>
      </c>
      <c r="D90" s="68"/>
      <c r="E90" s="68" t="s">
        <v>140</v>
      </c>
      <c r="F90" s="68"/>
      <c r="G90" s="68"/>
      <c r="H90" s="68"/>
      <c r="I90" s="68"/>
      <c r="J90" s="68"/>
      <c r="K90" s="68"/>
      <c r="L90" s="148" t="str">
        <f t="shared" si="10"/>
        <v>TBD</v>
      </c>
      <c r="M90" s="104" t="str">
        <f t="shared" si="11"/>
        <v/>
      </c>
      <c r="O90" s="96"/>
      <c r="P90" s="21" t="s">
        <v>132</v>
      </c>
      <c r="Y90" s="32"/>
      <c r="AA90" s="75" t="s">
        <v>169</v>
      </c>
      <c r="AH90" s="207">
        <v>38</v>
      </c>
      <c r="AI90" s="208">
        <v>50</v>
      </c>
      <c r="AJ90" s="586">
        <v>0</v>
      </c>
      <c r="AK90" s="208" t="str">
        <f t="shared" si="9"/>
        <v/>
      </c>
      <c r="AL90" s="208" t="str">
        <f t="shared" si="8"/>
        <v/>
      </c>
      <c r="AM90" s="208"/>
      <c r="AN90" s="208"/>
      <c r="AO90" s="208"/>
      <c r="AP90" s="208"/>
      <c r="AQ90" s="177"/>
    </row>
    <row r="91" spans="1:43" ht="14.1" customHeight="1">
      <c r="A91" s="17">
        <v>19</v>
      </c>
      <c r="B91" s="67"/>
      <c r="C91" s="68" t="s">
        <v>158</v>
      </c>
      <c r="D91" s="68"/>
      <c r="E91" s="68" t="s">
        <v>142</v>
      </c>
      <c r="F91" s="68"/>
      <c r="G91" s="68"/>
      <c r="H91" s="68"/>
      <c r="I91" s="68"/>
      <c r="J91" s="68"/>
      <c r="K91" s="68"/>
      <c r="L91" s="148" t="str">
        <f t="shared" si="10"/>
        <v>TBD</v>
      </c>
      <c r="M91" s="104" t="str">
        <f t="shared" si="11"/>
        <v/>
      </c>
      <c r="O91" s="96"/>
      <c r="P91" s="21" t="s">
        <v>135</v>
      </c>
      <c r="Y91" s="32"/>
      <c r="AA91" s="35" t="s">
        <v>172</v>
      </c>
      <c r="AB91" s="65"/>
      <c r="AD91" s="66" t="str">
        <f>IF(Q423="","",Q423)</f>
        <v/>
      </c>
      <c r="AH91" s="204">
        <v>28</v>
      </c>
      <c r="AI91" s="205">
        <v>50</v>
      </c>
      <c r="AJ91" s="585">
        <v>0</v>
      </c>
      <c r="AK91" s="205" t="str">
        <f>IF($V$22="","",$V$22)</f>
        <v/>
      </c>
      <c r="AL91" s="205" t="str">
        <f>IF($V$25="","",$V$25)</f>
        <v/>
      </c>
      <c r="AM91" s="205"/>
      <c r="AN91" s="205"/>
      <c r="AO91" s="205"/>
      <c r="AP91" s="205"/>
      <c r="AQ91" s="176"/>
    </row>
    <row r="92" spans="1:43" ht="14.1" customHeight="1">
      <c r="A92" s="17">
        <v>20</v>
      </c>
      <c r="B92" s="67"/>
      <c r="C92" s="68" t="s">
        <v>161</v>
      </c>
      <c r="D92" s="68"/>
      <c r="E92" s="68" t="s">
        <v>145</v>
      </c>
      <c r="F92" s="68"/>
      <c r="G92" s="68"/>
      <c r="H92" s="68"/>
      <c r="I92" s="68"/>
      <c r="J92" s="68"/>
      <c r="K92" s="68"/>
      <c r="L92" s="148" t="str">
        <f t="shared" si="10"/>
        <v>TBD</v>
      </c>
      <c r="M92" s="104" t="str">
        <f t="shared" si="11"/>
        <v/>
      </c>
      <c r="O92" s="96"/>
      <c r="P92" s="21" t="s">
        <v>137</v>
      </c>
      <c r="Y92" s="32"/>
      <c r="AA92" s="35" t="s">
        <v>175</v>
      </c>
      <c r="AB92" s="65"/>
      <c r="AD92" s="66" t="str">
        <f>IF(Q424="","",Q424)</f>
        <v/>
      </c>
      <c r="AH92" s="618">
        <v>28</v>
      </c>
      <c r="AI92" s="619">
        <v>50</v>
      </c>
      <c r="AJ92" s="620">
        <v>0</v>
      </c>
      <c r="AK92" s="619" t="str">
        <f t="shared" ref="AK92:AK132" si="12">IF($V$22="","",$V$22)</f>
        <v/>
      </c>
      <c r="AL92" s="619" t="str">
        <f t="shared" ref="AL92:AL132" si="13">IF($V$25="","",$V$25)</f>
        <v/>
      </c>
      <c r="AM92" s="619"/>
      <c r="AN92" s="619"/>
      <c r="AO92" s="619"/>
      <c r="AP92" s="619"/>
      <c r="AQ92" s="621"/>
    </row>
    <row r="93" spans="1:43" ht="14.1" customHeight="1">
      <c r="A93" s="17">
        <v>21</v>
      </c>
      <c r="B93" s="67"/>
      <c r="C93" s="68" t="s">
        <v>163</v>
      </c>
      <c r="D93" s="68"/>
      <c r="E93" s="68" t="s">
        <v>164</v>
      </c>
      <c r="F93" s="68"/>
      <c r="G93" s="68"/>
      <c r="H93" s="68"/>
      <c r="I93" s="68"/>
      <c r="J93" s="68"/>
      <c r="K93" s="68"/>
      <c r="L93" s="148" t="str">
        <f t="shared" si="10"/>
        <v>TBD</v>
      </c>
      <c r="M93" s="104" t="str">
        <f t="shared" si="11"/>
        <v/>
      </c>
      <c r="O93" s="96"/>
      <c r="P93" s="21" t="s">
        <v>140</v>
      </c>
      <c r="Y93" s="32"/>
      <c r="AA93" s="35" t="s">
        <v>178</v>
      </c>
      <c r="AB93" s="65"/>
      <c r="AD93" s="66" t="str">
        <f>IF(Q425="","",Q425)</f>
        <v/>
      </c>
      <c r="AH93" s="618">
        <v>28</v>
      </c>
      <c r="AI93" s="619">
        <v>50</v>
      </c>
      <c r="AJ93" s="620">
        <v>0</v>
      </c>
      <c r="AK93" s="619" t="str">
        <f t="shared" si="12"/>
        <v/>
      </c>
      <c r="AL93" s="619" t="str">
        <f t="shared" si="13"/>
        <v/>
      </c>
      <c r="AM93" s="619"/>
      <c r="AN93" s="619"/>
      <c r="AO93" s="619"/>
      <c r="AP93" s="619"/>
      <c r="AQ93" s="621"/>
    </row>
    <row r="94" spans="1:43" ht="14.1" customHeight="1">
      <c r="A94" s="17">
        <v>22</v>
      </c>
      <c r="B94" s="67"/>
      <c r="C94" s="68" t="s">
        <v>166</v>
      </c>
      <c r="D94" s="68"/>
      <c r="E94" s="68" t="s">
        <v>167</v>
      </c>
      <c r="F94" s="68"/>
      <c r="G94" s="68"/>
      <c r="H94" s="68"/>
      <c r="I94" s="68"/>
      <c r="J94" s="68"/>
      <c r="K94" s="68"/>
      <c r="L94" s="148" t="str">
        <f t="shared" si="10"/>
        <v>TBD</v>
      </c>
      <c r="M94" s="104" t="str">
        <f t="shared" si="11"/>
        <v/>
      </c>
      <c r="O94" s="96"/>
      <c r="P94" s="21" t="s">
        <v>142</v>
      </c>
      <c r="Y94" s="32"/>
      <c r="AA94" s="35" t="s">
        <v>181</v>
      </c>
      <c r="AB94" s="65"/>
      <c r="AD94" s="66" t="str">
        <f>IF(Q426="","",Q426)</f>
        <v/>
      </c>
      <c r="AH94" s="618">
        <v>28</v>
      </c>
      <c r="AI94" s="619">
        <v>50</v>
      </c>
      <c r="AJ94" s="620">
        <v>0</v>
      </c>
      <c r="AK94" s="619" t="str">
        <f t="shared" si="12"/>
        <v/>
      </c>
      <c r="AL94" s="619" t="str">
        <f t="shared" si="13"/>
        <v/>
      </c>
      <c r="AM94" s="619"/>
      <c r="AN94" s="619"/>
      <c r="AO94" s="619"/>
      <c r="AP94" s="619"/>
      <c r="AQ94" s="621"/>
    </row>
    <row r="95" spans="1:43" ht="14.1" customHeight="1">
      <c r="A95" s="17">
        <v>23</v>
      </c>
      <c r="B95" s="67"/>
      <c r="C95" s="68" t="s">
        <v>170</v>
      </c>
      <c r="D95" s="68"/>
      <c r="E95" s="68" t="s">
        <v>150</v>
      </c>
      <c r="F95" s="68"/>
      <c r="G95" s="68"/>
      <c r="H95" s="68"/>
      <c r="I95" s="68"/>
      <c r="J95" s="68"/>
      <c r="K95" s="68"/>
      <c r="L95" s="148" t="str">
        <f t="shared" si="10"/>
        <v>TBD</v>
      </c>
      <c r="M95" s="104" t="str">
        <f t="shared" si="11"/>
        <v/>
      </c>
      <c r="O95" s="96"/>
      <c r="P95" s="21" t="s">
        <v>145</v>
      </c>
      <c r="Y95" s="32"/>
      <c r="AA95" s="35" t="s">
        <v>183</v>
      </c>
      <c r="AB95" s="65"/>
      <c r="AD95" s="66" t="str">
        <f>IF(Q427="","",Q427)</f>
        <v/>
      </c>
      <c r="AH95" s="618">
        <v>28</v>
      </c>
      <c r="AI95" s="619">
        <v>50</v>
      </c>
      <c r="AJ95" s="620">
        <v>0.5</v>
      </c>
      <c r="AK95" s="619" t="str">
        <f t="shared" si="12"/>
        <v/>
      </c>
      <c r="AL95" s="619" t="str">
        <f t="shared" si="13"/>
        <v/>
      </c>
      <c r="AM95" s="619"/>
      <c r="AN95" s="619"/>
      <c r="AO95" s="619"/>
      <c r="AP95" s="619"/>
      <c r="AQ95" s="621"/>
    </row>
    <row r="96" spans="1:43" ht="14.1" customHeight="1">
      <c r="A96" s="17">
        <v>24</v>
      </c>
      <c r="B96" s="67"/>
      <c r="C96" s="68" t="s">
        <v>173</v>
      </c>
      <c r="D96" s="68"/>
      <c r="E96" s="68" t="s">
        <v>152</v>
      </c>
      <c r="F96" s="68"/>
      <c r="G96" s="68"/>
      <c r="H96" s="68"/>
      <c r="I96" s="68"/>
      <c r="J96" s="68"/>
      <c r="K96" s="68"/>
      <c r="L96" s="148" t="str">
        <f t="shared" si="10"/>
        <v>TBD</v>
      </c>
      <c r="M96" s="104" t="str">
        <f t="shared" si="11"/>
        <v/>
      </c>
      <c r="O96" s="96"/>
      <c r="P96" s="21" t="s">
        <v>147</v>
      </c>
      <c r="Y96" s="32"/>
      <c r="AA96" s="35" t="s">
        <v>184</v>
      </c>
      <c r="AB96" s="65"/>
      <c r="AD96" s="66" t="str">
        <f>IF(Q428="","",Q428)</f>
        <v/>
      </c>
      <c r="AH96" s="618">
        <v>28</v>
      </c>
      <c r="AI96" s="619">
        <v>50</v>
      </c>
      <c r="AJ96" s="620">
        <v>0.5</v>
      </c>
      <c r="AK96" s="619" t="str">
        <f t="shared" si="12"/>
        <v/>
      </c>
      <c r="AL96" s="619" t="str">
        <f t="shared" si="13"/>
        <v/>
      </c>
      <c r="AM96" s="619"/>
      <c r="AN96" s="619"/>
      <c r="AO96" s="619"/>
      <c r="AP96" s="619"/>
      <c r="AQ96" s="621"/>
    </row>
    <row r="97" spans="1:43" ht="14.1" customHeight="1">
      <c r="A97" s="17">
        <v>25</v>
      </c>
      <c r="B97" s="67"/>
      <c r="C97" s="68" t="s">
        <v>176</v>
      </c>
      <c r="D97" s="68"/>
      <c r="E97" s="68" t="s">
        <v>154</v>
      </c>
      <c r="F97" s="68"/>
      <c r="G97" s="68"/>
      <c r="H97" s="68"/>
      <c r="I97" s="68"/>
      <c r="J97" s="68"/>
      <c r="K97" s="68"/>
      <c r="L97" s="148" t="str">
        <f t="shared" si="10"/>
        <v>TBD</v>
      </c>
      <c r="M97" s="104" t="str">
        <f t="shared" si="11"/>
        <v/>
      </c>
      <c r="O97" s="96"/>
      <c r="P97" s="21" t="s">
        <v>149</v>
      </c>
      <c r="Y97" s="32"/>
      <c r="AA97" s="35" t="s">
        <v>186</v>
      </c>
      <c r="AB97" s="65"/>
      <c r="AD97" s="66" t="str">
        <f>IF(U423="","",U423)</f>
        <v/>
      </c>
      <c r="AH97" s="618">
        <v>28</v>
      </c>
      <c r="AI97" s="619">
        <v>50</v>
      </c>
      <c r="AJ97" s="620">
        <v>0.6</v>
      </c>
      <c r="AK97" s="619" t="str">
        <f t="shared" si="12"/>
        <v/>
      </c>
      <c r="AL97" s="619" t="str">
        <f t="shared" si="13"/>
        <v/>
      </c>
      <c r="AM97" s="619"/>
      <c r="AN97" s="619"/>
      <c r="AO97" s="619"/>
      <c r="AP97" s="619"/>
      <c r="AQ97" s="621"/>
    </row>
    <row r="98" spans="1:43" ht="14.1" customHeight="1">
      <c r="A98" s="17">
        <v>26</v>
      </c>
      <c r="B98" s="67"/>
      <c r="C98" s="68" t="s">
        <v>179</v>
      </c>
      <c r="D98" s="68"/>
      <c r="E98" s="68" t="s">
        <v>155</v>
      </c>
      <c r="F98" s="68"/>
      <c r="G98" s="68"/>
      <c r="H98" s="68"/>
      <c r="I98" s="68"/>
      <c r="J98" s="68"/>
      <c r="K98" s="68"/>
      <c r="L98" s="148" t="str">
        <f t="shared" si="10"/>
        <v>TBD</v>
      </c>
      <c r="M98" s="104" t="str">
        <f t="shared" si="11"/>
        <v/>
      </c>
      <c r="O98" s="96"/>
      <c r="P98" s="21" t="s">
        <v>150</v>
      </c>
      <c r="Y98" s="32"/>
      <c r="AA98" s="35" t="s">
        <v>188</v>
      </c>
      <c r="AB98" s="65"/>
      <c r="AD98" s="66" t="str">
        <f>IF(U424="","",U424)</f>
        <v/>
      </c>
      <c r="AH98" s="618">
        <v>28</v>
      </c>
      <c r="AI98" s="619">
        <v>50</v>
      </c>
      <c r="AJ98" s="620">
        <v>0.6</v>
      </c>
      <c r="AK98" s="619" t="str">
        <f t="shared" si="12"/>
        <v/>
      </c>
      <c r="AL98" s="619" t="str">
        <f t="shared" si="13"/>
        <v/>
      </c>
      <c r="AM98" s="619"/>
      <c r="AN98" s="619"/>
      <c r="AO98" s="619"/>
      <c r="AP98" s="619"/>
      <c r="AQ98" s="621"/>
    </row>
    <row r="99" spans="1:43" ht="14.1" customHeight="1">
      <c r="A99" s="17">
        <v>27</v>
      </c>
      <c r="B99" s="67"/>
      <c r="C99" s="68" t="s">
        <v>182</v>
      </c>
      <c r="D99" s="68"/>
      <c r="E99" s="68" t="s">
        <v>157</v>
      </c>
      <c r="F99" s="68"/>
      <c r="G99" s="68"/>
      <c r="H99" s="68"/>
      <c r="I99" s="68"/>
      <c r="J99" s="68"/>
      <c r="K99" s="68"/>
      <c r="L99" s="148" t="str">
        <f t="shared" si="10"/>
        <v>TBD</v>
      </c>
      <c r="M99" s="104" t="str">
        <f t="shared" si="11"/>
        <v/>
      </c>
      <c r="O99" s="96"/>
      <c r="P99" s="21" t="s">
        <v>152</v>
      </c>
      <c r="Y99" s="32"/>
      <c r="AA99" s="35" t="s">
        <v>190</v>
      </c>
      <c r="AB99" s="65"/>
      <c r="AD99" s="66" t="str">
        <f>IF(U425="","",U425)</f>
        <v/>
      </c>
      <c r="AH99" s="618">
        <v>28</v>
      </c>
      <c r="AI99" s="619">
        <v>50</v>
      </c>
      <c r="AJ99" s="620">
        <v>0.7</v>
      </c>
      <c r="AK99" s="619" t="str">
        <f t="shared" si="12"/>
        <v/>
      </c>
      <c r="AL99" s="619" t="str">
        <f t="shared" si="13"/>
        <v/>
      </c>
      <c r="AM99" s="619"/>
      <c r="AN99" s="619"/>
      <c r="AO99" s="619"/>
      <c r="AP99" s="619"/>
      <c r="AQ99" s="621"/>
    </row>
    <row r="100" spans="1:43" ht="14.1" customHeight="1">
      <c r="A100" s="17">
        <v>28</v>
      </c>
      <c r="B100" s="67"/>
      <c r="C100" s="335"/>
      <c r="D100" s="68"/>
      <c r="E100" s="68" t="s">
        <v>159</v>
      </c>
      <c r="F100" s="68"/>
      <c r="G100" s="68"/>
      <c r="H100" s="68"/>
      <c r="I100" s="68"/>
      <c r="J100" s="68"/>
      <c r="K100" s="68"/>
      <c r="L100" s="148" t="str">
        <f t="shared" si="10"/>
        <v>TBD</v>
      </c>
      <c r="M100" s="104" t="str">
        <f t="shared" si="11"/>
        <v/>
      </c>
      <c r="O100" s="96"/>
      <c r="P100" s="21" t="s">
        <v>154</v>
      </c>
      <c r="Y100" s="32"/>
      <c r="AA100" s="75" t="s">
        <v>193</v>
      </c>
      <c r="AH100" s="618">
        <v>28</v>
      </c>
      <c r="AI100" s="619">
        <v>50</v>
      </c>
      <c r="AJ100" s="620">
        <v>0.7</v>
      </c>
      <c r="AK100" s="619" t="str">
        <f t="shared" si="12"/>
        <v/>
      </c>
      <c r="AL100" s="619" t="str">
        <f t="shared" si="13"/>
        <v/>
      </c>
      <c r="AM100" s="619"/>
      <c r="AN100" s="619"/>
      <c r="AO100" s="619"/>
      <c r="AP100" s="619"/>
      <c r="AQ100" s="621"/>
    </row>
    <row r="101" spans="1:43" ht="14.1" customHeight="1">
      <c r="A101" s="17">
        <v>29</v>
      </c>
      <c r="B101" s="67"/>
      <c r="C101" s="68"/>
      <c r="D101" s="68"/>
      <c r="E101" s="68" t="s">
        <v>162</v>
      </c>
      <c r="F101" s="68"/>
      <c r="G101" s="68"/>
      <c r="H101" s="68"/>
      <c r="I101" s="68"/>
      <c r="J101" s="68"/>
      <c r="K101" s="68"/>
      <c r="L101" s="148" t="str">
        <f t="shared" si="10"/>
        <v>TBD</v>
      </c>
      <c r="M101" s="104" t="str">
        <f t="shared" si="11"/>
        <v/>
      </c>
      <c r="O101" s="96"/>
      <c r="P101" s="21" t="s">
        <v>155</v>
      </c>
      <c r="Y101" s="32"/>
      <c r="AA101" s="35" t="s">
        <v>172</v>
      </c>
      <c r="AB101" s="65"/>
      <c r="AD101" s="66" t="str">
        <f>IF(Q439="","",Q439)</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187</v>
      </c>
      <c r="D102" s="68"/>
      <c r="E102" s="68" t="s">
        <v>165</v>
      </c>
      <c r="F102" s="68"/>
      <c r="G102" s="68"/>
      <c r="H102" s="68"/>
      <c r="I102" s="68"/>
      <c r="J102" s="68"/>
      <c r="K102" s="68"/>
      <c r="L102" s="148" t="str">
        <f t="shared" si="10"/>
        <v>TBD</v>
      </c>
      <c r="M102" s="104" t="str">
        <f t="shared" si="11"/>
        <v/>
      </c>
      <c r="O102" s="96"/>
      <c r="P102" s="21" t="s">
        <v>157</v>
      </c>
      <c r="Y102" s="32"/>
      <c r="AA102" s="35" t="s">
        <v>175</v>
      </c>
      <c r="AB102" s="65"/>
      <c r="AD102" s="66" t="str">
        <f>IF(Q440="","",Q440)</f>
        <v/>
      </c>
      <c r="AH102" s="618">
        <v>30</v>
      </c>
      <c r="AI102" s="619">
        <v>50</v>
      </c>
      <c r="AJ102" s="620">
        <v>0</v>
      </c>
      <c r="AK102" s="619" t="str">
        <f t="shared" si="12"/>
        <v/>
      </c>
      <c r="AL102" s="619" t="str">
        <f t="shared" si="13"/>
        <v/>
      </c>
      <c r="AM102" s="619"/>
      <c r="AN102" s="619"/>
      <c r="AO102" s="619"/>
      <c r="AP102" s="619"/>
      <c r="AQ102" s="621"/>
    </row>
    <row r="103" spans="1:43" ht="14.1" customHeight="1">
      <c r="A103" s="17">
        <v>31</v>
      </c>
      <c r="B103" s="67"/>
      <c r="C103" s="68" t="s">
        <v>189</v>
      </c>
      <c r="D103" s="68"/>
      <c r="E103" s="68" t="s">
        <v>168</v>
      </c>
      <c r="F103" s="68"/>
      <c r="G103" s="68"/>
      <c r="H103" s="68"/>
      <c r="I103" s="68"/>
      <c r="J103" s="68"/>
      <c r="K103" s="68"/>
      <c r="L103" s="148" t="str">
        <f t="shared" si="10"/>
        <v>TBD</v>
      </c>
      <c r="M103" s="104" t="str">
        <f t="shared" si="11"/>
        <v/>
      </c>
      <c r="O103" s="96"/>
      <c r="P103" s="21" t="s">
        <v>159</v>
      </c>
      <c r="Y103" s="32"/>
      <c r="AA103" s="35" t="s">
        <v>186</v>
      </c>
      <c r="AB103" s="65"/>
      <c r="AD103" s="66" t="str">
        <f>IF(Q441="","",Q441)</f>
        <v/>
      </c>
      <c r="AH103" s="618">
        <v>30</v>
      </c>
      <c r="AI103" s="619">
        <v>50</v>
      </c>
      <c r="AJ103" s="620">
        <v>0.5</v>
      </c>
      <c r="AK103" s="619" t="str">
        <f t="shared" si="12"/>
        <v/>
      </c>
      <c r="AL103" s="619" t="str">
        <f t="shared" si="13"/>
        <v/>
      </c>
      <c r="AM103" s="619"/>
      <c r="AN103" s="619"/>
      <c r="AO103" s="619"/>
      <c r="AP103" s="619"/>
      <c r="AQ103" s="621"/>
    </row>
    <row r="104" spans="1:43" ht="14.1" customHeight="1">
      <c r="A104" s="17">
        <v>32</v>
      </c>
      <c r="B104" s="67"/>
      <c r="C104" s="68" t="s">
        <v>191</v>
      </c>
      <c r="D104" s="68"/>
      <c r="E104" s="68" t="s">
        <v>192</v>
      </c>
      <c r="F104" s="68"/>
      <c r="G104" s="68"/>
      <c r="H104" s="68"/>
      <c r="I104" s="68"/>
      <c r="J104" s="68"/>
      <c r="K104" s="68"/>
      <c r="L104" s="148" t="str">
        <f t="shared" si="10"/>
        <v>TBD</v>
      </c>
      <c r="M104" s="104" t="str">
        <f t="shared" si="11"/>
        <v/>
      </c>
      <c r="O104" s="96"/>
      <c r="P104" s="21" t="s">
        <v>162</v>
      </c>
      <c r="Y104" s="32"/>
      <c r="AA104" s="35" t="s">
        <v>188</v>
      </c>
      <c r="AB104" s="65"/>
      <c r="AD104" s="66" t="str">
        <f>IF(Q442="","",Q442)</f>
        <v/>
      </c>
      <c r="AH104" s="618">
        <v>30</v>
      </c>
      <c r="AI104" s="619">
        <v>50</v>
      </c>
      <c r="AJ104" s="620">
        <v>0.5</v>
      </c>
      <c r="AK104" s="619" t="str">
        <f t="shared" si="12"/>
        <v/>
      </c>
      <c r="AL104" s="619" t="str">
        <f t="shared" si="13"/>
        <v/>
      </c>
      <c r="AM104" s="619"/>
      <c r="AN104" s="619"/>
      <c r="AO104" s="619"/>
      <c r="AP104" s="619"/>
      <c r="AQ104" s="621"/>
    </row>
    <row r="105" spans="1:43" ht="14.1" customHeight="1">
      <c r="A105" s="17">
        <v>33</v>
      </c>
      <c r="B105" s="67"/>
      <c r="C105" s="68" t="s">
        <v>194</v>
      </c>
      <c r="D105" s="68"/>
      <c r="E105" s="68" t="s">
        <v>174</v>
      </c>
      <c r="F105" s="68"/>
      <c r="G105" s="68"/>
      <c r="H105" s="68"/>
      <c r="I105" s="68"/>
      <c r="J105" s="68"/>
      <c r="K105" s="68"/>
      <c r="L105" s="148" t="str">
        <f t="shared" si="10"/>
        <v>TBD</v>
      </c>
      <c r="M105" s="104" t="str">
        <f t="shared" si="11"/>
        <v/>
      </c>
      <c r="O105" s="96"/>
      <c r="P105" s="21" t="s">
        <v>165</v>
      </c>
      <c r="Y105" s="32"/>
      <c r="AA105" s="35" t="s">
        <v>190</v>
      </c>
      <c r="AB105" s="65"/>
      <c r="AD105" s="66" t="str">
        <f>IF(Q443="","",Q443)</f>
        <v/>
      </c>
      <c r="AH105" s="618">
        <v>30</v>
      </c>
      <c r="AI105" s="619">
        <v>50</v>
      </c>
      <c r="AJ105" s="620">
        <v>0.6</v>
      </c>
      <c r="AK105" s="619" t="str">
        <f t="shared" si="12"/>
        <v/>
      </c>
      <c r="AL105" s="619" t="str">
        <f t="shared" si="13"/>
        <v/>
      </c>
      <c r="AM105" s="619"/>
      <c r="AN105" s="619"/>
      <c r="AO105" s="619"/>
      <c r="AP105" s="619"/>
      <c r="AQ105" s="621"/>
    </row>
    <row r="106" spans="1:43" ht="14.1" customHeight="1">
      <c r="A106" s="17">
        <v>34</v>
      </c>
      <c r="B106" s="67"/>
      <c r="C106" s="68" t="s">
        <v>195</v>
      </c>
      <c r="D106" s="68"/>
      <c r="E106" s="68" t="s">
        <v>177</v>
      </c>
      <c r="F106" s="68"/>
      <c r="G106" s="68"/>
      <c r="H106" s="68"/>
      <c r="I106" s="68"/>
      <c r="J106" s="68"/>
      <c r="K106" s="68"/>
      <c r="L106" s="148" t="str">
        <f t="shared" si="10"/>
        <v>TBD</v>
      </c>
      <c r="M106" s="104" t="str">
        <f t="shared" si="11"/>
        <v/>
      </c>
      <c r="O106" s="96"/>
      <c r="P106" s="21" t="s">
        <v>168</v>
      </c>
      <c r="Y106" s="32"/>
      <c r="AA106" s="35" t="s">
        <v>172</v>
      </c>
      <c r="AB106" s="65"/>
      <c r="AD106" s="66" t="str">
        <f>IF(R439="","",R439)</f>
        <v/>
      </c>
      <c r="AH106" s="618">
        <v>30</v>
      </c>
      <c r="AI106" s="619">
        <v>50</v>
      </c>
      <c r="AJ106" s="620">
        <v>0.6</v>
      </c>
      <c r="AK106" s="619" t="str">
        <f t="shared" si="12"/>
        <v/>
      </c>
      <c r="AL106" s="619" t="str">
        <f t="shared" si="13"/>
        <v/>
      </c>
      <c r="AM106" s="619"/>
      <c r="AN106" s="619"/>
      <c r="AO106" s="619"/>
      <c r="AP106" s="619"/>
      <c r="AQ106" s="621"/>
    </row>
    <row r="107" spans="1:43" ht="14.1" customHeight="1">
      <c r="A107" s="17">
        <v>35</v>
      </c>
      <c r="B107" s="67"/>
      <c r="C107" s="68" t="s">
        <v>196</v>
      </c>
      <c r="D107" s="68"/>
      <c r="E107" s="68" t="s">
        <v>180</v>
      </c>
      <c r="F107" s="68"/>
      <c r="G107" s="68"/>
      <c r="H107" s="68"/>
      <c r="I107" s="68"/>
      <c r="J107" s="68"/>
      <c r="K107" s="68"/>
      <c r="L107" s="148" t="str">
        <f t="shared" si="10"/>
        <v>TBD</v>
      </c>
      <c r="M107" s="104" t="str">
        <f t="shared" si="11"/>
        <v/>
      </c>
      <c r="O107" s="96"/>
      <c r="P107" s="21" t="s">
        <v>171</v>
      </c>
      <c r="Y107" s="32"/>
      <c r="AA107" s="35" t="s">
        <v>175</v>
      </c>
      <c r="AB107" s="65"/>
      <c r="AD107" s="66" t="str">
        <f>IF(R440="","",R440)</f>
        <v/>
      </c>
      <c r="AH107" s="618">
        <v>30</v>
      </c>
      <c r="AI107" s="619">
        <v>50</v>
      </c>
      <c r="AJ107" s="620">
        <v>0.7</v>
      </c>
      <c r="AK107" s="619" t="str">
        <f t="shared" si="12"/>
        <v/>
      </c>
      <c r="AL107" s="619" t="str">
        <f t="shared" si="13"/>
        <v/>
      </c>
      <c r="AM107" s="619"/>
      <c r="AN107" s="619"/>
      <c r="AO107" s="619"/>
      <c r="AP107" s="619"/>
      <c r="AQ107" s="621"/>
    </row>
    <row r="108" spans="1:43" ht="14.1" customHeight="1">
      <c r="A108" s="17">
        <v>36</v>
      </c>
      <c r="B108" s="67"/>
      <c r="C108" s="68"/>
      <c r="D108" s="68"/>
      <c r="E108" s="68"/>
      <c r="F108" s="68"/>
      <c r="G108" s="68"/>
      <c r="H108" s="68"/>
      <c r="I108" s="68"/>
      <c r="J108" s="68"/>
      <c r="K108" s="68"/>
      <c r="L108" s="68"/>
      <c r="M108" s="69"/>
      <c r="O108" s="96"/>
      <c r="P108" s="21" t="s">
        <v>174</v>
      </c>
      <c r="Y108" s="32"/>
      <c r="AA108" s="35" t="s">
        <v>186</v>
      </c>
      <c r="AB108" s="65"/>
      <c r="AD108" s="66" t="str">
        <f>IF(R441="","",R441)</f>
        <v/>
      </c>
      <c r="AH108" s="618">
        <v>30</v>
      </c>
      <c r="AI108" s="619">
        <v>50</v>
      </c>
      <c r="AJ108" s="620">
        <v>0.7</v>
      </c>
      <c r="AK108" s="619" t="str">
        <f t="shared" si="12"/>
        <v/>
      </c>
      <c r="AL108" s="619" t="str">
        <f t="shared" si="13"/>
        <v/>
      </c>
      <c r="AM108" s="619"/>
      <c r="AN108" s="619"/>
      <c r="AO108" s="619"/>
      <c r="AP108" s="619"/>
      <c r="AQ108" s="621"/>
    </row>
    <row r="109" spans="1:43" ht="14.1" customHeight="1">
      <c r="A109" s="17">
        <v>37</v>
      </c>
      <c r="B109" s="67"/>
      <c r="C109" s="68"/>
      <c r="D109" s="68"/>
      <c r="E109" s="68" t="s">
        <v>517</v>
      </c>
      <c r="F109" s="68"/>
      <c r="G109" s="68"/>
      <c r="H109" s="68"/>
      <c r="I109" s="68"/>
      <c r="J109" s="68"/>
      <c r="K109" s="68"/>
      <c r="L109" s="148" t="str">
        <f t="shared" ref="L109:L125" si="14">IF(O45="","TBD",IF(O45=1,"YES",IF(O45=3,"NA","")))</f>
        <v>TBD</v>
      </c>
      <c r="M109" s="104" t="str">
        <f t="shared" ref="M109:M125" si="15">IF(O45=2,"NO","")</f>
        <v/>
      </c>
      <c r="O109" s="96"/>
      <c r="P109" s="21" t="s">
        <v>177</v>
      </c>
      <c r="Y109" s="32"/>
      <c r="AA109" s="35" t="s">
        <v>188</v>
      </c>
      <c r="AB109" s="65"/>
      <c r="AD109" s="66" t="str">
        <f>IF(R442="","",R442)</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518</v>
      </c>
      <c r="F110" s="68"/>
      <c r="G110" s="68"/>
      <c r="H110" s="68"/>
      <c r="I110" s="68"/>
      <c r="J110" s="68"/>
      <c r="K110" s="68"/>
      <c r="L110" s="148" t="str">
        <f t="shared" si="14"/>
        <v>TBD</v>
      </c>
      <c r="M110" s="104" t="str">
        <f t="shared" si="15"/>
        <v/>
      </c>
      <c r="O110" s="96"/>
      <c r="P110" s="21" t="s">
        <v>180</v>
      </c>
      <c r="Y110" s="32"/>
      <c r="AA110" s="35" t="s">
        <v>190</v>
      </c>
      <c r="AB110" s="65"/>
      <c r="AD110" s="66" t="str">
        <f>IF(R443="","",R443)</f>
        <v/>
      </c>
      <c r="AH110" s="618">
        <v>32</v>
      </c>
      <c r="AI110" s="619">
        <v>50</v>
      </c>
      <c r="AJ110" s="620">
        <v>0</v>
      </c>
      <c r="AK110" s="619" t="str">
        <f t="shared" si="12"/>
        <v/>
      </c>
      <c r="AL110" s="619" t="str">
        <f t="shared" si="13"/>
        <v/>
      </c>
      <c r="AM110" s="619"/>
      <c r="AN110" s="619"/>
      <c r="AO110" s="619"/>
      <c r="AP110" s="619"/>
      <c r="AQ110" s="621"/>
    </row>
    <row r="111" spans="1:43" ht="14.1" customHeight="1">
      <c r="A111" s="17">
        <v>39</v>
      </c>
      <c r="B111" s="67"/>
      <c r="C111" s="68"/>
      <c r="D111" s="68"/>
      <c r="E111" s="68" t="s">
        <v>519</v>
      </c>
      <c r="F111" s="68"/>
      <c r="G111" s="68"/>
      <c r="H111" s="68"/>
      <c r="I111" s="68"/>
      <c r="J111" s="68"/>
      <c r="K111" s="68"/>
      <c r="L111" s="148" t="str">
        <f t="shared" si="14"/>
        <v>TBD</v>
      </c>
      <c r="M111" s="104" t="str">
        <f t="shared" si="15"/>
        <v/>
      </c>
      <c r="O111" s="492"/>
      <c r="T111" s="75" t="s">
        <v>547</v>
      </c>
      <c r="Y111" s="32"/>
      <c r="AA111" s="35" t="s">
        <v>172</v>
      </c>
      <c r="AB111" s="65"/>
      <c r="AD111" s="66" t="str">
        <f>IF(S439="","",S439)</f>
        <v/>
      </c>
      <c r="AH111" s="618">
        <v>32</v>
      </c>
      <c r="AI111" s="619">
        <v>50</v>
      </c>
      <c r="AJ111" s="620">
        <v>0.5</v>
      </c>
      <c r="AK111" s="619" t="str">
        <f t="shared" si="12"/>
        <v/>
      </c>
      <c r="AL111" s="619" t="str">
        <f t="shared" si="13"/>
        <v/>
      </c>
      <c r="AM111" s="619"/>
      <c r="AN111" s="619"/>
      <c r="AO111" s="619"/>
      <c r="AP111" s="619"/>
      <c r="AQ111" s="621"/>
    </row>
    <row r="112" spans="1:43" ht="14.1" customHeight="1">
      <c r="A112" s="17">
        <v>40</v>
      </c>
      <c r="B112" s="67"/>
      <c r="C112" s="68"/>
      <c r="D112" s="68"/>
      <c r="E112" s="68" t="s">
        <v>520</v>
      </c>
      <c r="F112" s="68"/>
      <c r="G112" s="68"/>
      <c r="H112" s="68"/>
      <c r="I112" s="68"/>
      <c r="J112" s="68"/>
      <c r="K112" s="68"/>
      <c r="L112" s="148" t="str">
        <f t="shared" si="14"/>
        <v>TBD</v>
      </c>
      <c r="M112" s="104" t="str">
        <f t="shared" si="15"/>
        <v/>
      </c>
      <c r="O112" s="96"/>
      <c r="P112" s="68" t="s">
        <v>548</v>
      </c>
      <c r="Y112" s="32"/>
      <c r="AA112" s="35" t="s">
        <v>175</v>
      </c>
      <c r="AB112" s="65"/>
      <c r="AD112" s="66" t="str">
        <f>IF(S440="","",S440)</f>
        <v/>
      </c>
      <c r="AH112" s="618">
        <v>32</v>
      </c>
      <c r="AI112" s="619">
        <v>50</v>
      </c>
      <c r="AJ112" s="620">
        <v>0.5</v>
      </c>
      <c r="AK112" s="619" t="str">
        <f t="shared" si="12"/>
        <v/>
      </c>
      <c r="AL112" s="619" t="str">
        <f t="shared" si="13"/>
        <v/>
      </c>
      <c r="AM112" s="619"/>
      <c r="AN112" s="619"/>
      <c r="AO112" s="619"/>
      <c r="AP112" s="619"/>
      <c r="AQ112" s="621"/>
    </row>
    <row r="113" spans="1:43" ht="14.1" customHeight="1">
      <c r="A113" s="17">
        <v>41</v>
      </c>
      <c r="B113" s="67"/>
      <c r="C113" s="68"/>
      <c r="D113" s="68"/>
      <c r="E113" s="68" t="s">
        <v>521</v>
      </c>
      <c r="F113" s="68"/>
      <c r="G113" s="68"/>
      <c r="H113" s="68"/>
      <c r="I113" s="68"/>
      <c r="J113" s="68"/>
      <c r="K113" s="68"/>
      <c r="L113" s="148" t="str">
        <f t="shared" si="14"/>
        <v>TBD</v>
      </c>
      <c r="M113" s="104" t="str">
        <f t="shared" si="15"/>
        <v/>
      </c>
      <c r="O113" s="96"/>
      <c r="P113" s="68" t="s">
        <v>549</v>
      </c>
      <c r="Y113" s="32"/>
      <c r="AA113" s="35" t="s">
        <v>186</v>
      </c>
      <c r="AB113" s="65"/>
      <c r="AD113" s="66" t="str">
        <f>IF(S441="","",S441)</f>
        <v/>
      </c>
      <c r="AH113" s="618">
        <v>32</v>
      </c>
      <c r="AI113" s="619">
        <v>50</v>
      </c>
      <c r="AJ113" s="620">
        <v>0.6</v>
      </c>
      <c r="AK113" s="619" t="str">
        <f t="shared" si="12"/>
        <v/>
      </c>
      <c r="AL113" s="619" t="str">
        <f t="shared" si="13"/>
        <v/>
      </c>
      <c r="AM113" s="619"/>
      <c r="AN113" s="619"/>
      <c r="AO113" s="619"/>
      <c r="AP113" s="619"/>
      <c r="AQ113" s="621"/>
    </row>
    <row r="114" spans="1:43" ht="14.1" customHeight="1">
      <c r="A114" s="17">
        <v>42</v>
      </c>
      <c r="B114" s="67"/>
      <c r="C114" s="68"/>
      <c r="D114" s="68"/>
      <c r="E114" s="68" t="s">
        <v>522</v>
      </c>
      <c r="F114" s="68"/>
      <c r="G114" s="68"/>
      <c r="H114" s="68"/>
      <c r="I114" s="68"/>
      <c r="J114" s="68"/>
      <c r="K114" s="68"/>
      <c r="L114" s="148" t="str">
        <f t="shared" si="14"/>
        <v>TBD</v>
      </c>
      <c r="M114" s="104" t="str">
        <f t="shared" si="15"/>
        <v/>
      </c>
      <c r="O114" s="96"/>
      <c r="P114" s="68" t="s">
        <v>550</v>
      </c>
      <c r="Y114" s="32"/>
      <c r="AA114" s="35" t="s">
        <v>188</v>
      </c>
      <c r="AB114" s="65"/>
      <c r="AD114" s="66" t="str">
        <f>IF(S442="","",S442)</f>
        <v/>
      </c>
      <c r="AH114" s="618">
        <v>32</v>
      </c>
      <c r="AI114" s="619">
        <v>50</v>
      </c>
      <c r="AJ114" s="620">
        <v>0.6</v>
      </c>
      <c r="AK114" s="619" t="str">
        <f t="shared" si="12"/>
        <v/>
      </c>
      <c r="AL114" s="619" t="str">
        <f t="shared" si="13"/>
        <v/>
      </c>
      <c r="AM114" s="619"/>
      <c r="AN114" s="619"/>
      <c r="AO114" s="619"/>
      <c r="AP114" s="619"/>
      <c r="AQ114" s="621"/>
    </row>
    <row r="115" spans="1:43" ht="14.1" customHeight="1">
      <c r="A115" s="17">
        <v>43</v>
      </c>
      <c r="B115" s="67"/>
      <c r="C115" s="68"/>
      <c r="D115" s="68"/>
      <c r="E115" s="68" t="s">
        <v>523</v>
      </c>
      <c r="F115" s="68"/>
      <c r="G115" s="68"/>
      <c r="H115" s="68"/>
      <c r="I115" s="68"/>
      <c r="J115" s="68"/>
      <c r="K115" s="68"/>
      <c r="L115" s="148" t="str">
        <f t="shared" si="14"/>
        <v>TBD</v>
      </c>
      <c r="M115" s="104" t="str">
        <f t="shared" si="15"/>
        <v/>
      </c>
      <c r="O115" s="96"/>
      <c r="P115" s="68" t="s">
        <v>551</v>
      </c>
      <c r="Y115" s="32"/>
      <c r="AA115" s="35" t="s">
        <v>190</v>
      </c>
      <c r="AB115" s="65"/>
      <c r="AD115" s="66" t="str">
        <f>IF(S443="","",S443)</f>
        <v/>
      </c>
      <c r="AH115" s="618">
        <v>32</v>
      </c>
      <c r="AI115" s="619">
        <v>50</v>
      </c>
      <c r="AJ115" s="620">
        <v>0.7</v>
      </c>
      <c r="AK115" s="619" t="str">
        <f t="shared" si="12"/>
        <v/>
      </c>
      <c r="AL115" s="619" t="str">
        <f t="shared" si="13"/>
        <v/>
      </c>
      <c r="AM115" s="619"/>
      <c r="AN115" s="619"/>
      <c r="AO115" s="619"/>
      <c r="AP115" s="619"/>
      <c r="AQ115" s="621"/>
    </row>
    <row r="116" spans="1:43" ht="14.1" customHeight="1">
      <c r="A116" s="17">
        <v>44</v>
      </c>
      <c r="B116" s="67"/>
      <c r="C116" s="68"/>
      <c r="D116" s="68"/>
      <c r="E116" s="68" t="s">
        <v>524</v>
      </c>
      <c r="F116" s="68"/>
      <c r="G116" s="68"/>
      <c r="H116" s="68"/>
      <c r="I116" s="68"/>
      <c r="J116" s="68"/>
      <c r="K116" s="68"/>
      <c r="L116" s="148" t="str">
        <f t="shared" si="14"/>
        <v>TBD</v>
      </c>
      <c r="M116" s="104" t="str">
        <f t="shared" si="15"/>
        <v/>
      </c>
      <c r="O116" s="96"/>
      <c r="P116" s="68" t="s">
        <v>552</v>
      </c>
      <c r="Y116" s="32"/>
      <c r="AA116" s="35" t="s">
        <v>197</v>
      </c>
      <c r="AB116" s="65"/>
      <c r="AD116" s="66" t="str">
        <f>IF(T452="","",T452)</f>
        <v/>
      </c>
      <c r="AH116" s="618">
        <v>32</v>
      </c>
      <c r="AI116" s="619">
        <v>50</v>
      </c>
      <c r="AJ116" s="620">
        <v>0.7</v>
      </c>
      <c r="AK116" s="619" t="str">
        <f t="shared" si="12"/>
        <v/>
      </c>
      <c r="AL116" s="619" t="str">
        <f t="shared" si="13"/>
        <v/>
      </c>
      <c r="AM116" s="619"/>
      <c r="AN116" s="619"/>
      <c r="AO116" s="619"/>
      <c r="AP116" s="619"/>
      <c r="AQ116" s="621"/>
    </row>
    <row r="117" spans="1:43" ht="14.1" customHeight="1" thickBot="1">
      <c r="A117" s="17">
        <v>45</v>
      </c>
      <c r="B117" s="67"/>
      <c r="C117" s="68"/>
      <c r="D117" s="68"/>
      <c r="E117" s="68" t="s">
        <v>525</v>
      </c>
      <c r="F117" s="68"/>
      <c r="G117" s="68"/>
      <c r="H117" s="68"/>
      <c r="I117" s="68"/>
      <c r="J117" s="68"/>
      <c r="K117" s="68"/>
      <c r="L117" s="148" t="str">
        <f t="shared" si="14"/>
        <v>TBD</v>
      </c>
      <c r="M117" s="104" t="str">
        <f t="shared" si="15"/>
        <v/>
      </c>
      <c r="O117" s="40"/>
      <c r="P117" s="41"/>
      <c r="Q117" s="41"/>
      <c r="R117" s="41"/>
      <c r="S117" s="41"/>
      <c r="T117" s="41"/>
      <c r="U117" s="41"/>
      <c r="V117" s="41"/>
      <c r="W117" s="41"/>
      <c r="X117" s="41"/>
      <c r="Y117" s="42"/>
      <c r="AA117" s="35" t="s">
        <v>198</v>
      </c>
      <c r="AB117" s="65"/>
      <c r="AD117" s="66" t="str">
        <f>IF(T453="","",T453)</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526</v>
      </c>
      <c r="F118" s="68"/>
      <c r="G118" s="68"/>
      <c r="H118" s="68"/>
      <c r="I118" s="68"/>
      <c r="J118" s="68"/>
      <c r="K118" s="68"/>
      <c r="L118" s="148" t="str">
        <f t="shared" si="14"/>
        <v>TBD</v>
      </c>
      <c r="M118" s="104" t="str">
        <f t="shared" si="15"/>
        <v/>
      </c>
      <c r="AA118" s="75" t="s">
        <v>625</v>
      </c>
      <c r="AH118" s="618">
        <v>34</v>
      </c>
      <c r="AI118" s="619">
        <v>50</v>
      </c>
      <c r="AJ118" s="620">
        <v>0</v>
      </c>
      <c r="AK118" s="619" t="str">
        <f t="shared" si="12"/>
        <v/>
      </c>
      <c r="AL118" s="619" t="str">
        <f t="shared" si="13"/>
        <v/>
      </c>
      <c r="AM118" s="619"/>
      <c r="AN118" s="619"/>
      <c r="AO118" s="619"/>
      <c r="AP118" s="619"/>
      <c r="AQ118" s="621"/>
    </row>
    <row r="119" spans="1:43" ht="14.1" customHeight="1" thickBot="1">
      <c r="A119" s="17">
        <v>47</v>
      </c>
      <c r="B119" s="67"/>
      <c r="C119" s="68"/>
      <c r="D119" s="68"/>
      <c r="E119" s="68" t="s">
        <v>527</v>
      </c>
      <c r="F119" s="68"/>
      <c r="G119" s="68"/>
      <c r="H119" s="68"/>
      <c r="I119" s="68"/>
      <c r="J119" s="68"/>
      <c r="K119" s="68"/>
      <c r="L119" s="148" t="str">
        <f t="shared" si="14"/>
        <v>TBD</v>
      </c>
      <c r="M119" s="104" t="str">
        <f t="shared" si="15"/>
        <v/>
      </c>
      <c r="T119" s="259" t="s">
        <v>185</v>
      </c>
      <c r="AA119" s="35" t="s">
        <v>627</v>
      </c>
      <c r="AB119" s="65"/>
      <c r="AD119" s="66" t="str">
        <f>IF(S282="","",S282)</f>
        <v/>
      </c>
      <c r="AH119" s="618">
        <v>34</v>
      </c>
      <c r="AI119" s="619">
        <v>50</v>
      </c>
      <c r="AJ119" s="620">
        <v>0.5</v>
      </c>
      <c r="AK119" s="619" t="str">
        <f t="shared" si="12"/>
        <v/>
      </c>
      <c r="AL119" s="619" t="str">
        <f t="shared" si="13"/>
        <v/>
      </c>
      <c r="AM119" s="619"/>
      <c r="AN119" s="619"/>
      <c r="AO119" s="619"/>
      <c r="AP119" s="619"/>
      <c r="AQ119" s="621"/>
    </row>
    <row r="120" spans="1:43" ht="14.1" customHeight="1" thickBot="1">
      <c r="A120" s="17">
        <v>48</v>
      </c>
      <c r="B120" s="67"/>
      <c r="C120" s="68"/>
      <c r="D120" s="68"/>
      <c r="E120" s="68" t="s">
        <v>528</v>
      </c>
      <c r="F120" s="68"/>
      <c r="G120" s="68"/>
      <c r="H120" s="68"/>
      <c r="I120" s="68"/>
      <c r="J120" s="68"/>
      <c r="K120" s="68"/>
      <c r="L120" s="148" t="str">
        <f t="shared" si="14"/>
        <v>TBD</v>
      </c>
      <c r="M120" s="104" t="str">
        <f t="shared" si="15"/>
        <v/>
      </c>
      <c r="O120" s="62"/>
      <c r="P120" s="23"/>
      <c r="Q120" s="23"/>
      <c r="R120" s="23"/>
      <c r="S120" s="23"/>
      <c r="T120" s="23"/>
      <c r="U120" s="23"/>
      <c r="V120" s="23"/>
      <c r="W120" s="23"/>
      <c r="X120" s="23"/>
      <c r="Y120" s="24"/>
      <c r="AA120" s="35" t="s">
        <v>628</v>
      </c>
      <c r="AB120" s="65"/>
      <c r="AD120" s="66" t="str">
        <f t="shared" ref="AD120:AD121" si="16">IF(S283="","",S283)</f>
        <v/>
      </c>
      <c r="AH120" s="618">
        <v>34</v>
      </c>
      <c r="AI120" s="619">
        <v>50</v>
      </c>
      <c r="AJ120" s="620">
        <v>0.5</v>
      </c>
      <c r="AK120" s="619" t="str">
        <f t="shared" si="12"/>
        <v/>
      </c>
      <c r="AL120" s="619" t="str">
        <f t="shared" si="13"/>
        <v/>
      </c>
      <c r="AM120" s="619"/>
      <c r="AN120" s="619"/>
      <c r="AO120" s="619"/>
      <c r="AP120" s="619"/>
      <c r="AQ120" s="621"/>
    </row>
    <row r="121" spans="1:43" ht="14.1" customHeight="1">
      <c r="A121" s="17">
        <v>49</v>
      </c>
      <c r="B121" s="67"/>
      <c r="C121" s="68"/>
      <c r="D121" s="68"/>
      <c r="E121" s="68" t="s">
        <v>529</v>
      </c>
      <c r="F121" s="68"/>
      <c r="G121" s="68"/>
      <c r="H121" s="68"/>
      <c r="I121" s="68"/>
      <c r="J121" s="68"/>
      <c r="K121" s="68"/>
      <c r="L121" s="148" t="str">
        <f t="shared" si="14"/>
        <v>TBD</v>
      </c>
      <c r="M121" s="104" t="str">
        <f t="shared" si="15"/>
        <v/>
      </c>
      <c r="O121" s="83" t="s">
        <v>63</v>
      </c>
      <c r="P121" s="831" t="s">
        <v>64</v>
      </c>
      <c r="Q121" s="832"/>
      <c r="R121" s="833"/>
      <c r="S121" s="831" t="s">
        <v>534</v>
      </c>
      <c r="T121" s="832"/>
      <c r="U121" s="833"/>
      <c r="V121" s="831" t="s">
        <v>66</v>
      </c>
      <c r="W121" s="832"/>
      <c r="X121" s="837"/>
      <c r="Y121" s="32"/>
      <c r="AA121" s="35" t="s">
        <v>629</v>
      </c>
      <c r="AB121" s="65"/>
      <c r="AD121" s="66" t="str">
        <f t="shared" si="16"/>
        <v/>
      </c>
      <c r="AH121" s="618">
        <v>34</v>
      </c>
      <c r="AI121" s="619">
        <v>50</v>
      </c>
      <c r="AJ121" s="620">
        <v>0.6</v>
      </c>
      <c r="AK121" s="619" t="str">
        <f t="shared" si="12"/>
        <v/>
      </c>
      <c r="AL121" s="619" t="str">
        <f t="shared" si="13"/>
        <v/>
      </c>
      <c r="AM121" s="619"/>
      <c r="AN121" s="619"/>
      <c r="AO121" s="619"/>
      <c r="AP121" s="619"/>
      <c r="AQ121" s="621"/>
    </row>
    <row r="122" spans="1:43" ht="14.1" customHeight="1">
      <c r="A122" s="17">
        <v>50</v>
      </c>
      <c r="B122" s="67"/>
      <c r="C122" s="68"/>
      <c r="D122" s="68"/>
      <c r="E122" s="68" t="s">
        <v>530</v>
      </c>
      <c r="F122" s="68"/>
      <c r="G122" s="68"/>
      <c r="H122" s="68"/>
      <c r="I122" s="68"/>
      <c r="J122" s="68"/>
      <c r="K122" s="68"/>
      <c r="L122" s="148" t="str">
        <f t="shared" si="14"/>
        <v>TBD</v>
      </c>
      <c r="M122" s="104" t="str">
        <f t="shared" si="15"/>
        <v/>
      </c>
      <c r="O122" s="84" t="s">
        <v>67</v>
      </c>
      <c r="P122" s="834"/>
      <c r="Q122" s="835"/>
      <c r="R122" s="836"/>
      <c r="S122" s="834"/>
      <c r="T122" s="835"/>
      <c r="U122" s="836"/>
      <c r="V122" s="834"/>
      <c r="W122" s="835"/>
      <c r="X122" s="838"/>
      <c r="Y122" s="32"/>
      <c r="AA122" s="35" t="s">
        <v>630</v>
      </c>
      <c r="AB122" s="65"/>
      <c r="AD122" s="66" t="str">
        <f>IF(P300="","",P300)</f>
        <v/>
      </c>
      <c r="AH122" s="618">
        <v>34</v>
      </c>
      <c r="AI122" s="619">
        <v>50</v>
      </c>
      <c r="AJ122" s="620">
        <v>0.6</v>
      </c>
      <c r="AK122" s="619" t="str">
        <f t="shared" si="12"/>
        <v/>
      </c>
      <c r="AL122" s="619" t="str">
        <f t="shared" si="13"/>
        <v/>
      </c>
      <c r="AM122" s="619"/>
      <c r="AN122" s="619"/>
      <c r="AO122" s="619"/>
      <c r="AP122" s="619"/>
      <c r="AQ122" s="621"/>
    </row>
    <row r="123" spans="1:43" ht="14.1" customHeight="1" thickBot="1">
      <c r="A123" s="17">
        <v>51</v>
      </c>
      <c r="B123" s="67"/>
      <c r="C123" s="68"/>
      <c r="D123" s="68"/>
      <c r="E123" s="68" t="s">
        <v>531</v>
      </c>
      <c r="F123" s="68"/>
      <c r="G123" s="68"/>
      <c r="H123" s="68"/>
      <c r="I123" s="68"/>
      <c r="J123" s="68"/>
      <c r="K123" s="68"/>
      <c r="L123" s="148" t="str">
        <f t="shared" si="14"/>
        <v>TBD</v>
      </c>
      <c r="M123" s="104" t="str">
        <f t="shared" si="15"/>
        <v/>
      </c>
      <c r="O123" s="84" t="s">
        <v>69</v>
      </c>
      <c r="P123" s="85" t="s">
        <v>70</v>
      </c>
      <c r="Q123" s="86" t="s">
        <v>24</v>
      </c>
      <c r="R123" s="87" t="s">
        <v>71</v>
      </c>
      <c r="S123" s="85" t="s">
        <v>70</v>
      </c>
      <c r="T123" s="86" t="s">
        <v>24</v>
      </c>
      <c r="U123" s="87" t="s">
        <v>71</v>
      </c>
      <c r="V123" s="85" t="s">
        <v>70</v>
      </c>
      <c r="W123" s="86" t="s">
        <v>24</v>
      </c>
      <c r="X123" s="87" t="s">
        <v>71</v>
      </c>
      <c r="Y123" s="32"/>
      <c r="AA123" s="35" t="s">
        <v>631</v>
      </c>
      <c r="AB123" s="65"/>
      <c r="AD123" s="66" t="str">
        <f>IF(Q300="","",Q300)</f>
        <v/>
      </c>
      <c r="AH123" s="618">
        <v>34</v>
      </c>
      <c r="AI123" s="619">
        <v>50</v>
      </c>
      <c r="AJ123" s="620">
        <v>0.7</v>
      </c>
      <c r="AK123" s="619" t="str">
        <f t="shared" si="12"/>
        <v/>
      </c>
      <c r="AL123" s="619" t="str">
        <f t="shared" si="13"/>
        <v/>
      </c>
      <c r="AM123" s="619"/>
      <c r="AN123" s="619"/>
      <c r="AO123" s="619"/>
      <c r="AP123" s="619"/>
      <c r="AQ123" s="621"/>
    </row>
    <row r="124" spans="1:43" ht="14.1" customHeight="1" thickTop="1">
      <c r="A124" s="17">
        <v>52</v>
      </c>
      <c r="B124" s="67"/>
      <c r="C124" s="68"/>
      <c r="D124" s="68"/>
      <c r="E124" s="68" t="s">
        <v>532</v>
      </c>
      <c r="F124" s="68"/>
      <c r="G124" s="68"/>
      <c r="H124" s="68"/>
      <c r="I124" s="68"/>
      <c r="J124" s="68"/>
      <c r="K124" s="68"/>
      <c r="L124" s="148" t="str">
        <f t="shared" si="14"/>
        <v>TBD</v>
      </c>
      <c r="M124" s="104" t="str">
        <f t="shared" si="15"/>
        <v/>
      </c>
      <c r="O124" s="88" t="s">
        <v>73</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632</v>
      </c>
      <c r="AB124" s="65"/>
      <c r="AD124" s="66" t="str">
        <f>IF(P301="","",P301)</f>
        <v/>
      </c>
      <c r="AH124" s="618">
        <v>34</v>
      </c>
      <c r="AI124" s="619">
        <v>50</v>
      </c>
      <c r="AJ124" s="620">
        <v>0.7</v>
      </c>
      <c r="AK124" s="619" t="str">
        <f t="shared" si="12"/>
        <v/>
      </c>
      <c r="AL124" s="619" t="str">
        <f t="shared" si="13"/>
        <v/>
      </c>
      <c r="AM124" s="619"/>
      <c r="AN124" s="619"/>
      <c r="AO124" s="619"/>
      <c r="AP124" s="619"/>
      <c r="AQ124" s="621"/>
    </row>
    <row r="125" spans="1:43" ht="14.1" customHeight="1">
      <c r="A125" s="17">
        <v>53</v>
      </c>
      <c r="B125" s="67"/>
      <c r="C125" s="68"/>
      <c r="D125" s="68"/>
      <c r="E125" s="68" t="s">
        <v>533</v>
      </c>
      <c r="F125" s="68"/>
      <c r="G125" s="68"/>
      <c r="H125" s="68"/>
      <c r="I125" s="68"/>
      <c r="J125" s="68"/>
      <c r="K125" s="68"/>
      <c r="L125" s="148" t="str">
        <f t="shared" si="14"/>
        <v>TBD</v>
      </c>
      <c r="M125" s="104" t="str">
        <f t="shared" si="15"/>
        <v/>
      </c>
      <c r="O125" s="93" t="s">
        <v>76</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633</v>
      </c>
      <c r="AB125" s="65"/>
      <c r="AD125" s="66" t="str">
        <f>IF(Q301="","",Q301)</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79</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634</v>
      </c>
      <c r="AB126" s="65"/>
      <c r="AD126" s="66" t="str">
        <f>IF(P302="","",P302)</f>
        <v/>
      </c>
      <c r="AH126" s="618">
        <v>38</v>
      </c>
      <c r="AI126" s="619">
        <v>50</v>
      </c>
      <c r="AJ126" s="620">
        <v>0</v>
      </c>
      <c r="AK126" s="619" t="str">
        <f t="shared" si="12"/>
        <v/>
      </c>
      <c r="AL126" s="619" t="str">
        <f t="shared" si="13"/>
        <v/>
      </c>
      <c r="AM126" s="619"/>
      <c r="AN126" s="619"/>
      <c r="AO126" s="619"/>
      <c r="AP126" s="619"/>
      <c r="AQ126" s="621"/>
    </row>
    <row r="127" spans="1:43" ht="14.1" customHeight="1" thickBot="1">
      <c r="A127" s="17">
        <v>55</v>
      </c>
      <c r="B127" s="67"/>
      <c r="C127" s="68"/>
      <c r="D127" s="68"/>
      <c r="E127" s="335"/>
      <c r="F127" s="68"/>
      <c r="G127" s="68"/>
      <c r="H127" s="495" t="s">
        <v>547</v>
      </c>
      <c r="I127" s="68"/>
      <c r="J127" s="68"/>
      <c r="K127" s="68"/>
      <c r="L127" s="68"/>
      <c r="M127" s="69"/>
      <c r="O127" s="97" t="s">
        <v>82</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635</v>
      </c>
      <c r="AB127" s="65"/>
      <c r="AD127" s="66" t="str">
        <f>IF(Q302="","",Q302)</f>
        <v/>
      </c>
      <c r="AH127" s="618">
        <v>38</v>
      </c>
      <c r="AI127" s="619">
        <v>50</v>
      </c>
      <c r="AJ127" s="620">
        <v>0.6</v>
      </c>
      <c r="AK127" s="619" t="str">
        <f t="shared" si="12"/>
        <v/>
      </c>
      <c r="AL127" s="619" t="str">
        <f t="shared" si="13"/>
        <v/>
      </c>
      <c r="AM127" s="619"/>
      <c r="AN127" s="619"/>
      <c r="AO127" s="619"/>
      <c r="AP127" s="619"/>
      <c r="AQ127" s="621"/>
    </row>
    <row r="128" spans="1:43" ht="14.1" customHeight="1" thickBot="1">
      <c r="A128" s="17">
        <v>56</v>
      </c>
      <c r="B128" s="67"/>
      <c r="C128" s="68"/>
      <c r="D128" s="68"/>
      <c r="E128" s="68" t="s">
        <v>548</v>
      </c>
      <c r="F128" s="68"/>
      <c r="G128" s="68"/>
      <c r="H128" s="68"/>
      <c r="I128" s="68"/>
      <c r="J128" s="68"/>
      <c r="K128" s="68"/>
      <c r="L128" s="148" t="str">
        <f>IF(O112="","TBD",IF(O112=1,"YES",IF(O112=3,"NA","")))</f>
        <v>TBD</v>
      </c>
      <c r="M128" s="104" t="str">
        <f>IF(O112=2,"NO","")</f>
        <v/>
      </c>
      <c r="O128" s="30"/>
      <c r="Y128" s="32"/>
      <c r="AA128" s="21" t="s">
        <v>636</v>
      </c>
      <c r="AB128" s="65"/>
      <c r="AD128" s="66" t="str">
        <f>IF(Q336="","",Q336)</f>
        <v/>
      </c>
      <c r="AH128" s="618">
        <v>38</v>
      </c>
      <c r="AI128" s="619">
        <v>50</v>
      </c>
      <c r="AJ128" s="620">
        <v>0.6</v>
      </c>
      <c r="AK128" s="619" t="str">
        <f t="shared" si="12"/>
        <v/>
      </c>
      <c r="AL128" s="619" t="str">
        <f t="shared" si="13"/>
        <v/>
      </c>
      <c r="AM128" s="619"/>
      <c r="AN128" s="619"/>
      <c r="AO128" s="619"/>
      <c r="AP128" s="619"/>
      <c r="AQ128" s="621"/>
    </row>
    <row r="129" spans="1:43" ht="14.1" customHeight="1">
      <c r="A129" s="17">
        <v>57</v>
      </c>
      <c r="B129" s="67"/>
      <c r="C129" s="68"/>
      <c r="D129" s="68"/>
      <c r="E129" s="68" t="s">
        <v>549</v>
      </c>
      <c r="F129" s="68"/>
      <c r="G129" s="68"/>
      <c r="H129" s="68"/>
      <c r="I129" s="68"/>
      <c r="J129" s="68"/>
      <c r="K129" s="68"/>
      <c r="L129" s="148" t="str">
        <f>IF(O113="","TBD",IF(O113=1,"YES",IF(O113=3,"NA","")))</f>
        <v>TBD</v>
      </c>
      <c r="M129" s="104" t="str">
        <f>IF(O113=2,"NO","")</f>
        <v/>
      </c>
      <c r="O129" s="83" t="s">
        <v>63</v>
      </c>
      <c r="P129" s="831" t="s">
        <v>64</v>
      </c>
      <c r="Q129" s="832"/>
      <c r="R129" s="833"/>
      <c r="S129" s="831" t="s">
        <v>534</v>
      </c>
      <c r="T129" s="832"/>
      <c r="U129" s="833"/>
      <c r="V129" s="839" t="s">
        <v>66</v>
      </c>
      <c r="W129" s="840"/>
      <c r="X129" s="841"/>
      <c r="Y129" s="32"/>
      <c r="AA129" s="21" t="s">
        <v>637</v>
      </c>
      <c r="AB129" s="65"/>
      <c r="AD129" s="66" t="str">
        <f>IF(Q337="","",Q337)</f>
        <v/>
      </c>
      <c r="AH129" s="618">
        <v>38</v>
      </c>
      <c r="AI129" s="619">
        <v>50</v>
      </c>
      <c r="AJ129" s="620">
        <v>0.7</v>
      </c>
      <c r="AK129" s="619" t="str">
        <f t="shared" si="12"/>
        <v/>
      </c>
      <c r="AL129" s="619" t="str">
        <f t="shared" si="13"/>
        <v/>
      </c>
      <c r="AM129" s="619"/>
      <c r="AN129" s="619"/>
      <c r="AO129" s="619"/>
      <c r="AP129" s="619"/>
      <c r="AQ129" s="621"/>
    </row>
    <row r="130" spans="1:43" ht="14.1" customHeight="1">
      <c r="A130" s="17">
        <v>58</v>
      </c>
      <c r="B130" s="67"/>
      <c r="C130" s="68"/>
      <c r="D130" s="68"/>
      <c r="E130" s="68" t="s">
        <v>550</v>
      </c>
      <c r="F130" s="68"/>
      <c r="G130" s="68"/>
      <c r="H130" s="68"/>
      <c r="I130" s="68"/>
      <c r="J130" s="68"/>
      <c r="K130" s="68"/>
      <c r="L130" s="148" t="str">
        <f>IF(O114="","TBD",IF(O114=1,"YES",IF(O114=3,"NA","")))</f>
        <v>TBD</v>
      </c>
      <c r="M130" s="104" t="str">
        <f>IF(O114=2,"NO","")</f>
        <v/>
      </c>
      <c r="O130" s="84" t="s">
        <v>67</v>
      </c>
      <c r="P130" s="834"/>
      <c r="Q130" s="835"/>
      <c r="R130" s="836"/>
      <c r="S130" s="834"/>
      <c r="T130" s="835"/>
      <c r="U130" s="836"/>
      <c r="V130" s="842"/>
      <c r="W130" s="819"/>
      <c r="X130" s="843"/>
      <c r="Y130" s="32"/>
      <c r="AA130" s="21" t="s">
        <v>638</v>
      </c>
      <c r="AB130" s="65"/>
      <c r="AD130" s="66" t="str">
        <f>IF(T336="","",T336)</f>
        <v/>
      </c>
      <c r="AH130" s="618">
        <v>38</v>
      </c>
      <c r="AI130" s="619">
        <v>50</v>
      </c>
      <c r="AJ130" s="620">
        <v>0.7</v>
      </c>
      <c r="AK130" s="619" t="str">
        <f t="shared" si="12"/>
        <v/>
      </c>
      <c r="AL130" s="619" t="str">
        <f t="shared" si="13"/>
        <v/>
      </c>
      <c r="AM130" s="619"/>
      <c r="AN130" s="619"/>
      <c r="AO130" s="619"/>
      <c r="AP130" s="619"/>
      <c r="AQ130" s="621"/>
    </row>
    <row r="131" spans="1:43" ht="14.1" customHeight="1" thickBot="1">
      <c r="A131" s="17">
        <v>59</v>
      </c>
      <c r="B131" s="67"/>
      <c r="C131" s="68"/>
      <c r="D131" s="68"/>
      <c r="E131" s="68" t="s">
        <v>551</v>
      </c>
      <c r="F131" s="68"/>
      <c r="G131" s="68"/>
      <c r="H131" s="68"/>
      <c r="I131" s="68"/>
      <c r="J131" s="68"/>
      <c r="K131" s="68"/>
      <c r="L131" s="148" t="str">
        <f>IF(O115="","TBD",IF(O115=1,"YES",IF(O115=3,"NA","")))</f>
        <v>TBD</v>
      </c>
      <c r="M131" s="104" t="str">
        <f>IF(O115=2,"NO","")</f>
        <v/>
      </c>
      <c r="O131" s="84" t="s">
        <v>69</v>
      </c>
      <c r="P131" s="85" t="s">
        <v>70</v>
      </c>
      <c r="Q131" s="86" t="s">
        <v>24</v>
      </c>
      <c r="R131" s="87" t="s">
        <v>71</v>
      </c>
      <c r="S131" s="85" t="s">
        <v>70</v>
      </c>
      <c r="T131" s="86" t="s">
        <v>24</v>
      </c>
      <c r="U131" s="87" t="s">
        <v>71</v>
      </c>
      <c r="V131" s="85" t="s">
        <v>70</v>
      </c>
      <c r="W131" s="86" t="s">
        <v>24</v>
      </c>
      <c r="X131" s="87" t="s">
        <v>71</v>
      </c>
      <c r="Y131" s="32"/>
      <c r="AA131" s="21" t="s">
        <v>639</v>
      </c>
      <c r="AB131" s="65"/>
      <c r="AD131" s="66" t="str">
        <f>IF(T337="","",T337)</f>
        <v/>
      </c>
      <c r="AH131" s="618">
        <v>38</v>
      </c>
      <c r="AI131" s="619">
        <v>50</v>
      </c>
      <c r="AJ131" s="620">
        <v>0.8</v>
      </c>
      <c r="AK131" s="619" t="str">
        <f t="shared" si="12"/>
        <v/>
      </c>
      <c r="AL131" s="619" t="str">
        <f t="shared" si="13"/>
        <v/>
      </c>
      <c r="AM131" s="619"/>
      <c r="AN131" s="619"/>
      <c r="AO131" s="619"/>
      <c r="AP131" s="619"/>
      <c r="AQ131" s="621"/>
    </row>
    <row r="132" spans="1:43" ht="14.1" customHeight="1" thickTop="1" thickBot="1">
      <c r="A132" s="17">
        <v>60</v>
      </c>
      <c r="B132" s="67"/>
      <c r="C132" s="68"/>
      <c r="D132" s="68"/>
      <c r="E132" s="68" t="s">
        <v>552</v>
      </c>
      <c r="F132" s="68"/>
      <c r="G132" s="68"/>
      <c r="H132" s="68"/>
      <c r="I132" s="68"/>
      <c r="J132" s="68"/>
      <c r="K132" s="68"/>
      <c r="L132" s="148" t="str">
        <f>IF(O116="","TBD",IF(O116=1,"YES",IF(O116=3,"NA","")))</f>
        <v>TBD</v>
      </c>
      <c r="M132" s="104" t="str">
        <f>IF(O116=2,"NO","")</f>
        <v/>
      </c>
      <c r="O132" s="88" t="s">
        <v>73</v>
      </c>
      <c r="P132" s="127"/>
      <c r="Q132" s="128"/>
      <c r="R132" s="129"/>
      <c r="S132" s="127"/>
      <c r="T132" s="128"/>
      <c r="U132" s="129"/>
      <c r="V132" s="127"/>
      <c r="W132" s="128"/>
      <c r="X132" s="129"/>
      <c r="Y132" s="32"/>
      <c r="AA132" s="21" t="s">
        <v>640</v>
      </c>
      <c r="AB132" s="65"/>
      <c r="AD132" s="66" t="str">
        <f>IF(W336="","",W336)</f>
        <v/>
      </c>
      <c r="AH132" s="622">
        <v>38</v>
      </c>
      <c r="AI132" s="623">
        <v>50</v>
      </c>
      <c r="AJ132" s="624">
        <v>0.8</v>
      </c>
      <c r="AK132" s="623" t="str">
        <f t="shared" si="12"/>
        <v/>
      </c>
      <c r="AL132" s="623" t="str">
        <f t="shared" si="13"/>
        <v/>
      </c>
      <c r="AM132" s="623"/>
      <c r="AN132" s="623"/>
      <c r="AO132" s="623"/>
      <c r="AP132" s="623"/>
      <c r="AQ132" s="625"/>
    </row>
    <row r="133" spans="1:43" ht="14.1" customHeight="1">
      <c r="A133" s="17">
        <v>61</v>
      </c>
      <c r="B133" s="67"/>
      <c r="C133" s="68"/>
      <c r="D133" s="68"/>
      <c r="E133" s="68"/>
      <c r="F133" s="68"/>
      <c r="G133" s="68"/>
      <c r="H133" s="68"/>
      <c r="I133" s="68"/>
      <c r="J133" s="68"/>
      <c r="K133" s="68"/>
      <c r="L133" s="68"/>
      <c r="M133" s="69"/>
      <c r="O133" s="93" t="s">
        <v>76</v>
      </c>
      <c r="P133" s="130"/>
      <c r="Q133" s="131"/>
      <c r="R133" s="132"/>
      <c r="S133" s="130"/>
      <c r="T133" s="131"/>
      <c r="U133" s="132"/>
      <c r="V133" s="130"/>
      <c r="W133" s="131"/>
      <c r="X133" s="132"/>
      <c r="Y133" s="32"/>
      <c r="AA133" s="21" t="s">
        <v>641</v>
      </c>
      <c r="AB133" s="65"/>
      <c r="AD133" s="66" t="str">
        <f>IF(W337="","",W337)</f>
        <v/>
      </c>
    </row>
    <row r="134" spans="1:43" ht="14.1" customHeight="1">
      <c r="A134" s="17">
        <v>62</v>
      </c>
      <c r="B134" s="67"/>
      <c r="C134" s="68"/>
      <c r="D134" s="68"/>
      <c r="E134" s="68"/>
      <c r="F134" s="68"/>
      <c r="G134" s="68"/>
      <c r="H134" s="495" t="s">
        <v>643</v>
      </c>
      <c r="I134" s="68"/>
      <c r="J134" s="68"/>
      <c r="K134" s="68"/>
      <c r="L134" s="68"/>
      <c r="M134" s="69"/>
      <c r="O134" s="93" t="s">
        <v>79</v>
      </c>
      <c r="P134" s="130"/>
      <c r="Q134" s="131"/>
      <c r="R134" s="132"/>
      <c r="S134" s="130"/>
      <c r="T134" s="131"/>
      <c r="U134" s="132"/>
      <c r="V134" s="130"/>
      <c r="W134" s="131"/>
      <c r="X134" s="132"/>
      <c r="Y134" s="32"/>
      <c r="AA134" s="35" t="s">
        <v>618</v>
      </c>
    </row>
    <row r="135" spans="1:43" ht="14.1" customHeight="1" thickBot="1">
      <c r="A135" s="17">
        <v>63</v>
      </c>
      <c r="B135" s="67"/>
      <c r="C135" s="68"/>
      <c r="D135" s="68"/>
      <c r="E135" s="68" t="s">
        <v>644</v>
      </c>
      <c r="F135" s="68"/>
      <c r="G135" s="68"/>
      <c r="H135" s="68"/>
      <c r="I135" s="68"/>
      <c r="J135" s="68"/>
      <c r="K135" s="68"/>
      <c r="L135" s="148" t="str">
        <f>IF(V282="","TBD",IF(AND(V282="Pass",V283="Pass",V284="Pass"),"YES",""))</f>
        <v>TBD</v>
      </c>
      <c r="M135" s="104" t="str">
        <f>IF(OR(V282="Fail",V283="Fail",V284="Fail"),"NO","")</f>
        <v/>
      </c>
      <c r="O135" s="97" t="s">
        <v>82</v>
      </c>
      <c r="P135" s="133"/>
      <c r="Q135" s="134"/>
      <c r="R135" s="135"/>
      <c r="S135" s="133"/>
      <c r="T135" s="134"/>
      <c r="U135" s="135"/>
      <c r="V135" s="133"/>
      <c r="W135" s="134"/>
      <c r="X135" s="135"/>
      <c r="Y135" s="42"/>
      <c r="AA135" s="35" t="s">
        <v>186</v>
      </c>
      <c r="AB135" s="65"/>
      <c r="AD135" s="66" t="str">
        <f>IF(P344="","",P344)</f>
        <v/>
      </c>
    </row>
    <row r="136" spans="1:43" ht="14.1" customHeight="1">
      <c r="A136" s="17">
        <v>64</v>
      </c>
      <c r="B136" s="67"/>
      <c r="C136" s="68"/>
      <c r="D136" s="68"/>
      <c r="E136" s="68" t="s">
        <v>645</v>
      </c>
      <c r="F136" s="68"/>
      <c r="G136" s="68"/>
      <c r="H136" s="68"/>
      <c r="I136" s="68"/>
      <c r="J136" s="68"/>
      <c r="K136" s="68"/>
      <c r="L136" s="148" t="str">
        <f>IF(R300="","TBD",IF(AND(R300="Pass",R301="Pass",R302="Pass"),"YES",""))</f>
        <v>TBD</v>
      </c>
      <c r="M136" s="104" t="str">
        <f>IF(OR(R300="Fail",R301="Fail",R302="Fail"),"NO","")</f>
        <v/>
      </c>
      <c r="O136" s="4"/>
      <c r="P136" s="4"/>
      <c r="Q136" s="4"/>
      <c r="R136" s="4"/>
      <c r="S136" s="4"/>
      <c r="T136" s="4"/>
      <c r="U136" s="4"/>
      <c r="V136" s="4"/>
      <c r="W136" s="4"/>
      <c r="X136" s="4"/>
      <c r="AA136" s="35" t="s">
        <v>188</v>
      </c>
      <c r="AB136" s="65"/>
      <c r="AD136" s="66" t="str">
        <f>IF(P345="","",P345)</f>
        <v/>
      </c>
    </row>
    <row r="137" spans="1:43" ht="14.1" customHeight="1" thickBot="1">
      <c r="A137" s="17">
        <v>65</v>
      </c>
      <c r="B137" s="67"/>
      <c r="C137" s="68"/>
      <c r="D137" s="68"/>
      <c r="E137" s="68" t="s">
        <v>646</v>
      </c>
      <c r="F137" s="68"/>
      <c r="G137" s="68"/>
      <c r="H137" s="68"/>
      <c r="I137" s="68"/>
      <c r="J137" s="68"/>
      <c r="K137" s="68"/>
      <c r="L137" s="148" t="str">
        <f>IF(L409="","TBD",IF(AND(L409="Pass",L410="Pass",L411="Pass"),"YES",""))</f>
        <v>TBD</v>
      </c>
      <c r="M137" s="104" t="str">
        <f>IF(OR(L409="Fail",L410="Fail",L411="Fail"),"NO","")</f>
        <v/>
      </c>
      <c r="T137" s="259" t="s">
        <v>72</v>
      </c>
      <c r="AA137" s="35" t="s">
        <v>190</v>
      </c>
      <c r="AB137" s="65"/>
      <c r="AD137" s="66" t="str">
        <f>IF(P346="","",P346)</f>
        <v/>
      </c>
    </row>
    <row r="138" spans="1:43" ht="14.1" customHeight="1">
      <c r="A138" s="17">
        <v>66</v>
      </c>
      <c r="B138" s="67"/>
      <c r="C138" s="68"/>
      <c r="D138" s="68"/>
      <c r="E138" s="68" t="s">
        <v>647</v>
      </c>
      <c r="F138" s="68"/>
      <c r="G138" s="68"/>
      <c r="H138" s="68"/>
      <c r="I138" s="68"/>
      <c r="J138" s="68"/>
      <c r="K138" s="68"/>
      <c r="L138" s="148" t="str">
        <f>IF(O349="","TBD",IF(O349=1,"YES",IF(O349=3,"NA","")))</f>
        <v>TBD</v>
      </c>
      <c r="M138" s="104" t="str">
        <f>IF(O349=2,"NO","")</f>
        <v/>
      </c>
      <c r="O138" s="136" t="s">
        <v>199</v>
      </c>
      <c r="P138" s="23"/>
      <c r="Q138" s="23"/>
      <c r="R138" s="23"/>
      <c r="S138" s="23"/>
      <c r="T138" s="23"/>
      <c r="U138" s="23"/>
      <c r="V138" s="23"/>
      <c r="W138" s="23"/>
      <c r="X138" s="23"/>
      <c r="Y138" s="24"/>
      <c r="AA138" s="35" t="s">
        <v>619</v>
      </c>
    </row>
    <row r="139" spans="1:43" ht="14.1" customHeight="1">
      <c r="A139" s="17">
        <v>67</v>
      </c>
      <c r="B139" s="67"/>
      <c r="C139" s="68"/>
      <c r="D139" s="68"/>
      <c r="E139" s="68" t="s">
        <v>616</v>
      </c>
      <c r="F139" s="68"/>
      <c r="G139" s="68"/>
      <c r="H139" s="68"/>
      <c r="I139" s="68"/>
      <c r="J139" s="68"/>
      <c r="K139" s="68"/>
      <c r="L139" s="148" t="str">
        <f>IF(O350="","TBD",IF(O350=1,"YES",IF(O350=3,"NA","")))</f>
        <v>TBD</v>
      </c>
      <c r="M139" s="104" t="str">
        <f>IF(O350=2,"NO","")</f>
        <v/>
      </c>
      <c r="O139" s="30"/>
      <c r="P139" s="4"/>
      <c r="Q139" s="35" t="s">
        <v>200</v>
      </c>
      <c r="R139" s="137"/>
      <c r="S139" s="4"/>
      <c r="T139" s="4"/>
      <c r="Y139" s="32"/>
      <c r="AA139" s="35" t="s">
        <v>186</v>
      </c>
      <c r="AB139" s="65"/>
      <c r="AD139" s="66" t="str">
        <f>IF(Q344="","",Q344)</f>
        <v/>
      </c>
    </row>
    <row r="140" spans="1:43" ht="14.1" customHeight="1">
      <c r="A140" s="17">
        <v>68</v>
      </c>
      <c r="B140" s="67"/>
      <c r="C140" s="68"/>
      <c r="D140" s="68"/>
      <c r="E140" s="68" t="s">
        <v>624</v>
      </c>
      <c r="F140" s="68"/>
      <c r="G140" s="68"/>
      <c r="H140" s="68"/>
      <c r="I140" s="68"/>
      <c r="J140" s="68"/>
      <c r="K140" s="68"/>
      <c r="L140" s="148" t="str">
        <f>IF(O351="","TBD",IF(O351=1,"YES",IF(O351=3,"NA","")))</f>
        <v>TBD</v>
      </c>
      <c r="M140" s="104" t="str">
        <f>IF(O351=2,"NO","")</f>
        <v/>
      </c>
      <c r="O140" s="30"/>
      <c r="P140" s="4"/>
      <c r="Q140" s="35" t="s">
        <v>201</v>
      </c>
      <c r="R140" s="137"/>
      <c r="S140" s="4"/>
      <c r="T140" s="4"/>
      <c r="Y140" s="32"/>
      <c r="AA140" s="35" t="s">
        <v>188</v>
      </c>
      <c r="AB140" s="65"/>
      <c r="AD140" s="66" t="str">
        <f>IF(Q345="","",Q345)</f>
        <v/>
      </c>
    </row>
    <row r="141" spans="1:43" ht="14.1" customHeight="1">
      <c r="A141" s="17">
        <v>69</v>
      </c>
      <c r="B141" s="67"/>
      <c r="C141" s="68"/>
      <c r="D141" s="68"/>
      <c r="E141" s="68"/>
      <c r="F141" s="68"/>
      <c r="G141" s="68"/>
      <c r="H141" s="68"/>
      <c r="I141" s="68"/>
      <c r="J141" s="68"/>
      <c r="K141" s="68"/>
      <c r="L141" s="68"/>
      <c r="M141" s="69"/>
      <c r="O141" s="30"/>
      <c r="P141" s="4"/>
      <c r="Q141" s="35" t="s">
        <v>202</v>
      </c>
      <c r="R141" s="137"/>
      <c r="S141" s="4"/>
      <c r="T141" s="4"/>
      <c r="Y141" s="32"/>
      <c r="AA141" s="35" t="s">
        <v>190</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620</v>
      </c>
    </row>
    <row r="143" spans="1:43" ht="14.1" customHeight="1" thickTop="1">
      <c r="A143" s="17">
        <v>71</v>
      </c>
      <c r="C143" s="109" t="s">
        <v>10</v>
      </c>
      <c r="D143" s="379" t="str">
        <f>IF($P$7="","",$P$7)</f>
        <v/>
      </c>
      <c r="E143" s="27"/>
      <c r="F143" s="27"/>
      <c r="G143" s="27"/>
      <c r="H143" s="27"/>
      <c r="I143" s="27"/>
      <c r="J143" s="27"/>
      <c r="K143" s="27"/>
      <c r="L143" s="109" t="s">
        <v>11</v>
      </c>
      <c r="M143" s="380" t="str">
        <f>IF($X$7="","",$X$7)</f>
        <v>Eugene Mah</v>
      </c>
      <c r="O143" s="30"/>
      <c r="P143" s="113" t="s">
        <v>203</v>
      </c>
      <c r="Q143" s="138" t="s">
        <v>204</v>
      </c>
      <c r="Y143" s="32"/>
      <c r="AA143" s="35" t="s">
        <v>186</v>
      </c>
      <c r="AB143" s="65"/>
      <c r="AD143" s="66" t="str">
        <f>IF(R344="","",R344)</f>
        <v/>
      </c>
    </row>
    <row r="144" spans="1:43" ht="14.1" customHeight="1">
      <c r="A144" s="17">
        <v>72</v>
      </c>
      <c r="C144" s="109" t="s">
        <v>120</v>
      </c>
      <c r="D144" s="380" t="str">
        <f>IF($R$14="","",$R$14)</f>
        <v/>
      </c>
      <c r="E144" s="27"/>
      <c r="F144" s="27"/>
      <c r="G144" s="27"/>
      <c r="H144" s="27"/>
      <c r="I144" s="27"/>
      <c r="J144" s="27"/>
      <c r="K144" s="27"/>
      <c r="L144" s="109" t="s">
        <v>36</v>
      </c>
      <c r="M144" s="380" t="str">
        <f>IF($R$13="","",$R$13)</f>
        <v/>
      </c>
      <c r="O144" s="30"/>
      <c r="Y144" s="32"/>
      <c r="AA144" s="35" t="s">
        <v>188</v>
      </c>
      <c r="AB144" s="65"/>
      <c r="AD144" s="66" t="str">
        <f>IF(R345="","",R345)</f>
        <v/>
      </c>
    </row>
    <row r="145" spans="1:30" ht="14.1" customHeight="1">
      <c r="A145" s="17">
        <v>1</v>
      </c>
      <c r="M145" s="112" t="str">
        <f>$H$2</f>
        <v>Medical University of South Carolina</v>
      </c>
      <c r="O145" s="139" t="s">
        <v>205</v>
      </c>
      <c r="Y145" s="32"/>
      <c r="AA145" s="35" t="s">
        <v>190</v>
      </c>
      <c r="AB145" s="65"/>
      <c r="AD145" s="66" t="str">
        <f>IF(R346="","",R346)</f>
        <v/>
      </c>
    </row>
    <row r="146" spans="1:30" ht="14.1" customHeight="1" thickBot="1">
      <c r="A146" s="17">
        <v>2</v>
      </c>
      <c r="H146" s="51" t="s">
        <v>72</v>
      </c>
      <c r="M146" s="113" t="str">
        <f>$H$5</f>
        <v>Mammography System Compliance Inspection</v>
      </c>
      <c r="O146" s="30"/>
      <c r="P146" s="21" t="s">
        <v>206</v>
      </c>
      <c r="Q146" s="592" t="s">
        <v>207</v>
      </c>
      <c r="R146" s="592" t="s">
        <v>208</v>
      </c>
      <c r="Y146" s="32"/>
      <c r="AA146" s="35" t="s">
        <v>621</v>
      </c>
    </row>
    <row r="147" spans="1:30" ht="14.1" customHeight="1" thickTop="1" thickBot="1">
      <c r="A147" s="17">
        <v>3</v>
      </c>
      <c r="B147" s="58"/>
      <c r="C147" s="60" t="s">
        <v>199</v>
      </c>
      <c r="D147" s="59"/>
      <c r="E147" s="59"/>
      <c r="F147" s="59"/>
      <c r="G147" s="59"/>
      <c r="H147" s="59"/>
      <c r="I147" s="59"/>
      <c r="J147" s="59"/>
      <c r="K147" s="59"/>
      <c r="L147" s="59"/>
      <c r="M147" s="61"/>
      <c r="O147" s="30"/>
      <c r="P147" s="592">
        <v>1</v>
      </c>
      <c r="Q147" s="137"/>
      <c r="R147" s="140" t="str">
        <f t="shared" ref="R147:R154" si="17">IF(Q147="","",ABS(Q147-P147))</f>
        <v/>
      </c>
      <c r="Y147" s="32"/>
      <c r="AA147" s="35" t="s">
        <v>186</v>
      </c>
      <c r="AB147" s="65"/>
      <c r="AD147" s="66" t="str">
        <f>IF(S344="","",S344)</f>
        <v/>
      </c>
    </row>
    <row r="148" spans="1:30" ht="14.1" customHeight="1" thickBot="1">
      <c r="A148" s="17">
        <v>4</v>
      </c>
      <c r="B148" s="67"/>
      <c r="C148" s="68"/>
      <c r="D148" s="68"/>
      <c r="E148" s="162" t="s">
        <v>200</v>
      </c>
      <c r="F148" s="337" t="str">
        <f>IF(R139="","",R139)</f>
        <v/>
      </c>
      <c r="G148" s="68"/>
      <c r="H148" s="162" t="s">
        <v>217</v>
      </c>
      <c r="I148" s="144" t="str">
        <f>IF(R142="","",R142)</f>
        <v/>
      </c>
      <c r="J148" s="68"/>
      <c r="K148" s="68"/>
      <c r="L148" s="68"/>
      <c r="M148" s="69"/>
      <c r="O148" s="30"/>
      <c r="P148" s="592">
        <v>2</v>
      </c>
      <c r="Q148" s="137"/>
      <c r="R148" s="140" t="str">
        <f t="shared" si="17"/>
        <v/>
      </c>
      <c r="Y148" s="32"/>
      <c r="AA148" s="35" t="s">
        <v>188</v>
      </c>
      <c r="AB148" s="65"/>
      <c r="AD148" s="66" t="str">
        <f>IF(S345="","",S345)</f>
        <v/>
      </c>
    </row>
    <row r="149" spans="1:30" ht="14.1" customHeight="1" thickBot="1">
      <c r="A149" s="17">
        <v>5</v>
      </c>
      <c r="B149" s="67"/>
      <c r="C149" s="68"/>
      <c r="D149" s="68"/>
      <c r="E149" s="162" t="s">
        <v>201</v>
      </c>
      <c r="F149" s="437" t="str">
        <f>IF(R140="","",R140)</f>
        <v/>
      </c>
      <c r="G149" s="591"/>
      <c r="H149" s="591"/>
      <c r="I149" s="68"/>
      <c r="J149" s="68"/>
      <c r="K149" s="68"/>
      <c r="L149" s="68"/>
      <c r="M149" s="69"/>
      <c r="O149" s="30"/>
      <c r="P149" s="592">
        <v>4</v>
      </c>
      <c r="Q149" s="137"/>
      <c r="R149" s="140" t="str">
        <f t="shared" si="17"/>
        <v/>
      </c>
      <c r="S149" s="35" t="s">
        <v>209</v>
      </c>
      <c r="T149" s="141" t="str">
        <f>IF(OR(Q149="",Q150="",Q151="",Q152=""),"",AVERAGE(Q149:Q152))</f>
        <v/>
      </c>
      <c r="Y149" s="32"/>
      <c r="AA149" s="35" t="s">
        <v>190</v>
      </c>
      <c r="AB149" s="65"/>
      <c r="AD149" s="66" t="str">
        <f>IF(S346="","",S346)</f>
        <v/>
      </c>
    </row>
    <row r="150" spans="1:30" ht="14.1" customHeight="1" thickBot="1">
      <c r="A150" s="17">
        <v>6</v>
      </c>
      <c r="B150" s="67"/>
      <c r="C150" s="68"/>
      <c r="D150" s="68"/>
      <c r="E150" s="162" t="s">
        <v>202</v>
      </c>
      <c r="F150" s="438" t="str">
        <f>IF(R141="","",IF(R141=1,"Pass","Fail"))</f>
        <v/>
      </c>
      <c r="G150" s="591"/>
      <c r="H150" s="68"/>
      <c r="I150" s="68"/>
      <c r="J150" s="68"/>
      <c r="K150" s="68"/>
      <c r="L150" s="68"/>
      <c r="M150" s="69"/>
      <c r="O150" s="30"/>
      <c r="P150" s="592">
        <v>4</v>
      </c>
      <c r="Q150" s="137"/>
      <c r="R150" s="140" t="str">
        <f t="shared" si="17"/>
        <v/>
      </c>
      <c r="S150" s="35" t="s">
        <v>210</v>
      </c>
      <c r="T150" s="142" t="str">
        <f>IF(OR(Q149="",Q150="",Q151="",Q152=""),"",_xlfn.STDEV.S(Q149:Q152))</f>
        <v/>
      </c>
      <c r="Y150" s="32"/>
    </row>
    <row r="151" spans="1:30" ht="14.1" customHeight="1">
      <c r="A151" s="17">
        <v>7</v>
      </c>
      <c r="B151" s="67"/>
      <c r="C151" s="68"/>
      <c r="D151" s="3" t="s">
        <v>203</v>
      </c>
      <c r="E151" s="101" t="s">
        <v>204</v>
      </c>
      <c r="F151" s="68"/>
      <c r="G151" s="68"/>
      <c r="H151" s="68"/>
      <c r="I151" s="68"/>
      <c r="J151" s="68"/>
      <c r="K151" s="68"/>
      <c r="L151" s="68"/>
      <c r="M151" s="69"/>
      <c r="O151" s="30"/>
      <c r="P151" s="592">
        <v>4</v>
      </c>
      <c r="Q151" s="137"/>
      <c r="R151" s="140" t="str">
        <f t="shared" si="17"/>
        <v/>
      </c>
      <c r="Y151" s="32"/>
    </row>
    <row r="152" spans="1:30" ht="14.1" customHeight="1">
      <c r="A152" s="17">
        <v>8</v>
      </c>
      <c r="B152" s="67"/>
      <c r="C152" s="68"/>
      <c r="D152" s="193"/>
      <c r="E152" s="193"/>
      <c r="F152" s="68"/>
      <c r="G152" s="68"/>
      <c r="H152" s="68"/>
      <c r="I152" s="68"/>
      <c r="J152" s="68"/>
      <c r="K152" s="68"/>
      <c r="L152" s="68"/>
      <c r="M152" s="69"/>
      <c r="O152" s="30"/>
      <c r="P152" s="592">
        <v>4</v>
      </c>
      <c r="Q152" s="137"/>
      <c r="R152" s="140" t="str">
        <f t="shared" si="17"/>
        <v/>
      </c>
      <c r="T152" s="113" t="s">
        <v>203</v>
      </c>
      <c r="U152" s="138" t="s">
        <v>211</v>
      </c>
      <c r="Y152" s="32"/>
    </row>
    <row r="153" spans="1:30" ht="14.1" customHeight="1" thickBot="1">
      <c r="A153" s="17">
        <v>9</v>
      </c>
      <c r="B153" s="67"/>
      <c r="C153" s="146" t="s">
        <v>205</v>
      </c>
      <c r="D153" s="68"/>
      <c r="E153" s="68"/>
      <c r="F153" s="68"/>
      <c r="G153" s="68"/>
      <c r="H153" s="68"/>
      <c r="I153" s="68"/>
      <c r="J153" s="68"/>
      <c r="K153" s="68"/>
      <c r="L153" s="68"/>
      <c r="M153" s="69"/>
      <c r="O153" s="30"/>
      <c r="P153" s="592">
        <v>6</v>
      </c>
      <c r="Q153" s="137"/>
      <c r="R153" s="140" t="str">
        <f t="shared" si="17"/>
        <v/>
      </c>
      <c r="U153" s="138" t="s">
        <v>212</v>
      </c>
      <c r="Y153" s="32"/>
    </row>
    <row r="154" spans="1:30" ht="14.1" customHeight="1" thickBot="1">
      <c r="A154" s="17">
        <v>10</v>
      </c>
      <c r="B154" s="67"/>
      <c r="C154" s="390" t="s">
        <v>206</v>
      </c>
      <c r="D154" s="422" t="s">
        <v>207</v>
      </c>
      <c r="E154" s="423" t="s">
        <v>208</v>
      </c>
      <c r="F154" s="68"/>
      <c r="G154" s="68"/>
      <c r="H154" s="335"/>
      <c r="I154" s="162" t="s">
        <v>221</v>
      </c>
      <c r="J154" s="381" t="str">
        <f>IF(O156="","TBD",IF(O156=1,"YES",IF(O156=3,"NA","")))</f>
        <v>TBD</v>
      </c>
      <c r="K154" s="68"/>
      <c r="L154" s="148" t="str">
        <f>IF(O156=2,"NO","")</f>
        <v/>
      </c>
      <c r="M154" s="69"/>
      <c r="O154" s="30"/>
      <c r="P154" s="592">
        <v>8</v>
      </c>
      <c r="Q154" s="137"/>
      <c r="R154" s="140" t="str">
        <f t="shared" si="17"/>
        <v/>
      </c>
      <c r="Y154" s="32"/>
    </row>
    <row r="155" spans="1:30" ht="14.1" customHeight="1" thickBot="1">
      <c r="A155" s="17">
        <v>11</v>
      </c>
      <c r="B155" s="67"/>
      <c r="C155" s="341">
        <v>1</v>
      </c>
      <c r="D155" s="312" t="str">
        <f t="shared" ref="D155:E162" si="18">IF(Q147="","",Q147)</f>
        <v/>
      </c>
      <c r="E155" s="342" t="str">
        <f t="shared" si="18"/>
        <v/>
      </c>
      <c r="F155" s="68"/>
      <c r="G155" s="68"/>
      <c r="H155" s="335"/>
      <c r="I155" s="162" t="s">
        <v>222</v>
      </c>
      <c r="J155" s="381" t="str">
        <f>IF(O157="","TBD",IF(O157=1,"YES",IF(O157=3,"NA","")))</f>
        <v>TBD</v>
      </c>
      <c r="K155" s="68"/>
      <c r="L155" s="148" t="str">
        <f>IF(O157=2,"NO","")</f>
        <v/>
      </c>
      <c r="M155" s="69"/>
      <c r="O155" s="30"/>
      <c r="Y155" s="32"/>
    </row>
    <row r="156" spans="1:30" ht="14.1" customHeight="1" thickBot="1">
      <c r="A156" s="17">
        <v>12</v>
      </c>
      <c r="B156" s="67"/>
      <c r="C156" s="341">
        <v>2</v>
      </c>
      <c r="D156" s="312" t="str">
        <f t="shared" si="18"/>
        <v/>
      </c>
      <c r="E156" s="342" t="str">
        <f t="shared" si="18"/>
        <v/>
      </c>
      <c r="F156" s="68"/>
      <c r="G156" s="68"/>
      <c r="H156" s="68"/>
      <c r="I156" s="162" t="s">
        <v>214</v>
      </c>
      <c r="J156" s="381" t="str">
        <f>IF(S156="","TBD",S156)</f>
        <v>TBD</v>
      </c>
      <c r="K156" s="68"/>
      <c r="L156" s="68"/>
      <c r="M156" s="69"/>
      <c r="O156" s="96"/>
      <c r="P156" s="21" t="s">
        <v>213</v>
      </c>
      <c r="S156" s="140" t="str">
        <f>IF(R147="","",IF(OR(R147&gt;0.5,R148&gt;0.5,R149&gt;0.5,R150&gt;0.5,R151&gt;0.5,R152&gt;0.5,R153&gt;0.5,R154&gt;0.5),"Fail","Pass"))</f>
        <v/>
      </c>
      <c r="T156" s="36" t="s">
        <v>214</v>
      </c>
      <c r="Y156" s="32"/>
    </row>
    <row r="157" spans="1:30" ht="14.1" customHeight="1">
      <c r="A157" s="17">
        <v>13</v>
      </c>
      <c r="B157" s="67"/>
      <c r="C157" s="341">
        <v>4</v>
      </c>
      <c r="D157" s="312" t="str">
        <f t="shared" si="18"/>
        <v/>
      </c>
      <c r="E157" s="342" t="str">
        <f t="shared" si="18"/>
        <v/>
      </c>
      <c r="F157" s="68"/>
      <c r="G157" s="68"/>
      <c r="H157" s="68"/>
      <c r="I157" s="162" t="s">
        <v>209</v>
      </c>
      <c r="J157" s="141" t="str">
        <f>IF(T149="","",T149)</f>
        <v/>
      </c>
      <c r="K157" s="68"/>
      <c r="L157" s="68"/>
      <c r="M157" s="69"/>
      <c r="O157" s="96"/>
      <c r="P157" s="21" t="s">
        <v>215</v>
      </c>
      <c r="Y157" s="32"/>
    </row>
    <row r="158" spans="1:30" ht="14.1" customHeight="1">
      <c r="A158" s="17">
        <v>14</v>
      </c>
      <c r="B158" s="67"/>
      <c r="C158" s="341">
        <v>4</v>
      </c>
      <c r="D158" s="312" t="str">
        <f t="shared" si="18"/>
        <v/>
      </c>
      <c r="E158" s="342" t="str">
        <f t="shared" si="18"/>
        <v/>
      </c>
      <c r="F158" s="68"/>
      <c r="G158" s="68"/>
      <c r="H158" s="68"/>
      <c r="I158" s="162" t="s">
        <v>210</v>
      </c>
      <c r="J158" s="142" t="str">
        <f>IF(T150="","",T150)</f>
        <v/>
      </c>
      <c r="K158" s="68"/>
      <c r="L158" s="68"/>
      <c r="M158" s="69"/>
      <c r="O158" s="30"/>
      <c r="Y158" s="32"/>
    </row>
    <row r="159" spans="1:30" ht="14.1" customHeight="1">
      <c r="A159" s="17">
        <v>15</v>
      </c>
      <c r="B159" s="67"/>
      <c r="C159" s="341">
        <v>4</v>
      </c>
      <c r="D159" s="312" t="str">
        <f t="shared" si="18"/>
        <v/>
      </c>
      <c r="E159" s="342" t="str">
        <f t="shared" si="18"/>
        <v/>
      </c>
      <c r="F159" s="68"/>
      <c r="G159" s="68"/>
      <c r="H159" s="68"/>
      <c r="I159" s="68"/>
      <c r="J159" s="68"/>
      <c r="K159" s="68"/>
      <c r="L159" s="68"/>
      <c r="M159" s="69"/>
      <c r="O159" s="139" t="s">
        <v>216</v>
      </c>
      <c r="Y159" s="32"/>
    </row>
    <row r="160" spans="1:30" ht="14.1" customHeight="1">
      <c r="A160" s="17">
        <v>16</v>
      </c>
      <c r="B160" s="67"/>
      <c r="C160" s="341">
        <v>4</v>
      </c>
      <c r="D160" s="312" t="str">
        <f t="shared" si="18"/>
        <v/>
      </c>
      <c r="E160" s="342" t="str">
        <f t="shared" si="18"/>
        <v/>
      </c>
      <c r="F160" s="3" t="s">
        <v>203</v>
      </c>
      <c r="G160" s="101" t="s">
        <v>211</v>
      </c>
      <c r="H160" s="68"/>
      <c r="I160" s="68"/>
      <c r="J160" s="68"/>
      <c r="K160" s="68"/>
      <c r="L160" s="68"/>
      <c r="M160" s="69"/>
      <c r="O160" s="30"/>
      <c r="P160" s="35" t="s">
        <v>50</v>
      </c>
      <c r="Q160" s="16" t="s">
        <v>31</v>
      </c>
      <c r="R160" s="16" t="s">
        <v>31</v>
      </c>
      <c r="S160" s="16" t="s">
        <v>51</v>
      </c>
      <c r="T160" s="143"/>
      <c r="Y160" s="32"/>
    </row>
    <row r="161" spans="1:25" ht="14.1" customHeight="1">
      <c r="A161" s="17">
        <v>17</v>
      </c>
      <c r="B161" s="67"/>
      <c r="C161" s="341">
        <v>6</v>
      </c>
      <c r="D161" s="312" t="str">
        <f t="shared" si="18"/>
        <v/>
      </c>
      <c r="E161" s="342" t="str">
        <f t="shared" si="18"/>
        <v/>
      </c>
      <c r="F161" s="146"/>
      <c r="G161" s="101" t="s">
        <v>212</v>
      </c>
      <c r="H161" s="68"/>
      <c r="I161" s="68"/>
      <c r="J161" s="68"/>
      <c r="K161" s="68"/>
      <c r="L161" s="68"/>
      <c r="M161" s="69"/>
      <c r="O161" s="30"/>
      <c r="P161" s="35" t="s">
        <v>53</v>
      </c>
      <c r="Q161" s="16" t="s">
        <v>31</v>
      </c>
      <c r="R161" s="16" t="s">
        <v>54</v>
      </c>
      <c r="S161" s="16" t="s">
        <v>54</v>
      </c>
      <c r="T161" s="143"/>
      <c r="Y161" s="32"/>
    </row>
    <row r="162" spans="1:25" ht="14.1" customHeight="1" thickBot="1">
      <c r="A162" s="17">
        <v>18</v>
      </c>
      <c r="B162" s="67"/>
      <c r="C162" s="391">
        <v>8</v>
      </c>
      <c r="D162" s="355" t="str">
        <f t="shared" si="18"/>
        <v/>
      </c>
      <c r="E162" s="392" t="str">
        <f t="shared" si="18"/>
        <v/>
      </c>
      <c r="F162" s="68"/>
      <c r="G162" s="68"/>
      <c r="H162" s="68"/>
      <c r="I162" s="68"/>
      <c r="J162" s="68"/>
      <c r="K162" s="68"/>
      <c r="L162" s="68"/>
      <c r="M162" s="69"/>
      <c r="O162" s="30"/>
      <c r="P162" s="35" t="s">
        <v>172</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218</v>
      </c>
      <c r="Q163" s="145"/>
      <c r="R163" s="145"/>
      <c r="S163" s="145"/>
      <c r="T163" s="143"/>
      <c r="Y163" s="32"/>
    </row>
    <row r="164" spans="1:25" ht="14.1" customHeight="1" thickBot="1">
      <c r="A164" s="17">
        <v>20</v>
      </c>
      <c r="B164" s="67"/>
      <c r="C164" s="146" t="s">
        <v>216</v>
      </c>
      <c r="D164" s="68"/>
      <c r="E164" s="68"/>
      <c r="F164" s="68"/>
      <c r="G164" s="68"/>
      <c r="H164" s="68"/>
      <c r="I164" s="68"/>
      <c r="J164" s="68"/>
      <c r="K164" s="68"/>
      <c r="L164" s="68"/>
      <c r="M164" s="69"/>
      <c r="O164" s="30"/>
      <c r="P164" s="35" t="s">
        <v>219</v>
      </c>
      <c r="Q164" s="145"/>
      <c r="R164" s="145"/>
      <c r="S164" s="145"/>
      <c r="T164" s="143"/>
      <c r="Y164" s="32"/>
    </row>
    <row r="165" spans="1:25" ht="14.1" customHeight="1">
      <c r="A165" s="17">
        <v>21</v>
      </c>
      <c r="B165" s="67"/>
      <c r="C165" s="162" t="s">
        <v>50</v>
      </c>
      <c r="D165" s="382" t="str">
        <f t="shared" ref="D165:F167" si="19">IF(Q160="","",Q160)</f>
        <v>Mo</v>
      </c>
      <c r="E165" s="383" t="str">
        <f t="shared" si="19"/>
        <v>Mo</v>
      </c>
      <c r="F165" s="384" t="str">
        <f t="shared" si="19"/>
        <v>W</v>
      </c>
      <c r="G165" s="68"/>
      <c r="H165" s="591" t="str">
        <f>IF(T160="","",T160)</f>
        <v/>
      </c>
      <c r="I165" s="68"/>
      <c r="J165" s="68"/>
      <c r="K165" s="68"/>
      <c r="L165" s="68"/>
      <c r="M165" s="69"/>
      <c r="O165" s="30"/>
      <c r="P165" s="35" t="s">
        <v>217</v>
      </c>
      <c r="Q165" s="145"/>
      <c r="R165" s="145"/>
      <c r="S165" s="145"/>
      <c r="T165" s="143"/>
      <c r="Y165" s="32"/>
    </row>
    <row r="166" spans="1:25" ht="14.1" customHeight="1">
      <c r="A166" s="17">
        <v>22</v>
      </c>
      <c r="B166" s="67"/>
      <c r="C166" s="162" t="s">
        <v>53</v>
      </c>
      <c r="D166" s="385" t="str">
        <f t="shared" si="19"/>
        <v>Mo</v>
      </c>
      <c r="E166" s="16" t="str">
        <f t="shared" si="19"/>
        <v>Rh</v>
      </c>
      <c r="F166" s="386" t="str">
        <f t="shared" si="19"/>
        <v>Rh</v>
      </c>
      <c r="G166" s="68"/>
      <c r="H166" s="591" t="str">
        <f>IF(T160="","",T160)</f>
        <v/>
      </c>
      <c r="I166" s="68"/>
      <c r="J166" s="68"/>
      <c r="K166" s="68"/>
      <c r="L166" s="68"/>
      <c r="M166" s="69"/>
      <c r="O166" s="30"/>
      <c r="P166" s="3" t="s">
        <v>203</v>
      </c>
      <c r="Q166" s="10" t="s">
        <v>220</v>
      </c>
      <c r="R166" s="4"/>
      <c r="S166" s="4"/>
      <c r="T166" s="147"/>
      <c r="Y166" s="32"/>
    </row>
    <row r="167" spans="1:25" ht="14.1" customHeight="1">
      <c r="A167" s="17">
        <v>23</v>
      </c>
      <c r="B167" s="67"/>
      <c r="C167" s="162" t="s">
        <v>238</v>
      </c>
      <c r="D167" s="385" t="str">
        <f t="shared" si="19"/>
        <v/>
      </c>
      <c r="E167" s="16" t="str">
        <f t="shared" si="19"/>
        <v/>
      </c>
      <c r="F167" s="386" t="str">
        <f t="shared" si="19"/>
        <v/>
      </c>
      <c r="G167" s="68"/>
      <c r="H167" s="591" t="str">
        <f>IF(T161="","",T161)</f>
        <v/>
      </c>
      <c r="I167" s="68"/>
      <c r="J167" s="68"/>
      <c r="K167" s="68"/>
      <c r="L167" s="68"/>
      <c r="M167" s="69"/>
      <c r="O167" s="30"/>
      <c r="P167" s="4"/>
      <c r="Q167" s="4"/>
      <c r="R167" s="4"/>
      <c r="S167" s="4"/>
      <c r="T167" s="4"/>
      <c r="Y167" s="32"/>
    </row>
    <row r="168" spans="1:25" ht="14.1" customHeight="1">
      <c r="A168" s="17">
        <v>24</v>
      </c>
      <c r="B168" s="67"/>
      <c r="C168" s="162" t="s">
        <v>172</v>
      </c>
      <c r="D168" s="385" t="str">
        <f t="shared" ref="D168:F171" si="20">IF(Q162="","",Q162)</f>
        <v/>
      </c>
      <c r="E168" s="16" t="str">
        <f t="shared" si="20"/>
        <v/>
      </c>
      <c r="F168" s="386" t="str">
        <f t="shared" si="20"/>
        <v/>
      </c>
      <c r="G168" s="68"/>
      <c r="H168" s="591" t="str">
        <f>IF(T162="","",T162)</f>
        <v/>
      </c>
      <c r="I168" s="68"/>
      <c r="J168" s="68"/>
      <c r="K168" s="68"/>
      <c r="L168" s="68"/>
      <c r="M168" s="69"/>
      <c r="O168" s="30"/>
      <c r="P168" s="109" t="s">
        <v>223</v>
      </c>
      <c r="Q168" s="149" t="str">
        <f>IF(Q170&lt;&gt;"",Q170,IF(AB190="","",AB190))</f>
        <v/>
      </c>
      <c r="R168" s="150"/>
      <c r="S168" s="150"/>
      <c r="T168" s="150"/>
      <c r="U168" s="150"/>
      <c r="V168" s="150"/>
      <c r="W168" s="150"/>
      <c r="X168" s="150"/>
      <c r="Y168" s="32"/>
    </row>
    <row r="169" spans="1:25" ht="14.1" customHeight="1">
      <c r="A169" s="17">
        <v>25</v>
      </c>
      <c r="B169" s="67"/>
      <c r="C169" s="162" t="s">
        <v>218</v>
      </c>
      <c r="D169" s="385" t="str">
        <f t="shared" si="20"/>
        <v/>
      </c>
      <c r="E169" s="16" t="str">
        <f t="shared" si="20"/>
        <v/>
      </c>
      <c r="F169" s="386" t="str">
        <f t="shared" si="20"/>
        <v/>
      </c>
      <c r="G169" s="68"/>
      <c r="H169" s="591" t="str">
        <f>IF(T162="","",T162)</f>
        <v/>
      </c>
      <c r="I169" s="68"/>
      <c r="J169" s="68"/>
      <c r="K169" s="68"/>
      <c r="L169" s="68"/>
      <c r="M169" s="69"/>
      <c r="O169" s="30"/>
      <c r="P169" s="151" t="s">
        <v>224</v>
      </c>
      <c r="Q169" s="152"/>
      <c r="R169" s="153"/>
      <c r="S169" s="153"/>
      <c r="T169" s="153"/>
      <c r="U169" s="153"/>
      <c r="V169" s="153"/>
      <c r="W169" s="153"/>
      <c r="X169" s="153"/>
      <c r="Y169" s="32"/>
    </row>
    <row r="170" spans="1:25" ht="14.1" customHeight="1">
      <c r="A170" s="17">
        <v>26</v>
      </c>
      <c r="B170" s="67"/>
      <c r="C170" s="162" t="s">
        <v>219</v>
      </c>
      <c r="D170" s="385" t="str">
        <f t="shared" si="20"/>
        <v/>
      </c>
      <c r="E170" s="16" t="str">
        <f t="shared" si="20"/>
        <v/>
      </c>
      <c r="F170" s="386" t="str">
        <f t="shared" si="20"/>
        <v/>
      </c>
      <c r="G170" s="68"/>
      <c r="H170" s="591" t="str">
        <f>IF(T163="","",T163)</f>
        <v/>
      </c>
      <c r="I170" s="68"/>
      <c r="J170" s="68"/>
      <c r="K170" s="68"/>
      <c r="L170" s="68"/>
      <c r="M170" s="69"/>
      <c r="O170" s="30"/>
      <c r="P170" s="109" t="s">
        <v>225</v>
      </c>
      <c r="Q170" s="154"/>
      <c r="R170" s="153"/>
      <c r="S170" s="153"/>
      <c r="T170" s="153"/>
      <c r="U170" s="153"/>
      <c r="V170" s="153"/>
      <c r="W170" s="153"/>
      <c r="X170" s="153"/>
      <c r="Y170" s="32"/>
    </row>
    <row r="171" spans="1:25" ht="14.1" customHeight="1" thickBot="1">
      <c r="A171" s="17">
        <v>27</v>
      </c>
      <c r="B171" s="67"/>
      <c r="C171" s="162" t="s">
        <v>217</v>
      </c>
      <c r="D171" s="387" t="str">
        <f t="shared" si="20"/>
        <v/>
      </c>
      <c r="E171" s="388" t="str">
        <f t="shared" si="20"/>
        <v/>
      </c>
      <c r="F171" s="389" t="str">
        <f t="shared" si="20"/>
        <v/>
      </c>
      <c r="G171" s="68"/>
      <c r="H171" s="591"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91" t="str">
        <f>IF(T165="","",T165)</f>
        <v/>
      </c>
      <c r="I172" s="68"/>
      <c r="J172" s="68"/>
      <c r="K172" s="68"/>
      <c r="L172" s="68"/>
      <c r="M172" s="69"/>
      <c r="O172" s="139" t="s">
        <v>226</v>
      </c>
      <c r="R172" s="137"/>
      <c r="S172" s="75" t="s">
        <v>74</v>
      </c>
      <c r="Y172" s="32"/>
    </row>
    <row r="173" spans="1:25" ht="14.1" customHeight="1">
      <c r="A173" s="17">
        <v>29</v>
      </c>
      <c r="B173" s="67"/>
      <c r="C173" s="3" t="s">
        <v>203</v>
      </c>
      <c r="D173" s="10" t="s">
        <v>220</v>
      </c>
      <c r="E173" s="68"/>
      <c r="F173" s="68"/>
      <c r="G173" s="68"/>
      <c r="H173" s="68"/>
      <c r="I173" s="68"/>
      <c r="J173" s="68"/>
      <c r="K173" s="68"/>
      <c r="L173" s="68"/>
      <c r="M173" s="69"/>
      <c r="O173" s="30"/>
      <c r="P173" s="823" t="s">
        <v>227</v>
      </c>
      <c r="Q173" s="823"/>
      <c r="R173" s="823"/>
      <c r="S173" s="823"/>
      <c r="U173" s="591" t="s">
        <v>228</v>
      </c>
      <c r="V173" s="591"/>
      <c r="Y173" s="32"/>
    </row>
    <row r="174" spans="1:25" ht="14.1" customHeight="1">
      <c r="A174" s="17">
        <v>30</v>
      </c>
      <c r="B174" s="67"/>
      <c r="C174" s="68"/>
      <c r="D174" s="497" t="str">
        <f>P168</f>
        <v>Comments:</v>
      </c>
      <c r="E174" s="111" t="str">
        <f>IF(Q168="","",IF(LEN(Q168)&lt;=135,Q168,IF(LEN(Q168)&lt;=260,LEFT(Q168,SEARCH(" ",Q168,125)),LEFT(Q168,SEARCH(" ",Q168,130)))))</f>
        <v/>
      </c>
      <c r="F174" s="110"/>
      <c r="G174" s="110"/>
      <c r="H174" s="110"/>
      <c r="I174" s="110"/>
      <c r="J174" s="110"/>
      <c r="K174" s="110"/>
      <c r="L174" s="110"/>
      <c r="M174" s="169"/>
      <c r="O174" s="30"/>
      <c r="P174" s="155" t="s">
        <v>229</v>
      </c>
      <c r="Q174" s="155" t="s">
        <v>230</v>
      </c>
      <c r="R174" s="155" t="s">
        <v>231</v>
      </c>
      <c r="S174" s="156" t="s">
        <v>232</v>
      </c>
      <c r="U174" s="316" t="s">
        <v>233</v>
      </c>
      <c r="V174" s="591"/>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203</v>
      </c>
      <c r="Q176" s="138" t="s">
        <v>234</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226</v>
      </c>
      <c r="D178" s="68"/>
      <c r="E178" s="68"/>
      <c r="F178" s="68"/>
      <c r="G178" s="68"/>
      <c r="H178" s="68"/>
      <c r="I178" s="68"/>
      <c r="J178" s="68"/>
      <c r="K178" s="68"/>
      <c r="L178" s="68"/>
      <c r="M178" s="69"/>
      <c r="O178" s="139" t="s">
        <v>235</v>
      </c>
      <c r="Y178" s="32"/>
    </row>
    <row r="179" spans="1:25" ht="14.1" customHeight="1">
      <c r="A179" s="17">
        <v>35</v>
      </c>
      <c r="B179" s="67"/>
      <c r="C179" s="68"/>
      <c r="D179" s="823" t="s">
        <v>227</v>
      </c>
      <c r="E179" s="823"/>
      <c r="F179" s="823"/>
      <c r="G179" s="823"/>
      <c r="H179" s="68"/>
      <c r="I179" s="591" t="s">
        <v>228</v>
      </c>
      <c r="J179" s="591"/>
      <c r="K179" s="68"/>
      <c r="L179" s="68"/>
      <c r="M179" s="69"/>
      <c r="O179" s="161"/>
      <c r="P179" s="162" t="s">
        <v>94</v>
      </c>
      <c r="Q179" s="137"/>
      <c r="T179" s="162" t="s">
        <v>94</v>
      </c>
      <c r="U179" s="137"/>
      <c r="V179" s="4"/>
      <c r="X179" s="4"/>
      <c r="Y179" s="32"/>
    </row>
    <row r="180" spans="1:25" ht="14.1" customHeight="1">
      <c r="A180" s="17">
        <v>36</v>
      </c>
      <c r="B180" s="67"/>
      <c r="C180" s="68"/>
      <c r="D180" s="155" t="s">
        <v>229</v>
      </c>
      <c r="E180" s="155" t="s">
        <v>230</v>
      </c>
      <c r="F180" s="155" t="s">
        <v>231</v>
      </c>
      <c r="G180" s="156" t="s">
        <v>232</v>
      </c>
      <c r="H180" s="68"/>
      <c r="I180" s="311" t="s">
        <v>233</v>
      </c>
      <c r="J180" s="143"/>
      <c r="K180" s="68"/>
      <c r="L180" s="68"/>
      <c r="M180" s="69"/>
      <c r="O180" s="161"/>
      <c r="P180" s="162" t="s">
        <v>172</v>
      </c>
      <c r="Q180" s="137"/>
      <c r="R180" s="4"/>
      <c r="S180" s="4"/>
      <c r="T180" s="162" t="s">
        <v>172</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4"/>
      <c r="K181" s="68"/>
      <c r="L181" s="68"/>
      <c r="M181" s="69"/>
      <c r="O181" s="161"/>
      <c r="P181" s="162" t="s">
        <v>218</v>
      </c>
      <c r="Q181" s="137"/>
      <c r="R181" s="4"/>
      <c r="S181" s="4"/>
      <c r="T181" s="162" t="s">
        <v>218</v>
      </c>
      <c r="U181" s="137"/>
      <c r="V181" s="4"/>
      <c r="W181" s="4"/>
      <c r="X181" s="4"/>
      <c r="Y181" s="32"/>
    </row>
    <row r="182" spans="1:25" ht="14.1" customHeight="1">
      <c r="A182" s="17">
        <v>38</v>
      </c>
      <c r="B182" s="67"/>
      <c r="C182" s="68"/>
      <c r="D182" s="3" t="s">
        <v>203</v>
      </c>
      <c r="E182" s="101" t="s">
        <v>252</v>
      </c>
      <c r="F182" s="68"/>
      <c r="G182" s="68"/>
      <c r="H182" s="68"/>
      <c r="I182" s="68"/>
      <c r="J182" s="68"/>
      <c r="K182" s="68"/>
      <c r="L182" s="68"/>
      <c r="M182" s="69"/>
      <c r="O182" s="30"/>
      <c r="P182" s="68"/>
      <c r="Q182" s="816" t="s">
        <v>239</v>
      </c>
      <c r="R182" s="816"/>
      <c r="S182" s="816"/>
      <c r="T182" s="4"/>
      <c r="U182" s="816" t="s">
        <v>239</v>
      </c>
      <c r="V182" s="816"/>
      <c r="W182" s="816"/>
      <c r="X182" s="4"/>
      <c r="Y182" s="32"/>
    </row>
    <row r="183" spans="1:25" ht="14.1" customHeight="1" thickBot="1">
      <c r="A183" s="17">
        <v>39</v>
      </c>
      <c r="B183" s="159"/>
      <c r="C183" s="41"/>
      <c r="D183" s="41"/>
      <c r="E183" s="41"/>
      <c r="F183" s="41"/>
      <c r="G183" s="41"/>
      <c r="H183" s="41"/>
      <c r="I183" s="41"/>
      <c r="J183" s="41"/>
      <c r="K183" s="41"/>
      <c r="L183" s="41"/>
      <c r="M183" s="160"/>
      <c r="O183" s="30"/>
      <c r="P183" s="68"/>
      <c r="Q183" s="592" t="s">
        <v>240</v>
      </c>
      <c r="R183" s="592" t="s">
        <v>241</v>
      </c>
      <c r="S183" s="107" t="s">
        <v>242</v>
      </c>
      <c r="T183" s="4"/>
      <c r="U183" s="592" t="s">
        <v>240</v>
      </c>
      <c r="V183" s="592" t="s">
        <v>241</v>
      </c>
      <c r="W183" s="107" t="s">
        <v>242</v>
      </c>
      <c r="X183" s="4"/>
      <c r="Y183" s="32"/>
    </row>
    <row r="184" spans="1:25" ht="14.1" customHeight="1">
      <c r="A184" s="17">
        <v>40</v>
      </c>
      <c r="B184" s="498"/>
      <c r="C184" s="63" t="s">
        <v>235</v>
      </c>
      <c r="D184" s="23"/>
      <c r="E184" s="23"/>
      <c r="F184" s="23"/>
      <c r="G184" s="63"/>
      <c r="H184" s="63" t="s">
        <v>251</v>
      </c>
      <c r="I184" s="23"/>
      <c r="J184" s="23"/>
      <c r="K184" s="23"/>
      <c r="L184" s="23"/>
      <c r="M184" s="476"/>
      <c r="O184" s="161"/>
      <c r="P184" s="162" t="s">
        <v>243</v>
      </c>
      <c r="Q184" s="163"/>
      <c r="R184" s="164"/>
      <c r="S184" s="165"/>
      <c r="T184" s="4"/>
      <c r="U184" s="163"/>
      <c r="V184" s="164"/>
      <c r="W184" s="165"/>
      <c r="X184" s="4"/>
      <c r="Y184" s="32"/>
    </row>
    <row r="185" spans="1:25" ht="14.1" customHeight="1" thickBot="1">
      <c r="A185" s="17">
        <v>41</v>
      </c>
      <c r="B185" s="67"/>
      <c r="C185" s="162" t="s">
        <v>94</v>
      </c>
      <c r="D185" s="107" t="str">
        <f>IF(Q179="","",Q179)</f>
        <v/>
      </c>
      <c r="E185" s="68"/>
      <c r="F185" s="68"/>
      <c r="G185" s="68"/>
      <c r="H185" s="162" t="s">
        <v>94</v>
      </c>
      <c r="I185" s="107" t="str">
        <f>IF(Q194="","",Q194)</f>
        <v/>
      </c>
      <c r="J185" s="68"/>
      <c r="K185" s="162" t="s">
        <v>94</v>
      </c>
      <c r="L185" s="107" t="str">
        <f>IF(U194="","",U194)</f>
        <v/>
      </c>
      <c r="M185" s="69"/>
      <c r="O185" s="161"/>
      <c r="P185" s="162" t="s">
        <v>244</v>
      </c>
      <c r="Q185" s="166"/>
      <c r="R185" s="167"/>
      <c r="S185" s="168"/>
      <c r="T185" s="4"/>
      <c r="U185" s="166"/>
      <c r="V185" s="167"/>
      <c r="W185" s="168"/>
      <c r="X185" s="4"/>
      <c r="Y185" s="32"/>
    </row>
    <row r="186" spans="1:25" ht="14.1" customHeight="1">
      <c r="A186" s="17">
        <v>42</v>
      </c>
      <c r="B186" s="67"/>
      <c r="C186" s="107"/>
      <c r="D186" s="820" t="s">
        <v>239</v>
      </c>
      <c r="E186" s="821"/>
      <c r="F186" s="822"/>
      <c r="G186" s="162"/>
      <c r="H186" s="820" t="s">
        <v>239</v>
      </c>
      <c r="I186" s="821"/>
      <c r="J186" s="822"/>
      <c r="K186" s="820" t="s">
        <v>239</v>
      </c>
      <c r="L186" s="821"/>
      <c r="M186" s="824"/>
      <c r="O186" s="161"/>
      <c r="P186" s="162" t="s">
        <v>245</v>
      </c>
      <c r="Q186" s="166"/>
      <c r="R186" s="167"/>
      <c r="S186" s="168"/>
      <c r="T186" s="4"/>
      <c r="U186" s="166"/>
      <c r="V186" s="167"/>
      <c r="W186" s="168"/>
      <c r="X186" s="4"/>
      <c r="Y186" s="32"/>
    </row>
    <row r="187" spans="1:25" ht="14.1" customHeight="1" thickBot="1">
      <c r="A187" s="17">
        <v>43</v>
      </c>
      <c r="B187" s="67"/>
      <c r="C187" s="335"/>
      <c r="D187" s="341" t="s">
        <v>240</v>
      </c>
      <c r="E187" s="296" t="s">
        <v>241</v>
      </c>
      <c r="F187" s="342" t="s">
        <v>242</v>
      </c>
      <c r="G187" s="107"/>
      <c r="H187" s="341" t="s">
        <v>240</v>
      </c>
      <c r="I187" s="296" t="s">
        <v>241</v>
      </c>
      <c r="J187" s="342" t="s">
        <v>242</v>
      </c>
      <c r="K187" s="341" t="s">
        <v>240</v>
      </c>
      <c r="L187" s="296" t="s">
        <v>241</v>
      </c>
      <c r="M187" s="499" t="s">
        <v>242</v>
      </c>
      <c r="O187" s="161"/>
      <c r="P187" s="162" t="s">
        <v>246</v>
      </c>
      <c r="Q187" s="170"/>
      <c r="R187" s="171"/>
      <c r="S187" s="172"/>
      <c r="T187" s="4"/>
      <c r="U187" s="170"/>
      <c r="V187" s="171"/>
      <c r="W187" s="172"/>
      <c r="Y187" s="32"/>
    </row>
    <row r="188" spans="1:25" ht="14.1" customHeight="1">
      <c r="A188" s="17">
        <v>44</v>
      </c>
      <c r="B188" s="67"/>
      <c r="C188" s="162" t="s">
        <v>243</v>
      </c>
      <c r="D188" s="352" t="str">
        <f>IF(Q184="","",Q184)</f>
        <v/>
      </c>
      <c r="E188" s="312" t="str">
        <f t="shared" ref="E188:F188" si="21">IF(R184="","",R184)</f>
        <v/>
      </c>
      <c r="F188" s="353" t="str">
        <f t="shared" si="21"/>
        <v/>
      </c>
      <c r="G188" s="351" t="s">
        <v>243</v>
      </c>
      <c r="H188" s="343" t="str">
        <f>IF(Q199="","",Q199)</f>
        <v/>
      </c>
      <c r="I188" s="339" t="str">
        <f t="shared" ref="I188:J195" si="22">IF(R199="","",R199)</f>
        <v/>
      </c>
      <c r="J188" s="344" t="str">
        <f t="shared" si="22"/>
        <v/>
      </c>
      <c r="K188" s="348" t="str">
        <f>IF(U199="","",U199)</f>
        <v/>
      </c>
      <c r="L188" s="338" t="str">
        <f t="shared" ref="L188:M195" si="23">IF(V199="","",V199)</f>
        <v/>
      </c>
      <c r="M188" s="500" t="str">
        <f t="shared" si="23"/>
        <v/>
      </c>
      <c r="O188" s="161"/>
      <c r="P188" s="162" t="s">
        <v>247</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244</v>
      </c>
      <c r="D189" s="352" t="str">
        <f t="shared" ref="D189:F193" si="24">IF(Q185="","",Q185)</f>
        <v/>
      </c>
      <c r="E189" s="312" t="str">
        <f t="shared" si="24"/>
        <v/>
      </c>
      <c r="F189" s="353" t="str">
        <f t="shared" si="24"/>
        <v/>
      </c>
      <c r="G189" s="351" t="s">
        <v>244</v>
      </c>
      <c r="H189" s="343" t="str">
        <f t="shared" ref="H189:H195" si="25">IF(Q200="","",Q200)</f>
        <v/>
      </c>
      <c r="I189" s="339" t="str">
        <f t="shared" si="22"/>
        <v/>
      </c>
      <c r="J189" s="344" t="str">
        <f t="shared" si="22"/>
        <v/>
      </c>
      <c r="K189" s="348" t="str">
        <f t="shared" ref="K189:K195" si="26">IF(U200="","",U200)</f>
        <v/>
      </c>
      <c r="L189" s="338" t="str">
        <f t="shared" si="23"/>
        <v/>
      </c>
      <c r="M189" s="500" t="str">
        <f t="shared" si="23"/>
        <v/>
      </c>
      <c r="O189" s="161"/>
      <c r="P189" s="162" t="s">
        <v>248</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245</v>
      </c>
      <c r="D190" s="352" t="str">
        <f t="shared" si="24"/>
        <v/>
      </c>
      <c r="E190" s="312" t="str">
        <f t="shared" si="24"/>
        <v/>
      </c>
      <c r="F190" s="353" t="str">
        <f t="shared" si="24"/>
        <v/>
      </c>
      <c r="G190" s="351" t="s">
        <v>245</v>
      </c>
      <c r="H190" s="343" t="str">
        <f t="shared" si="25"/>
        <v/>
      </c>
      <c r="I190" s="339" t="str">
        <f t="shared" si="22"/>
        <v/>
      </c>
      <c r="J190" s="344" t="str">
        <f t="shared" si="22"/>
        <v/>
      </c>
      <c r="K190" s="348" t="str">
        <f t="shared" si="26"/>
        <v/>
      </c>
      <c r="L190" s="338" t="str">
        <f t="shared" si="23"/>
        <v/>
      </c>
      <c r="M190" s="500" t="str">
        <f t="shared" si="23"/>
        <v/>
      </c>
      <c r="O190" s="30"/>
      <c r="P190" s="113" t="s">
        <v>203</v>
      </c>
      <c r="Q190" s="138" t="s">
        <v>249</v>
      </c>
      <c r="R190" s="4"/>
      <c r="X190" s="4"/>
      <c r="Y190" s="32"/>
    </row>
    <row r="191" spans="1:25" ht="14.1" customHeight="1" thickBot="1">
      <c r="A191" s="17">
        <v>47</v>
      </c>
      <c r="B191" s="67"/>
      <c r="C191" s="162" t="s">
        <v>246</v>
      </c>
      <c r="D191" s="354" t="str">
        <f t="shared" si="24"/>
        <v/>
      </c>
      <c r="E191" s="355" t="str">
        <f t="shared" si="24"/>
        <v/>
      </c>
      <c r="F191" s="356" t="str">
        <f t="shared" si="24"/>
        <v/>
      </c>
      <c r="G191" s="351" t="s">
        <v>246</v>
      </c>
      <c r="H191" s="345" t="str">
        <f t="shared" si="25"/>
        <v/>
      </c>
      <c r="I191" s="346" t="str">
        <f t="shared" si="22"/>
        <v/>
      </c>
      <c r="J191" s="347" t="str">
        <f t="shared" si="22"/>
        <v/>
      </c>
      <c r="K191" s="349" t="str">
        <f t="shared" si="26"/>
        <v/>
      </c>
      <c r="L191" s="350" t="str">
        <f t="shared" si="23"/>
        <v/>
      </c>
      <c r="M191" s="501" t="str">
        <f t="shared" si="23"/>
        <v/>
      </c>
      <c r="O191" s="30"/>
      <c r="P191" s="27"/>
      <c r="Q191" s="138" t="s">
        <v>250</v>
      </c>
      <c r="R191" s="4"/>
      <c r="S191" s="4"/>
      <c r="T191" s="4"/>
      <c r="U191" s="4"/>
      <c r="V191" s="4"/>
      <c r="W191" s="4"/>
      <c r="X191" s="4"/>
      <c r="Y191" s="32"/>
    </row>
    <row r="192" spans="1:25" ht="14.1" customHeight="1">
      <c r="A192" s="17">
        <v>48</v>
      </c>
      <c r="B192" s="67"/>
      <c r="C192" s="162" t="s">
        <v>247</v>
      </c>
      <c r="D192" s="362" t="str">
        <f t="shared" si="24"/>
        <v/>
      </c>
      <c r="E192" s="363" t="str">
        <f t="shared" si="24"/>
        <v/>
      </c>
      <c r="F192" s="364" t="str">
        <f t="shared" si="24"/>
        <v/>
      </c>
      <c r="G192" s="351" t="s">
        <v>247</v>
      </c>
      <c r="H192" s="368" t="str">
        <f t="shared" si="25"/>
        <v/>
      </c>
      <c r="I192" s="369" t="str">
        <f t="shared" si="22"/>
        <v/>
      </c>
      <c r="J192" s="370" t="str">
        <f t="shared" si="22"/>
        <v/>
      </c>
      <c r="K192" s="365" t="str">
        <f t="shared" si="26"/>
        <v/>
      </c>
      <c r="L192" s="366" t="str">
        <f t="shared" si="23"/>
        <v/>
      </c>
      <c r="M192" s="502" t="str">
        <f t="shared" si="23"/>
        <v/>
      </c>
      <c r="O192" s="30"/>
      <c r="P192" s="4"/>
      <c r="Q192" s="4"/>
      <c r="R192" s="4"/>
      <c r="S192" s="4"/>
      <c r="T192" s="4"/>
      <c r="U192" s="4"/>
      <c r="V192" s="4"/>
      <c r="W192" s="4"/>
      <c r="Y192" s="32"/>
    </row>
    <row r="193" spans="1:29" ht="14.1" customHeight="1" thickBot="1">
      <c r="A193" s="17">
        <v>49</v>
      </c>
      <c r="B193" s="67"/>
      <c r="C193" s="162" t="s">
        <v>248</v>
      </c>
      <c r="D193" s="354" t="str">
        <f t="shared" si="24"/>
        <v/>
      </c>
      <c r="E193" s="355" t="str">
        <f t="shared" si="24"/>
        <v/>
      </c>
      <c r="F193" s="356" t="str">
        <f t="shared" si="24"/>
        <v/>
      </c>
      <c r="G193" s="340" t="s">
        <v>248</v>
      </c>
      <c r="H193" s="345" t="str">
        <f t="shared" si="25"/>
        <v/>
      </c>
      <c r="I193" s="346" t="str">
        <f t="shared" si="22"/>
        <v/>
      </c>
      <c r="J193" s="347" t="str">
        <f t="shared" si="22"/>
        <v/>
      </c>
      <c r="K193" s="349" t="str">
        <f t="shared" si="26"/>
        <v/>
      </c>
      <c r="L193" s="350" t="str">
        <f t="shared" si="23"/>
        <v/>
      </c>
      <c r="M193" s="501" t="str">
        <f t="shared" si="23"/>
        <v/>
      </c>
      <c r="O193" s="139" t="s">
        <v>251</v>
      </c>
      <c r="Y193" s="32"/>
    </row>
    <row r="194" spans="1:29" ht="14.1" customHeight="1" thickBot="1">
      <c r="A194" s="17">
        <v>50</v>
      </c>
      <c r="B194" s="67"/>
      <c r="C194" s="162" t="s">
        <v>94</v>
      </c>
      <c r="D194" s="107" t="str">
        <f>IF(U179="","",U179)</f>
        <v/>
      </c>
      <c r="E194" s="68"/>
      <c r="F194" s="68"/>
      <c r="G194" s="351" t="s">
        <v>256</v>
      </c>
      <c r="H194" s="368">
        <f t="shared" si="25"/>
        <v>-4</v>
      </c>
      <c r="I194" s="369">
        <f t="shared" si="22"/>
        <v>-3</v>
      </c>
      <c r="J194" s="370" t="str">
        <f t="shared" si="22"/>
        <v/>
      </c>
      <c r="K194" s="365">
        <f t="shared" si="26"/>
        <v>-4</v>
      </c>
      <c r="L194" s="366">
        <f t="shared" si="23"/>
        <v>-3</v>
      </c>
      <c r="M194" s="502" t="str">
        <f t="shared" si="23"/>
        <v/>
      </c>
      <c r="O194" s="161"/>
      <c r="P194" s="162" t="s">
        <v>94</v>
      </c>
      <c r="Q194" s="137"/>
      <c r="T194" s="162" t="s">
        <v>94</v>
      </c>
      <c r="U194" s="137"/>
      <c r="V194" s="4"/>
      <c r="X194" s="4"/>
      <c r="Y194" s="32"/>
    </row>
    <row r="195" spans="1:29" ht="14.1" customHeight="1" thickBot="1">
      <c r="A195" s="17">
        <v>51</v>
      </c>
      <c r="B195" s="67"/>
      <c r="C195" s="162" t="s">
        <v>243</v>
      </c>
      <c r="D195" s="357" t="str">
        <f>IF(U184="","",U184)</f>
        <v/>
      </c>
      <c r="E195" s="358" t="str">
        <f t="shared" ref="E195:F200" si="27">IF(V184="","",V184)</f>
        <v/>
      </c>
      <c r="F195" s="359" t="str">
        <f t="shared" si="27"/>
        <v/>
      </c>
      <c r="G195" s="351" t="s">
        <v>257</v>
      </c>
      <c r="H195" s="345">
        <f t="shared" si="25"/>
        <v>-3</v>
      </c>
      <c r="I195" s="346">
        <f t="shared" si="22"/>
        <v>-4</v>
      </c>
      <c r="J195" s="347" t="str">
        <f t="shared" si="22"/>
        <v/>
      </c>
      <c r="K195" s="349">
        <f t="shared" si="26"/>
        <v>-3</v>
      </c>
      <c r="L195" s="350">
        <f t="shared" si="23"/>
        <v>-3</v>
      </c>
      <c r="M195" s="501" t="str">
        <f t="shared" si="23"/>
        <v/>
      </c>
      <c r="O195" s="161"/>
      <c r="P195" s="162" t="s">
        <v>172</v>
      </c>
      <c r="Q195" s="137"/>
      <c r="R195" s="4"/>
      <c r="S195" s="4"/>
      <c r="T195" s="162" t="s">
        <v>172</v>
      </c>
      <c r="U195" s="137"/>
      <c r="V195" s="4"/>
      <c r="W195" s="4"/>
      <c r="X195" s="4"/>
      <c r="Y195" s="32"/>
    </row>
    <row r="196" spans="1:29" ht="14.1" customHeight="1">
      <c r="A196" s="17">
        <v>52</v>
      </c>
      <c r="B196" s="67"/>
      <c r="C196" s="162" t="s">
        <v>244</v>
      </c>
      <c r="D196" s="348" t="str">
        <f t="shared" ref="D196:D200" si="28">IF(U185="","",U185)</f>
        <v/>
      </c>
      <c r="E196" s="338" t="str">
        <f t="shared" si="27"/>
        <v/>
      </c>
      <c r="F196" s="360" t="str">
        <f t="shared" si="27"/>
        <v/>
      </c>
      <c r="G196" s="68"/>
      <c r="H196" s="337" t="str">
        <f>IF(MAX(D192:F193,D199:F200)&gt;13,"Fail","Pass")</f>
        <v>Pass</v>
      </c>
      <c r="I196" s="68" t="s">
        <v>539</v>
      </c>
      <c r="J196" s="68"/>
      <c r="K196" s="68"/>
      <c r="L196" s="68"/>
      <c r="M196" s="69"/>
      <c r="O196" s="161"/>
      <c r="P196" s="162" t="s">
        <v>218</v>
      </c>
      <c r="Q196" s="137"/>
      <c r="R196" s="4"/>
      <c r="S196" s="4"/>
      <c r="T196" s="162" t="s">
        <v>218</v>
      </c>
      <c r="U196" s="137"/>
      <c r="V196" s="4"/>
      <c r="W196" s="4"/>
      <c r="X196" s="4"/>
      <c r="Y196" s="32"/>
    </row>
    <row r="197" spans="1:29" ht="14.1" customHeight="1">
      <c r="A197" s="17">
        <v>53</v>
      </c>
      <c r="B197" s="67"/>
      <c r="C197" s="162" t="s">
        <v>245</v>
      </c>
      <c r="D197" s="348" t="str">
        <f t="shared" si="28"/>
        <v/>
      </c>
      <c r="E197" s="338" t="str">
        <f t="shared" si="27"/>
        <v/>
      </c>
      <c r="F197" s="360" t="str">
        <f t="shared" si="27"/>
        <v/>
      </c>
      <c r="G197" s="68"/>
      <c r="H197" s="337" t="str">
        <f>IF(MAX(H192:M193)&gt;13,"Fail","Pass")</f>
        <v>Pass</v>
      </c>
      <c r="I197" s="68" t="s">
        <v>540</v>
      </c>
      <c r="J197" s="68"/>
      <c r="K197" s="68"/>
      <c r="L197" s="68"/>
      <c r="M197" s="69"/>
      <c r="O197" s="30"/>
      <c r="P197" s="68"/>
      <c r="Q197" s="816" t="s">
        <v>239</v>
      </c>
      <c r="R197" s="816"/>
      <c r="S197" s="816"/>
      <c r="T197" s="4"/>
      <c r="U197" s="816" t="s">
        <v>239</v>
      </c>
      <c r="V197" s="816"/>
      <c r="W197" s="816"/>
      <c r="X197" s="4"/>
      <c r="Y197" s="32"/>
    </row>
    <row r="198" spans="1:29" ht="14.1" customHeight="1" thickBot="1">
      <c r="A198" s="17">
        <v>54</v>
      </c>
      <c r="B198" s="67"/>
      <c r="C198" s="162" t="s">
        <v>246</v>
      </c>
      <c r="D198" s="349" t="str">
        <f t="shared" si="28"/>
        <v/>
      </c>
      <c r="E198" s="350" t="str">
        <f t="shared" si="27"/>
        <v/>
      </c>
      <c r="F198" s="361" t="str">
        <f t="shared" si="27"/>
        <v/>
      </c>
      <c r="G198" s="68"/>
      <c r="H198" s="337" t="str">
        <f>IF(OR(MAX(H194:M194)&gt;6.5,MAX(H195:M195)&gt;5),"Fail","Pass")</f>
        <v>Pass</v>
      </c>
      <c r="I198" s="68" t="s">
        <v>541</v>
      </c>
      <c r="J198" s="68"/>
      <c r="K198" s="68"/>
      <c r="L198" s="68"/>
      <c r="M198" s="69"/>
      <c r="O198" s="30"/>
      <c r="P198" s="68"/>
      <c r="Q198" s="592" t="s">
        <v>240</v>
      </c>
      <c r="R198" s="592" t="s">
        <v>241</v>
      </c>
      <c r="S198" s="107" t="s">
        <v>242</v>
      </c>
      <c r="T198" s="4"/>
      <c r="U198" s="592" t="s">
        <v>240</v>
      </c>
      <c r="V198" s="592" t="s">
        <v>241</v>
      </c>
      <c r="W198" s="107" t="s">
        <v>242</v>
      </c>
      <c r="X198" s="4"/>
      <c r="Y198" s="32"/>
    </row>
    <row r="199" spans="1:29" ht="14.1" customHeight="1">
      <c r="A199" s="17">
        <v>55</v>
      </c>
      <c r="B199" s="67"/>
      <c r="C199" s="162" t="s">
        <v>247</v>
      </c>
      <c r="D199" s="365" t="str">
        <f t="shared" si="28"/>
        <v/>
      </c>
      <c r="E199" s="366" t="str">
        <f t="shared" si="27"/>
        <v/>
      </c>
      <c r="F199" s="367" t="str">
        <f t="shared" si="27"/>
        <v/>
      </c>
      <c r="G199" s="3" t="s">
        <v>203</v>
      </c>
      <c r="H199" s="101" t="s">
        <v>249</v>
      </c>
      <c r="I199" s="68"/>
      <c r="J199" s="68"/>
      <c r="K199" s="68"/>
      <c r="L199" s="68"/>
      <c r="M199" s="69"/>
      <c r="O199" s="161"/>
      <c r="P199" s="162" t="s">
        <v>243</v>
      </c>
      <c r="Q199" s="163"/>
      <c r="R199" s="164"/>
      <c r="S199" s="165"/>
      <c r="T199" s="4"/>
      <c r="U199" s="163"/>
      <c r="V199" s="164"/>
      <c r="W199" s="165"/>
      <c r="X199" s="4"/>
      <c r="Y199" s="32"/>
    </row>
    <row r="200" spans="1:29" ht="14.1" customHeight="1" thickBot="1">
      <c r="A200" s="17">
        <v>56</v>
      </c>
      <c r="B200" s="67"/>
      <c r="C200" s="162" t="s">
        <v>248</v>
      </c>
      <c r="D200" s="349" t="str">
        <f t="shared" si="28"/>
        <v/>
      </c>
      <c r="E200" s="350" t="str">
        <f t="shared" si="27"/>
        <v/>
      </c>
      <c r="F200" s="361" t="str">
        <f t="shared" si="27"/>
        <v/>
      </c>
      <c r="G200" s="375"/>
      <c r="H200" s="101" t="s">
        <v>250</v>
      </c>
      <c r="I200" s="68"/>
      <c r="J200" s="68"/>
      <c r="K200" s="68"/>
      <c r="L200" s="68"/>
      <c r="M200" s="69"/>
      <c r="O200" s="161"/>
      <c r="P200" s="162" t="s">
        <v>244</v>
      </c>
      <c r="Q200" s="166"/>
      <c r="R200" s="167"/>
      <c r="S200" s="168"/>
      <c r="T200" s="4"/>
      <c r="U200" s="166"/>
      <c r="V200" s="167"/>
      <c r="W200" s="168"/>
      <c r="X200" s="4"/>
      <c r="Y200" s="32"/>
    </row>
    <row r="201" spans="1:29" ht="14.1" customHeight="1">
      <c r="A201" s="17">
        <v>57</v>
      </c>
      <c r="B201" s="67"/>
      <c r="C201" s="68"/>
      <c r="D201" s="68"/>
      <c r="E201" s="193"/>
      <c r="F201" s="68"/>
      <c r="G201" s="3"/>
      <c r="H201" s="101" t="s">
        <v>258</v>
      </c>
      <c r="I201" s="68"/>
      <c r="J201" s="68"/>
      <c r="K201" s="68"/>
      <c r="L201" s="68"/>
      <c r="M201" s="69"/>
      <c r="O201" s="161"/>
      <c r="P201" s="162" t="s">
        <v>245</v>
      </c>
      <c r="Q201" s="166"/>
      <c r="R201" s="167"/>
      <c r="S201" s="168"/>
      <c r="T201" s="4"/>
      <c r="U201" s="166"/>
      <c r="V201" s="167"/>
      <c r="W201" s="168"/>
      <c r="X201" s="68"/>
      <c r="Y201" s="32"/>
    </row>
    <row r="202" spans="1:29" ht="14.1" customHeight="1" thickBot="1">
      <c r="A202" s="17">
        <v>58</v>
      </c>
      <c r="B202" s="376"/>
      <c r="C202" s="377"/>
      <c r="D202" s="377"/>
      <c r="E202" s="377"/>
      <c r="F202" s="377"/>
      <c r="G202" s="371"/>
      <c r="H202" s="372" t="s">
        <v>259</v>
      </c>
      <c r="I202" s="377"/>
      <c r="J202" s="377"/>
      <c r="K202" s="377"/>
      <c r="L202" s="377"/>
      <c r="M202" s="378"/>
      <c r="O202" s="161"/>
      <c r="P202" s="162" t="s">
        <v>246</v>
      </c>
      <c r="Q202" s="170"/>
      <c r="R202" s="171"/>
      <c r="S202" s="172"/>
      <c r="T202" s="4"/>
      <c r="U202" s="170"/>
      <c r="V202" s="171"/>
      <c r="W202" s="172"/>
      <c r="X202" s="68"/>
      <c r="Y202" s="32"/>
    </row>
    <row r="203" spans="1:29" ht="14.1" customHeight="1" thickBot="1">
      <c r="A203" s="17">
        <v>59</v>
      </c>
      <c r="B203" s="67"/>
      <c r="C203" s="146" t="s">
        <v>260</v>
      </c>
      <c r="D203" s="68"/>
      <c r="E203" s="68"/>
      <c r="F203" s="68"/>
      <c r="G203" s="68"/>
      <c r="H203" s="68"/>
      <c r="I203" s="68"/>
      <c r="J203" s="68"/>
      <c r="K203" s="68"/>
      <c r="L203" s="68"/>
      <c r="M203" s="69"/>
      <c r="O203" s="161"/>
      <c r="P203" s="162" t="s">
        <v>247</v>
      </c>
      <c r="Q203" s="204" t="str">
        <f>IF(OR(Q199="",Q200=""),"",ABS(Q199)+ABS(Q200))</f>
        <v/>
      </c>
      <c r="R203" s="205" t="str">
        <f>IF(OR(R199="",R200=""),"",ABS(R199)+ABS(R200))</f>
        <v/>
      </c>
      <c r="S203" s="176" t="str">
        <f>IF(OR(S199="",S200=""),"",ABS(S199)+ABS(S200))</f>
        <v/>
      </c>
      <c r="U203" s="204" t="str">
        <f>IF(OR(U199="",U200=""),"",ABS(U199)+ABS(U200))</f>
        <v/>
      </c>
      <c r="V203" s="205" t="str">
        <f>IF(OR(V199="",V200=""),"",ABS(V199)+ABS(V200))</f>
        <v/>
      </c>
      <c r="W203" s="176" t="str">
        <f>IF(OR(W199="",W200=""),"",ABS(W199)+ABS(W200))</f>
        <v/>
      </c>
      <c r="Y203" s="32"/>
    </row>
    <row r="204" spans="1:29" ht="14.1" customHeight="1" thickBot="1">
      <c r="A204" s="17">
        <v>60</v>
      </c>
      <c r="B204" s="67"/>
      <c r="C204" s="162" t="s">
        <v>50</v>
      </c>
      <c r="D204" s="393" t="str">
        <f t="shared" ref="D204:E207" si="29">IF(Q213="","",Q213)</f>
        <v>Mo/Mo</v>
      </c>
      <c r="E204" s="394" t="str">
        <f t="shared" si="29"/>
        <v>W/Rh</v>
      </c>
      <c r="F204" s="68"/>
      <c r="G204" s="68"/>
      <c r="H204" s="68"/>
      <c r="I204" s="68"/>
      <c r="J204" s="68"/>
      <c r="K204" s="68"/>
      <c r="L204" s="68"/>
      <c r="M204" s="69"/>
      <c r="O204" s="161"/>
      <c r="P204" s="162" t="s">
        <v>248</v>
      </c>
      <c r="Q204" s="207" t="str">
        <f>IF(OR(Q201="",Q202=""),"",ABS(Q201)+ABS(Q202))</f>
        <v/>
      </c>
      <c r="R204" s="208" t="str">
        <f>IF(OR(R201="",R202=""),"",ABS(R201)+ABS(R202))</f>
        <v/>
      </c>
      <c r="S204" s="177" t="str">
        <f>IF(OR(S201="",S202=""),"",ABS(S201)+ABS(S202))</f>
        <v/>
      </c>
      <c r="U204" s="207" t="str">
        <f>IF(OR(U201="",U202=""),"",ABS(U201)+ABS(U202))</f>
        <v/>
      </c>
      <c r="V204" s="208" t="str">
        <f>IF(OR(V201="",V202=""),"",ABS(V201)+ABS(V202))</f>
        <v/>
      </c>
      <c r="W204" s="177" t="str">
        <f>IF(OR(W201="",W202=""),"",ABS(W201)+ABS(W202))</f>
        <v/>
      </c>
      <c r="Y204" s="32"/>
    </row>
    <row r="205" spans="1:29" ht="14.1" customHeight="1" thickBot="1">
      <c r="A205" s="17">
        <v>61</v>
      </c>
      <c r="B205" s="67"/>
      <c r="C205" s="162" t="s">
        <v>172</v>
      </c>
      <c r="D205" s="395" t="str">
        <f t="shared" si="29"/>
        <v/>
      </c>
      <c r="E205" s="396" t="str">
        <f t="shared" si="29"/>
        <v/>
      </c>
      <c r="F205" s="68"/>
      <c r="G205" s="162" t="s">
        <v>217</v>
      </c>
      <c r="H205" s="144" t="str">
        <f>IF(AND(Q217="",R217=""),"",IF(OR(Q217="Fail",R217="Fail"),"Fail","Pass"))</f>
        <v/>
      </c>
      <c r="I205" s="68"/>
      <c r="J205" s="68"/>
      <c r="K205" s="68"/>
      <c r="L205" s="68"/>
      <c r="M205" s="69"/>
      <c r="O205" s="161"/>
      <c r="P205" s="162" t="s">
        <v>255</v>
      </c>
      <c r="Q205" s="163">
        <v>-4</v>
      </c>
      <c r="R205" s="164">
        <v>-3</v>
      </c>
      <c r="S205" s="165"/>
      <c r="U205" s="163">
        <v>-4</v>
      </c>
      <c r="V205" s="164">
        <v>-3</v>
      </c>
      <c r="W205" s="165"/>
      <c r="Y205" s="32"/>
    </row>
    <row r="206" spans="1:29" ht="14.1" customHeight="1" thickBot="1">
      <c r="A206" s="17">
        <v>62</v>
      </c>
      <c r="B206" s="67"/>
      <c r="C206" s="162" t="s">
        <v>218</v>
      </c>
      <c r="D206" s="395" t="str">
        <f t="shared" si="29"/>
        <v/>
      </c>
      <c r="E206" s="396" t="str">
        <f t="shared" si="29"/>
        <v/>
      </c>
      <c r="F206" s="68"/>
      <c r="G206" s="3"/>
      <c r="H206" s="193"/>
      <c r="I206" s="68"/>
      <c r="J206" s="68"/>
      <c r="K206" s="68"/>
      <c r="L206" s="68"/>
      <c r="M206" s="69"/>
      <c r="O206" s="186"/>
      <c r="P206" s="162" t="s">
        <v>257</v>
      </c>
      <c r="Q206" s="187">
        <v>-3</v>
      </c>
      <c r="R206" s="188">
        <v>-4</v>
      </c>
      <c r="S206" s="189"/>
      <c r="U206" s="187">
        <v>-3</v>
      </c>
      <c r="V206" s="188">
        <v>-3</v>
      </c>
      <c r="W206" s="189"/>
      <c r="Y206" s="32"/>
    </row>
    <row r="207" spans="1:29" ht="14.1" customHeight="1" thickBot="1">
      <c r="A207" s="17">
        <v>63</v>
      </c>
      <c r="B207" s="67"/>
      <c r="C207" s="162" t="s">
        <v>262</v>
      </c>
      <c r="D207" s="397" t="str">
        <f t="shared" si="29"/>
        <v/>
      </c>
      <c r="E207" s="398" t="str">
        <f t="shared" si="29"/>
        <v/>
      </c>
      <c r="F207" s="68"/>
      <c r="G207" s="68"/>
      <c r="H207" s="68"/>
      <c r="I207" s="68"/>
      <c r="J207" s="68"/>
      <c r="K207" s="68"/>
      <c r="L207" s="68"/>
      <c r="M207" s="69"/>
      <c r="O207" s="139"/>
      <c r="P207" s="113" t="s">
        <v>203</v>
      </c>
      <c r="Q207" s="138" t="s">
        <v>249</v>
      </c>
      <c r="R207" s="4"/>
      <c r="Y207" s="32"/>
    </row>
    <row r="208" spans="1:29" ht="14.1" customHeight="1">
      <c r="A208" s="17">
        <v>64</v>
      </c>
      <c r="B208" s="67"/>
      <c r="C208" s="3" t="s">
        <v>203</v>
      </c>
      <c r="D208" s="101" t="str">
        <f>Q218</f>
        <v>Limiting system resolution must be 6 lp/mm or higher</v>
      </c>
      <c r="E208" s="68"/>
      <c r="F208" s="68"/>
      <c r="G208" s="68"/>
      <c r="H208" s="68"/>
      <c r="I208" s="68"/>
      <c r="J208" s="68"/>
      <c r="K208" s="68"/>
      <c r="L208" s="68"/>
      <c r="M208" s="69"/>
      <c r="O208" s="30"/>
      <c r="P208" s="27"/>
      <c r="Q208" s="138" t="s">
        <v>250</v>
      </c>
      <c r="R208" s="4"/>
      <c r="Y208" s="32"/>
      <c r="AA208" s="592"/>
      <c r="AB208" s="592"/>
      <c r="AC208" s="592"/>
    </row>
    <row r="209" spans="1:29" ht="14.1" customHeight="1">
      <c r="A209" s="17">
        <v>65</v>
      </c>
      <c r="B209" s="67"/>
      <c r="C209" s="68"/>
      <c r="D209" s="68"/>
      <c r="E209" s="68"/>
      <c r="F209" s="68"/>
      <c r="G209" s="68"/>
      <c r="H209" s="68"/>
      <c r="I209" s="68"/>
      <c r="J209" s="68"/>
      <c r="K209" s="68"/>
      <c r="L209" s="68"/>
      <c r="M209" s="69"/>
      <c r="O209" s="30"/>
      <c r="P209" s="4"/>
      <c r="Q209" s="191" t="s">
        <v>258</v>
      </c>
      <c r="R209" s="4"/>
      <c r="Y209" s="32"/>
      <c r="AA209" s="592"/>
      <c r="AB209" s="592"/>
      <c r="AC209" s="592"/>
    </row>
    <row r="210" spans="1:29" ht="14.1" customHeight="1">
      <c r="A210" s="17">
        <v>66</v>
      </c>
      <c r="B210" s="67"/>
      <c r="C210" s="68"/>
      <c r="D210" s="68"/>
      <c r="E210" s="68"/>
      <c r="F210" s="68"/>
      <c r="G210" s="68"/>
      <c r="H210" s="68"/>
      <c r="I210" s="68"/>
      <c r="J210" s="68"/>
      <c r="K210" s="68"/>
      <c r="L210" s="68"/>
      <c r="M210" s="69"/>
      <c r="O210" s="30"/>
      <c r="Q210" s="138" t="s">
        <v>259</v>
      </c>
      <c r="R210" s="4"/>
      <c r="Y210" s="32"/>
      <c r="AA210" s="592"/>
      <c r="AB210" s="592"/>
      <c r="AC210" s="592"/>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2"/>
      <c r="AB211" s="592"/>
      <c r="AC211" s="592"/>
    </row>
    <row r="212" spans="1:29" ht="14.1" customHeight="1">
      <c r="A212" s="17">
        <v>68</v>
      </c>
      <c r="B212" s="67"/>
      <c r="C212" s="68"/>
      <c r="D212" s="68"/>
      <c r="E212" s="68"/>
      <c r="F212" s="68"/>
      <c r="G212" s="68"/>
      <c r="H212" s="68"/>
      <c r="I212" s="68"/>
      <c r="J212" s="68"/>
      <c r="K212" s="68"/>
      <c r="L212" s="68"/>
      <c r="M212" s="69"/>
      <c r="O212" s="139" t="s">
        <v>260</v>
      </c>
      <c r="Y212" s="32"/>
      <c r="AA212" s="592"/>
      <c r="AB212" s="592"/>
      <c r="AC212" s="592"/>
    </row>
    <row r="213" spans="1:29" ht="14.1" customHeight="1">
      <c r="A213" s="17">
        <v>69</v>
      </c>
      <c r="B213" s="67"/>
      <c r="C213" s="68"/>
      <c r="D213" s="68"/>
      <c r="E213" s="68"/>
      <c r="F213" s="68"/>
      <c r="G213" s="68"/>
      <c r="H213" s="68"/>
      <c r="I213" s="68"/>
      <c r="J213" s="68"/>
      <c r="K213" s="68"/>
      <c r="L213" s="68"/>
      <c r="M213" s="69"/>
      <c r="O213" s="30"/>
      <c r="P213" s="35" t="s">
        <v>94</v>
      </c>
      <c r="Q213" s="16" t="s">
        <v>236</v>
      </c>
      <c r="R213" s="16" t="s">
        <v>237</v>
      </c>
      <c r="Y213" s="32"/>
      <c r="AA213" s="592"/>
      <c r="AB213" s="592"/>
      <c r="AC213" s="592"/>
    </row>
    <row r="214" spans="1:29" ht="14.1" customHeight="1" thickBot="1">
      <c r="A214" s="17">
        <v>70</v>
      </c>
      <c r="B214" s="80"/>
      <c r="C214" s="81"/>
      <c r="D214" s="81"/>
      <c r="E214" s="81"/>
      <c r="F214" s="81"/>
      <c r="G214" s="81"/>
      <c r="H214" s="81"/>
      <c r="I214" s="81"/>
      <c r="J214" s="81"/>
      <c r="K214" s="81"/>
      <c r="L214" s="81"/>
      <c r="M214" s="82"/>
      <c r="O214" s="30"/>
      <c r="P214" s="35" t="s">
        <v>172</v>
      </c>
      <c r="Q214" s="145"/>
      <c r="R214" s="145"/>
      <c r="Y214" s="32"/>
      <c r="AA214" s="592"/>
      <c r="AB214" s="592"/>
      <c r="AC214" s="592"/>
    </row>
    <row r="215" spans="1:29" ht="14.1" customHeight="1" thickTop="1">
      <c r="A215" s="17">
        <v>71</v>
      </c>
      <c r="C215" s="109" t="s">
        <v>10</v>
      </c>
      <c r="D215" s="379" t="str">
        <f>IF($P$7="","",$P$7)</f>
        <v/>
      </c>
      <c r="E215" s="27"/>
      <c r="F215" s="27"/>
      <c r="G215" s="27"/>
      <c r="H215" s="27"/>
      <c r="I215" s="27"/>
      <c r="J215" s="27"/>
      <c r="K215" s="27"/>
      <c r="L215" s="109" t="s">
        <v>11</v>
      </c>
      <c r="M215" s="380" t="str">
        <f>IF($X$7="","",$X$7)</f>
        <v>Eugene Mah</v>
      </c>
      <c r="O215" s="30"/>
      <c r="P215" s="35" t="s">
        <v>218</v>
      </c>
      <c r="Q215" s="145"/>
      <c r="R215" s="145"/>
      <c r="Y215" s="32"/>
      <c r="AA215" s="592"/>
      <c r="AB215" s="592"/>
      <c r="AC215" s="592"/>
    </row>
    <row r="216" spans="1:29" ht="14.1" customHeight="1">
      <c r="A216" s="17">
        <v>72</v>
      </c>
      <c r="C216" s="109" t="s">
        <v>120</v>
      </c>
      <c r="D216" s="380" t="str">
        <f>IF($R$14="","",$R$14)</f>
        <v/>
      </c>
      <c r="E216" s="27"/>
      <c r="F216" s="27"/>
      <c r="G216" s="27"/>
      <c r="H216" s="27"/>
      <c r="I216" s="27"/>
      <c r="J216" s="27"/>
      <c r="K216" s="27"/>
      <c r="L216" s="109" t="s">
        <v>36</v>
      </c>
      <c r="M216" s="380" t="str">
        <f>IF($R$13="","",$R$13)</f>
        <v/>
      </c>
      <c r="O216" s="30"/>
      <c r="P216" s="35" t="s">
        <v>262</v>
      </c>
      <c r="Q216" s="145"/>
      <c r="R216" s="145"/>
      <c r="Y216" s="32"/>
      <c r="AA216" s="592"/>
      <c r="AB216" s="592"/>
      <c r="AC216" s="592"/>
    </row>
    <row r="217" spans="1:29" ht="14.1" customHeight="1">
      <c r="A217" s="17">
        <v>1</v>
      </c>
      <c r="M217" s="112" t="str">
        <f>$H$2</f>
        <v>Medical University of South Carolina</v>
      </c>
      <c r="O217" s="30"/>
      <c r="P217" s="35" t="s">
        <v>217</v>
      </c>
      <c r="Q217" s="11" t="str">
        <f>IF(Q216="","",IF(Q216&gt;=7,"Pass","Fail"))</f>
        <v/>
      </c>
      <c r="R217" s="11" t="str">
        <f>IF(R216="","",IF(R216&gt;=7,"Pass","Fail"))</f>
        <v/>
      </c>
      <c r="Y217" s="32"/>
    </row>
    <row r="218" spans="1:29" ht="14.1" customHeight="1" thickBot="1">
      <c r="A218" s="17">
        <v>2</v>
      </c>
      <c r="H218" s="51" t="s">
        <v>72</v>
      </c>
      <c r="M218" s="113" t="str">
        <f>$H$5</f>
        <v>Mammography System Compliance Inspection</v>
      </c>
      <c r="O218" s="30"/>
      <c r="P218" s="3" t="s">
        <v>203</v>
      </c>
      <c r="Q218" s="193" t="s">
        <v>263</v>
      </c>
      <c r="R218" s="68"/>
      <c r="S218" s="68"/>
      <c r="T218" s="68"/>
      <c r="U218" s="68"/>
      <c r="V218" s="68"/>
      <c r="W218" s="68"/>
      <c r="X218" s="68"/>
      <c r="Y218" s="32"/>
    </row>
    <row r="219" spans="1:29" ht="14.1" customHeight="1" thickTop="1" thickBot="1">
      <c r="A219" s="17">
        <v>3</v>
      </c>
      <c r="B219" s="58"/>
      <c r="C219" s="60" t="s">
        <v>264</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265</v>
      </c>
      <c r="D220" s="140" t="str">
        <f>IF(P221="","",P221)</f>
        <v/>
      </c>
      <c r="E220" s="68"/>
      <c r="F220" s="162" t="s">
        <v>266</v>
      </c>
      <c r="G220" s="140" t="str">
        <f>IF(S221="","",S221)</f>
        <v/>
      </c>
      <c r="H220" s="68"/>
      <c r="I220" s="68" t="s">
        <v>94</v>
      </c>
      <c r="J220" s="140" t="str">
        <f>IF(V221="","",V221)</f>
        <v/>
      </c>
      <c r="K220" s="68"/>
      <c r="L220" s="68"/>
      <c r="M220" s="69"/>
      <c r="O220" s="139" t="s">
        <v>264</v>
      </c>
      <c r="Y220" s="32"/>
    </row>
    <row r="221" spans="1:29" ht="14.1" customHeight="1">
      <c r="A221" s="17">
        <v>5</v>
      </c>
      <c r="B221" s="67"/>
      <c r="C221" s="107" t="s">
        <v>69</v>
      </c>
      <c r="D221" s="68"/>
      <c r="E221" s="68"/>
      <c r="F221" s="68"/>
      <c r="G221" s="68"/>
      <c r="H221" s="107"/>
      <c r="I221" s="68"/>
      <c r="J221" s="335"/>
      <c r="K221" s="68"/>
      <c r="L221" s="68"/>
      <c r="M221" s="69"/>
      <c r="O221" s="30" t="s">
        <v>265</v>
      </c>
      <c r="P221" s="137"/>
      <c r="R221" s="35" t="s">
        <v>266</v>
      </c>
      <c r="S221" s="137"/>
      <c r="U221" s="21" t="s">
        <v>94</v>
      </c>
      <c r="V221" s="137"/>
      <c r="Y221" s="32"/>
    </row>
    <row r="222" spans="1:29" ht="14.1" customHeight="1" thickBot="1">
      <c r="A222" s="17">
        <v>6</v>
      </c>
      <c r="B222" s="67"/>
      <c r="C222" s="107" t="s">
        <v>267</v>
      </c>
      <c r="D222" s="107" t="s">
        <v>513</v>
      </c>
      <c r="E222" s="107" t="s">
        <v>268</v>
      </c>
      <c r="F222" s="107" t="s">
        <v>71</v>
      </c>
      <c r="G222" s="107" t="s">
        <v>269</v>
      </c>
      <c r="H222" s="107" t="s">
        <v>270</v>
      </c>
      <c r="I222" s="107"/>
      <c r="J222" s="335"/>
      <c r="K222" s="68"/>
      <c r="L222" s="68"/>
      <c r="M222" s="69"/>
      <c r="O222" s="30"/>
      <c r="P222" s="592" t="s">
        <v>69</v>
      </c>
      <c r="U222" s="592"/>
      <c r="W222" s="4"/>
      <c r="Y222" s="32"/>
    </row>
    <row r="223" spans="1:29" ht="14.1" customHeight="1" thickBot="1">
      <c r="A223" s="17">
        <v>7</v>
      </c>
      <c r="B223" s="67"/>
      <c r="C223" s="393">
        <f t="shared" ref="C223:H226" si="30">IF(P224="","",P224)</f>
        <v>2</v>
      </c>
      <c r="D223" s="399" t="str">
        <f t="shared" si="30"/>
        <v/>
      </c>
      <c r="E223" s="399" t="str">
        <f t="shared" si="30"/>
        <v/>
      </c>
      <c r="F223" s="399" t="str">
        <f t="shared" si="30"/>
        <v/>
      </c>
      <c r="G223" s="399" t="str">
        <f t="shared" si="30"/>
        <v/>
      </c>
      <c r="H223" s="400" t="str">
        <f t="shared" si="30"/>
        <v/>
      </c>
      <c r="I223" s="336"/>
      <c r="J223" s="162" t="s">
        <v>271</v>
      </c>
      <c r="K223" s="303" t="str">
        <f>IF(X224="","",X224)</f>
        <v/>
      </c>
      <c r="L223" s="68"/>
      <c r="M223" s="69"/>
      <c r="O223" s="30"/>
      <c r="P223" s="592" t="s">
        <v>267</v>
      </c>
      <c r="Q223" s="592" t="s">
        <v>513</v>
      </c>
      <c r="R223" s="592" t="s">
        <v>268</v>
      </c>
      <c r="S223" s="592" t="s">
        <v>71</v>
      </c>
      <c r="T223" s="592" t="s">
        <v>269</v>
      </c>
      <c r="U223" s="592" t="s">
        <v>270</v>
      </c>
      <c r="V223" s="4"/>
      <c r="W223" s="4"/>
      <c r="Y223" s="32"/>
    </row>
    <row r="224" spans="1:29" ht="14.1" customHeight="1" thickBot="1">
      <c r="A224" s="17">
        <v>8</v>
      </c>
      <c r="B224" s="67"/>
      <c r="C224" s="395">
        <f t="shared" si="30"/>
        <v>4</v>
      </c>
      <c r="D224" s="11" t="str">
        <f t="shared" si="30"/>
        <v/>
      </c>
      <c r="E224" s="11" t="str">
        <f t="shared" si="30"/>
        <v/>
      </c>
      <c r="F224" s="11" t="str">
        <f t="shared" si="30"/>
        <v/>
      </c>
      <c r="G224" s="11" t="str">
        <f t="shared" si="30"/>
        <v/>
      </c>
      <c r="H224" s="401" t="str">
        <f t="shared" si="30"/>
        <v/>
      </c>
      <c r="I224" s="336"/>
      <c r="J224" s="162" t="s">
        <v>272</v>
      </c>
      <c r="K224" s="303" t="str">
        <f>IF(X225="","",X225)</f>
        <v/>
      </c>
      <c r="L224" s="68"/>
      <c r="M224" s="69"/>
      <c r="O224" s="30"/>
      <c r="P224" s="194">
        <v>2</v>
      </c>
      <c r="Q224" s="195"/>
      <c r="R224" s="196"/>
      <c r="S224" s="196"/>
      <c r="T224" s="196"/>
      <c r="U224" s="183" t="str">
        <f>IF(OR(T224="",$X$224=""),"",(T224-$X$224)/$X$224)</f>
        <v/>
      </c>
      <c r="V224" s="4"/>
      <c r="W224" s="35" t="s">
        <v>271</v>
      </c>
      <c r="X224" s="197" t="str">
        <f>IF(T224="","",AVERAGE(T224:T226))</f>
        <v/>
      </c>
      <c r="Y224" s="32"/>
    </row>
    <row r="225" spans="1:27" ht="14.1" customHeight="1" thickBot="1">
      <c r="A225" s="17">
        <v>9</v>
      </c>
      <c r="B225" s="67"/>
      <c r="C225" s="397">
        <f t="shared" si="30"/>
        <v>6</v>
      </c>
      <c r="D225" s="402" t="str">
        <f t="shared" si="30"/>
        <v/>
      </c>
      <c r="E225" s="858" t="str">
        <f t="shared" si="30"/>
        <v/>
      </c>
      <c r="F225" s="858" t="str">
        <f t="shared" si="30"/>
        <v/>
      </c>
      <c r="G225" s="858" t="str">
        <f t="shared" si="30"/>
        <v/>
      </c>
      <c r="H225" s="859" t="str">
        <f t="shared" si="30"/>
        <v/>
      </c>
      <c r="I225" s="336"/>
      <c r="J225" s="162" t="s">
        <v>273</v>
      </c>
      <c r="K225" s="403" t="str">
        <f>IF(X226="","",X226)</f>
        <v/>
      </c>
      <c r="L225" s="68"/>
      <c r="M225" s="69"/>
      <c r="O225" s="30"/>
      <c r="P225" s="198">
        <v>4</v>
      </c>
      <c r="Q225" s="199"/>
      <c r="R225" s="145"/>
      <c r="S225" s="145"/>
      <c r="T225" s="145"/>
      <c r="U225" s="182" t="str">
        <f>IF(OR(T225="",$X$224=""),"",(T225-$X$224)/$X$224)</f>
        <v/>
      </c>
      <c r="V225" s="4"/>
      <c r="W225" s="35" t="s">
        <v>272</v>
      </c>
      <c r="X225" s="197" t="str">
        <f>IF(T224="","",_xlfn.STDEV.S(T224:T226))</f>
        <v/>
      </c>
      <c r="Y225" s="32"/>
    </row>
    <row r="226" spans="1:27" ht="14.1" customHeight="1" thickBot="1">
      <c r="A226" s="17">
        <v>10</v>
      </c>
      <c r="B226" s="67"/>
      <c r="C226" s="3" t="s">
        <v>203</v>
      </c>
      <c r="D226" s="101" t="s">
        <v>276</v>
      </c>
      <c r="E226" s="373"/>
      <c r="F226" s="373"/>
      <c r="G226" s="373"/>
      <c r="H226" s="860"/>
      <c r="I226" s="336"/>
      <c r="J226" s="68" t="s">
        <v>217</v>
      </c>
      <c r="K226" s="381" t="str">
        <f>IF(X227="","",X227)</f>
        <v/>
      </c>
      <c r="L226" s="68"/>
      <c r="M226" s="69"/>
      <c r="O226" s="30"/>
      <c r="P226" s="201">
        <v>6</v>
      </c>
      <c r="Q226" s="202"/>
      <c r="R226" s="203"/>
      <c r="S226" s="203"/>
      <c r="T226" s="203"/>
      <c r="U226" s="185" t="str">
        <f>IF(OR(T226="",$X$224=""),"",(T226-$X$224)/$X$224)</f>
        <v/>
      </c>
      <c r="V226" s="4"/>
      <c r="W226" s="35" t="s">
        <v>273</v>
      </c>
      <c r="X226" s="200" t="str">
        <f>IF(OR(X224="",X225=""),"",X225/X224)</f>
        <v/>
      </c>
      <c r="Y226" s="32"/>
    </row>
    <row r="227" spans="1:27" ht="14.1" customHeight="1" thickBot="1">
      <c r="A227" s="17">
        <v>11</v>
      </c>
      <c r="B227" s="67"/>
      <c r="C227" s="107"/>
      <c r="D227" s="101" t="s">
        <v>277</v>
      </c>
      <c r="E227" s="107"/>
      <c r="F227" s="107"/>
      <c r="G227" s="107"/>
      <c r="H227" s="107"/>
      <c r="I227" s="336"/>
      <c r="J227" s="335"/>
      <c r="K227" s="68"/>
      <c r="L227" s="68"/>
      <c r="M227" s="69"/>
      <c r="O227" s="30"/>
      <c r="P227"/>
      <c r="Q227"/>
      <c r="R227"/>
      <c r="S227"/>
      <c r="T227"/>
      <c r="U227"/>
      <c r="V227" s="4"/>
      <c r="W227" s="68" t="s">
        <v>217</v>
      </c>
      <c r="X227" s="381"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203</v>
      </c>
      <c r="Q228" s="138" t="s">
        <v>276</v>
      </c>
      <c r="S228" s="4"/>
      <c r="T228" s="4"/>
      <c r="W228" s="4"/>
      <c r="Y228" s="32"/>
    </row>
    <row r="229" spans="1:27" ht="14.1" customHeight="1" thickBot="1">
      <c r="A229" s="17">
        <v>13</v>
      </c>
      <c r="B229" s="67"/>
      <c r="C229" s="381" t="str">
        <f>IF(O230="","TBD",IF(O230=1,"YES",IF(O230=3,"NA","")))</f>
        <v>TBD</v>
      </c>
      <c r="D229" s="68" t="s">
        <v>278</v>
      </c>
      <c r="E229" s="107"/>
      <c r="F229" s="107"/>
      <c r="G229" s="107"/>
      <c r="H229" s="107"/>
      <c r="I229" s="107"/>
      <c r="J229" s="336"/>
      <c r="K229" s="335"/>
      <c r="L229" s="68"/>
      <c r="M229" s="69"/>
      <c r="O229" s="30"/>
      <c r="P229" s="4"/>
      <c r="Q229" s="191" t="s">
        <v>277</v>
      </c>
      <c r="S229" s="4"/>
      <c r="T229" s="4"/>
      <c r="W229" s="4"/>
      <c r="Y229" s="32"/>
    </row>
    <row r="230" spans="1:27" ht="14.1" customHeight="1" thickBot="1">
      <c r="A230" s="17">
        <v>14</v>
      </c>
      <c r="B230" s="67"/>
      <c r="C230" s="381" t="str">
        <f>IF(O231="","TBD",IF(O231=1,"YES",IF(O231=3,"NA","")))</f>
        <v>TBD</v>
      </c>
      <c r="D230" s="68" t="s">
        <v>279</v>
      </c>
      <c r="E230" s="107"/>
      <c r="F230" s="107"/>
      <c r="G230" s="107"/>
      <c r="H230" s="107"/>
      <c r="I230" s="107"/>
      <c r="J230" s="336"/>
      <c r="K230" s="335"/>
      <c r="L230" s="68"/>
      <c r="M230" s="69"/>
      <c r="O230" s="96"/>
      <c r="P230" s="21" t="s">
        <v>278</v>
      </c>
      <c r="Q230" s="4"/>
      <c r="R230" s="4"/>
      <c r="S230" s="4"/>
      <c r="T230" s="4"/>
      <c r="U230" s="4"/>
      <c r="V230" s="4"/>
      <c r="W230" s="4"/>
      <c r="Y230" s="32"/>
    </row>
    <row r="231" spans="1:27" ht="14.1" customHeight="1" thickBot="1">
      <c r="A231" s="17">
        <v>15</v>
      </c>
      <c r="B231" s="376"/>
      <c r="C231" s="377"/>
      <c r="D231" s="377"/>
      <c r="E231" s="377"/>
      <c r="F231" s="377"/>
      <c r="G231" s="433"/>
      <c r="H231" s="434"/>
      <c r="I231" s="377"/>
      <c r="J231" s="377"/>
      <c r="K231" s="435"/>
      <c r="L231" s="377"/>
      <c r="M231" s="378"/>
      <c r="O231" s="96"/>
      <c r="P231" s="21" t="s">
        <v>279</v>
      </c>
      <c r="Q231" s="4"/>
      <c r="R231" s="4"/>
      <c r="S231" s="4"/>
      <c r="T231" s="4"/>
      <c r="U231" s="4"/>
      <c r="V231" s="4" t="str">
        <f>IF(OR(T231="",$X$224=""),"",(T231-$X$224)/$X$224)</f>
        <v/>
      </c>
      <c r="W231" s="4"/>
      <c r="Y231" s="32"/>
    </row>
    <row r="232" spans="1:27" ht="14.1" customHeight="1">
      <c r="A232" s="17">
        <v>16</v>
      </c>
      <c r="B232" s="67"/>
      <c r="C232" s="146" t="s">
        <v>280</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265</v>
      </c>
      <c r="D233" s="140" t="str">
        <f>IF(P234="","",P234)</f>
        <v/>
      </c>
      <c r="E233" s="68"/>
      <c r="F233" s="68" t="s">
        <v>94</v>
      </c>
      <c r="G233" s="140" t="str">
        <f>IF(S234="","",S234)</f>
        <v/>
      </c>
      <c r="H233" s="162" t="s">
        <v>172</v>
      </c>
      <c r="I233" s="140" t="str">
        <f>IF(U234="","",U234)</f>
        <v/>
      </c>
      <c r="J233" s="68"/>
      <c r="K233" s="68"/>
      <c r="L233" s="68"/>
      <c r="M233" s="69"/>
      <c r="O233" s="139" t="s">
        <v>280</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265</v>
      </c>
      <c r="P234" s="137"/>
      <c r="R234" s="21" t="s">
        <v>94</v>
      </c>
      <c r="S234" s="137"/>
      <c r="T234" s="162" t="s">
        <v>172</v>
      </c>
      <c r="U234" s="137"/>
      <c r="Y234" s="32"/>
      <c r="AA234" s="236"/>
    </row>
    <row r="235" spans="1:27" ht="14.1" customHeight="1" thickBot="1">
      <c r="A235" s="17">
        <v>19</v>
      </c>
      <c r="B235" s="67"/>
      <c r="C235" s="68"/>
      <c r="D235" s="591"/>
      <c r="E235" s="68"/>
      <c r="F235" s="162"/>
      <c r="G235" s="591"/>
      <c r="H235" s="107"/>
      <c r="I235" s="335"/>
      <c r="J235" s="68" t="s">
        <v>281</v>
      </c>
      <c r="K235" s="68"/>
      <c r="L235" s="68"/>
      <c r="M235" s="69"/>
      <c r="O235" s="30"/>
      <c r="Y235" s="32"/>
      <c r="AA235" s="236"/>
    </row>
    <row r="236" spans="1:27" ht="14.1" customHeight="1" thickBot="1">
      <c r="A236" s="17">
        <v>20</v>
      </c>
      <c r="B236" s="67"/>
      <c r="C236" s="68"/>
      <c r="D236" s="453" t="s">
        <v>71</v>
      </c>
      <c r="E236" s="431" t="s">
        <v>282</v>
      </c>
      <c r="F236" s="431" t="s">
        <v>283</v>
      </c>
      <c r="G236" s="431" t="s">
        <v>284</v>
      </c>
      <c r="H236" s="431" t="s">
        <v>285</v>
      </c>
      <c r="I236" s="431" t="s">
        <v>286</v>
      </c>
      <c r="J236" s="432" t="s">
        <v>26</v>
      </c>
      <c r="K236" s="390" t="s">
        <v>287</v>
      </c>
      <c r="L236" s="405" t="s">
        <v>288</v>
      </c>
      <c r="M236" s="69"/>
      <c r="O236" s="30"/>
      <c r="P236" s="591"/>
      <c r="R236" s="35"/>
      <c r="S236" s="591"/>
      <c r="T236" s="592"/>
      <c r="U236" s="4"/>
      <c r="V236" s="21" t="s">
        <v>281</v>
      </c>
      <c r="Y236" s="32"/>
      <c r="AA236" s="236"/>
    </row>
    <row r="237" spans="1:27" ht="14.1" customHeight="1" thickBot="1">
      <c r="A237" s="17">
        <v>21</v>
      </c>
      <c r="B237" s="67"/>
      <c r="C237" s="68"/>
      <c r="D237" s="428" t="str">
        <f t="shared" ref="D237:J244" si="31">IF(P238="","",P238)</f>
        <v/>
      </c>
      <c r="E237" s="429" t="str">
        <f t="shared" si="31"/>
        <v/>
      </c>
      <c r="F237" s="429" t="str">
        <f t="shared" si="31"/>
        <v/>
      </c>
      <c r="G237" s="429" t="str">
        <f t="shared" si="31"/>
        <v/>
      </c>
      <c r="H237" s="429" t="str">
        <f t="shared" si="31"/>
        <v/>
      </c>
      <c r="I237" s="429" t="str">
        <f t="shared" si="31"/>
        <v/>
      </c>
      <c r="J237" s="430" t="str">
        <f t="shared" si="31"/>
        <v/>
      </c>
      <c r="K237" s="419" t="str">
        <f t="shared" ref="K237:L243" si="32">IF(X238="","",X238)</f>
        <v/>
      </c>
      <c r="L237" s="424" t="str">
        <f t="shared" si="32"/>
        <v/>
      </c>
      <c r="M237" s="69"/>
      <c r="O237" s="30"/>
      <c r="P237" s="592" t="s">
        <v>71</v>
      </c>
      <c r="Q237" s="592" t="s">
        <v>282</v>
      </c>
      <c r="R237" s="592" t="s">
        <v>283</v>
      </c>
      <c r="S237" s="592" t="s">
        <v>284</v>
      </c>
      <c r="T237" s="592" t="s">
        <v>285</v>
      </c>
      <c r="U237" s="592" t="s">
        <v>286</v>
      </c>
      <c r="V237" s="21" t="s">
        <v>26</v>
      </c>
      <c r="X237" s="592" t="s">
        <v>287</v>
      </c>
      <c r="Y237" s="209" t="s">
        <v>288</v>
      </c>
      <c r="AA237" s="236"/>
    </row>
    <row r="238" spans="1:27" ht="14.1" customHeight="1">
      <c r="A238" s="17">
        <v>22</v>
      </c>
      <c r="B238" s="67"/>
      <c r="C238" s="68"/>
      <c r="D238" s="406" t="str">
        <f t="shared" si="31"/>
        <v/>
      </c>
      <c r="E238" s="404" t="str">
        <f t="shared" si="31"/>
        <v/>
      </c>
      <c r="F238" s="404" t="str">
        <f t="shared" si="31"/>
        <v/>
      </c>
      <c r="G238" s="404" t="str">
        <f t="shared" si="31"/>
        <v/>
      </c>
      <c r="H238" s="404" t="str">
        <f t="shared" si="31"/>
        <v/>
      </c>
      <c r="I238" s="404" t="str">
        <f t="shared" si="31"/>
        <v/>
      </c>
      <c r="J238" s="407" t="str">
        <f t="shared" si="31"/>
        <v/>
      </c>
      <c r="K238" s="419" t="str">
        <f t="shared" si="32"/>
        <v/>
      </c>
      <c r="L238" s="424" t="str">
        <f t="shared" si="32"/>
        <v/>
      </c>
      <c r="M238" s="69"/>
      <c r="O238" s="30"/>
      <c r="P238" s="163"/>
      <c r="Q238" s="164"/>
      <c r="R238" s="164"/>
      <c r="S238" s="164"/>
      <c r="T238" s="210" t="str">
        <f>IF(OR(R238="",S238=""),"",(R238-50)/S238)</f>
        <v/>
      </c>
      <c r="U238" s="211" t="str">
        <f>IF(OR(Q238="",R238="",S238=""),"",(R238-Q238)/S238)</f>
        <v/>
      </c>
      <c r="V238" s="743" t="str">
        <f>IF($V$372="","",$V$372*P238)</f>
        <v/>
      </c>
      <c r="X238" s="212" t="str">
        <f>IF(OR(Q238="",$Q$243=""),"",ABS(Q238-$Q$243)/$Q$243)</f>
        <v/>
      </c>
      <c r="Y238" s="213" t="str">
        <f>IF(OR(T238="",$T$243=""),"",ABS(T238-$T$243)/$T$243)</f>
        <v/>
      </c>
      <c r="AA238" s="236"/>
    </row>
    <row r="239" spans="1:27" ht="14.1" customHeight="1">
      <c r="A239" s="17">
        <v>23</v>
      </c>
      <c r="B239" s="67"/>
      <c r="C239" s="68"/>
      <c r="D239" s="406" t="str">
        <f t="shared" si="31"/>
        <v/>
      </c>
      <c r="E239" s="404" t="str">
        <f t="shared" si="31"/>
        <v/>
      </c>
      <c r="F239" s="404" t="str">
        <f t="shared" si="31"/>
        <v/>
      </c>
      <c r="G239" s="404" t="str">
        <f t="shared" si="31"/>
        <v/>
      </c>
      <c r="H239" s="404" t="str">
        <f t="shared" si="31"/>
        <v/>
      </c>
      <c r="I239" s="404" t="str">
        <f t="shared" si="31"/>
        <v/>
      </c>
      <c r="J239" s="407" t="str">
        <f t="shared" si="31"/>
        <v/>
      </c>
      <c r="K239" s="419" t="str">
        <f t="shared" si="32"/>
        <v/>
      </c>
      <c r="L239" s="424" t="str">
        <f t="shared" si="32"/>
        <v/>
      </c>
      <c r="M239" s="69"/>
      <c r="O239" s="30"/>
      <c r="P239" s="166"/>
      <c r="Q239" s="167"/>
      <c r="R239" s="167"/>
      <c r="S239" s="167"/>
      <c r="T239" s="70" t="str">
        <f>IF(OR(R239="",S239=""),"",(R239-50)/S239)</f>
        <v/>
      </c>
      <c r="U239" s="71" t="str">
        <f>IF(OR(Q239="",R239="",S239=""),"",(R239-Q239)/S239)</f>
        <v/>
      </c>
      <c r="V239" s="744" t="str">
        <f>IF($V$372="","",$V$372*P239)</f>
        <v/>
      </c>
      <c r="X239" s="212" t="str">
        <f>IF(OR(Q239="",$Q$243=""),"",ABS(Q239-$Q$243)/$Q$243)</f>
        <v/>
      </c>
      <c r="Y239" s="213" t="str">
        <f>IF(OR(T239="",$T$243=""),"",ABS(T239-$T$243)/$T$243)</f>
        <v/>
      </c>
      <c r="AA239" s="236"/>
    </row>
    <row r="240" spans="1:27" ht="14.1" customHeight="1">
      <c r="A240" s="17">
        <v>24</v>
      </c>
      <c r="B240" s="67"/>
      <c r="C240" s="68"/>
      <c r="D240" s="406" t="str">
        <f t="shared" si="31"/>
        <v/>
      </c>
      <c r="E240" s="404" t="str">
        <f t="shared" si="31"/>
        <v/>
      </c>
      <c r="F240" s="404" t="str">
        <f t="shared" si="31"/>
        <v/>
      </c>
      <c r="G240" s="404" t="str">
        <f t="shared" si="31"/>
        <v/>
      </c>
      <c r="H240" s="404" t="str">
        <f t="shared" si="31"/>
        <v/>
      </c>
      <c r="I240" s="404" t="str">
        <f t="shared" si="31"/>
        <v/>
      </c>
      <c r="J240" s="407" t="str">
        <f t="shared" si="31"/>
        <v/>
      </c>
      <c r="K240" s="419" t="str">
        <f t="shared" si="32"/>
        <v/>
      </c>
      <c r="L240" s="424" t="str">
        <f t="shared" si="32"/>
        <v/>
      </c>
      <c r="M240" s="69"/>
      <c r="O240" s="30"/>
      <c r="P240" s="166"/>
      <c r="Q240" s="167"/>
      <c r="R240" s="167"/>
      <c r="S240" s="167"/>
      <c r="T240" s="70" t="str">
        <f>IF(OR(R240="",S240=""),"",(R240-50)/S240)</f>
        <v/>
      </c>
      <c r="U240" s="71" t="str">
        <f>IF(OR(Q240="",R240="",S240=""),"",(R240-Q240)/S240)</f>
        <v/>
      </c>
      <c r="V240" s="744" t="str">
        <f>IF($V$372="","",$V$372*P240)</f>
        <v/>
      </c>
      <c r="X240" s="212" t="str">
        <f>IF(OR(Q240="",$Q$243=""),"",ABS(Q240-$Q$243)/$Q$243)</f>
        <v/>
      </c>
      <c r="Y240" s="213" t="str">
        <f>IF(OR(T240="",$T$243=""),"",ABS(T240-$T$243)/$T$243)</f>
        <v/>
      </c>
      <c r="AA240" s="236"/>
    </row>
    <row r="241" spans="1:27" ht="14.1" customHeight="1" thickBot="1">
      <c r="A241" s="17">
        <v>25</v>
      </c>
      <c r="B241" s="67"/>
      <c r="C241" s="68"/>
      <c r="D241" s="408" t="str">
        <f t="shared" si="31"/>
        <v/>
      </c>
      <c r="E241" s="409" t="str">
        <f t="shared" si="31"/>
        <v/>
      </c>
      <c r="F241" s="409" t="str">
        <f t="shared" si="31"/>
        <v/>
      </c>
      <c r="G241" s="409" t="str">
        <f t="shared" si="31"/>
        <v/>
      </c>
      <c r="H241" s="409" t="str">
        <f t="shared" si="31"/>
        <v/>
      </c>
      <c r="I241" s="409" t="str">
        <f t="shared" si="31"/>
        <v/>
      </c>
      <c r="J241" s="410" t="str">
        <f t="shared" si="31"/>
        <v/>
      </c>
      <c r="K241" s="420" t="str">
        <f t="shared" si="32"/>
        <v/>
      </c>
      <c r="L241" s="436" t="str">
        <f t="shared" si="32"/>
        <v/>
      </c>
      <c r="M241" s="69"/>
      <c r="O241" s="30"/>
      <c r="P241" s="166"/>
      <c r="Q241" s="167"/>
      <c r="R241" s="167"/>
      <c r="S241" s="167"/>
      <c r="T241" s="70" t="str">
        <f>IF(OR(R241="",S241=""),"",(R241-50)/S241)</f>
        <v/>
      </c>
      <c r="U241" s="71" t="str">
        <f>IF(OR(Q241="",R241="",S241=""),"",(R241-Q241)/S241)</f>
        <v/>
      </c>
      <c r="V241" s="744" t="str">
        <f>IF($V$372="","",$V$372*P241)</f>
        <v/>
      </c>
      <c r="X241" s="212" t="str">
        <f>IF(OR(Q241="",$Q$243=""),"",ABS(Q241-$Q$243)/$Q$243)</f>
        <v/>
      </c>
      <c r="Y241" s="213" t="str">
        <f>IF(OR(T241="",$T$243=""),"",ABS(T241-$T$243)/$T$243)</f>
        <v/>
      </c>
    </row>
    <row r="242" spans="1:27" ht="14.1" customHeight="1" thickBot="1">
      <c r="A242" s="17">
        <v>26</v>
      </c>
      <c r="B242" s="67"/>
      <c r="C242" s="455" t="s">
        <v>271</v>
      </c>
      <c r="D242" s="411" t="str">
        <f t="shared" si="31"/>
        <v/>
      </c>
      <c r="E242" s="412" t="str">
        <f t="shared" si="31"/>
        <v/>
      </c>
      <c r="F242" s="412" t="str">
        <f t="shared" si="31"/>
        <v/>
      </c>
      <c r="G242" s="412" t="str">
        <f t="shared" si="31"/>
        <v/>
      </c>
      <c r="H242" s="412" t="str">
        <f t="shared" si="31"/>
        <v/>
      </c>
      <c r="I242" s="412" t="str">
        <f t="shared" si="31"/>
        <v/>
      </c>
      <c r="J242" s="413" t="str">
        <f t="shared" si="31"/>
        <v/>
      </c>
      <c r="K242" s="421" t="str">
        <f t="shared" si="32"/>
        <v/>
      </c>
      <c r="L242" s="421" t="str">
        <f t="shared" si="32"/>
        <v/>
      </c>
      <c r="M242" s="69"/>
      <c r="O242" s="30"/>
      <c r="P242" s="214"/>
      <c r="Q242" s="215"/>
      <c r="R242" s="215"/>
      <c r="S242" s="215"/>
      <c r="T242" s="216" t="str">
        <f>IF(OR(R242="",S242=""),"",(R242-50)/S242)</f>
        <v/>
      </c>
      <c r="U242" s="217" t="str">
        <f>IF(OR(Q242="",R242="",S242=""),"",(R242-Q242)/S242)</f>
        <v/>
      </c>
      <c r="V242" s="745" t="str">
        <f>IF($V$372="","",$V$372*P242)</f>
        <v/>
      </c>
      <c r="X242" s="212" t="str">
        <f>IF(OR(Q242="",$Q$243=""),"",ABS(Q242-$Q$243)/$Q$243)</f>
        <v/>
      </c>
      <c r="Y242" s="213" t="str">
        <f>IF(OR(T242="",$T$243=""),"",ABS(T242-$T$243)/$T$243)</f>
        <v/>
      </c>
    </row>
    <row r="243" spans="1:27" ht="14.1" customHeight="1" thickBot="1">
      <c r="A243" s="17">
        <v>27</v>
      </c>
      <c r="B243" s="67"/>
      <c r="C243" s="455" t="s">
        <v>272</v>
      </c>
      <c r="D243" s="406" t="str">
        <f t="shared" si="31"/>
        <v/>
      </c>
      <c r="E243" s="404" t="str">
        <f t="shared" si="31"/>
        <v/>
      </c>
      <c r="F243" s="404" t="str">
        <f t="shared" si="31"/>
        <v/>
      </c>
      <c r="G243" s="404" t="str">
        <f t="shared" si="31"/>
        <v/>
      </c>
      <c r="H243" s="404" t="str">
        <f t="shared" si="31"/>
        <v/>
      </c>
      <c r="I243" s="404" t="str">
        <f t="shared" si="31"/>
        <v/>
      </c>
      <c r="J243" s="407" t="str">
        <f t="shared" si="31"/>
        <v/>
      </c>
      <c r="K243" s="421" t="str">
        <f t="shared" si="32"/>
        <v/>
      </c>
      <c r="L243" s="421" t="str">
        <f t="shared" si="32"/>
        <v/>
      </c>
      <c r="M243" s="69"/>
      <c r="O243" s="161" t="s">
        <v>271</v>
      </c>
      <c r="P243" s="219" t="str">
        <f t="shared" ref="P243:V243" si="33">IF(P238="","",AVERAGE(P238:P242))</f>
        <v/>
      </c>
      <c r="Q243" s="210" t="str">
        <f t="shared" si="33"/>
        <v/>
      </c>
      <c r="R243" s="210" t="str">
        <f t="shared" si="33"/>
        <v/>
      </c>
      <c r="S243" s="210" t="str">
        <f t="shared" si="33"/>
        <v/>
      </c>
      <c r="T243" s="210" t="str">
        <f t="shared" si="33"/>
        <v/>
      </c>
      <c r="U243" s="211" t="str">
        <f t="shared" si="33"/>
        <v/>
      </c>
      <c r="V243" s="220" t="str">
        <f t="shared" si="33"/>
        <v/>
      </c>
      <c r="W243" s="35" t="s">
        <v>291</v>
      </c>
      <c r="X243" s="200" t="str">
        <f>IF(X238="","",MAX(X238:X242))</f>
        <v/>
      </c>
      <c r="Y243" s="200" t="str">
        <f>IF(Y238="","",MAX(Y238:Y242))</f>
        <v/>
      </c>
    </row>
    <row r="244" spans="1:27" ht="14.1" customHeight="1" thickBot="1">
      <c r="A244" s="17">
        <v>28</v>
      </c>
      <c r="B244" s="67"/>
      <c r="C244" s="161" t="s">
        <v>273</v>
      </c>
      <c r="D244" s="414" t="str">
        <f t="shared" si="31"/>
        <v/>
      </c>
      <c r="E244" s="415" t="str">
        <f t="shared" si="31"/>
        <v/>
      </c>
      <c r="F244" s="415" t="str">
        <f t="shared" si="31"/>
        <v/>
      </c>
      <c r="G244" s="415" t="str">
        <f t="shared" si="31"/>
        <v/>
      </c>
      <c r="H244" s="415" t="str">
        <f t="shared" si="31"/>
        <v/>
      </c>
      <c r="I244" s="415" t="str">
        <f t="shared" si="31"/>
        <v/>
      </c>
      <c r="J244" s="416" t="str">
        <f t="shared" si="31"/>
        <v/>
      </c>
      <c r="K244" s="68"/>
      <c r="L244" s="68"/>
      <c r="M244" s="69"/>
      <c r="O244" s="161" t="s">
        <v>272</v>
      </c>
      <c r="P244" s="222" t="str">
        <f>IF(P238="","",STDEV(P238:P242))</f>
        <v/>
      </c>
      <c r="Q244" s="70" t="str">
        <f t="shared" ref="Q244:V244" si="34">IF(Q238="","",STDEV(Q238:Q242))</f>
        <v/>
      </c>
      <c r="R244" s="70" t="str">
        <f t="shared" si="34"/>
        <v/>
      </c>
      <c r="S244" s="70" t="str">
        <f t="shared" si="34"/>
        <v/>
      </c>
      <c r="T244" s="70" t="str">
        <f t="shared" si="34"/>
        <v/>
      </c>
      <c r="U244" s="71" t="str">
        <f t="shared" si="34"/>
        <v/>
      </c>
      <c r="V244" s="223" t="str">
        <f t="shared" si="34"/>
        <v/>
      </c>
      <c r="X244" s="144" t="str">
        <f>IF(X243="","",IF(X243&lt;=0.15,"Pass","Fail"))</f>
        <v/>
      </c>
      <c r="Y244" s="144" t="str">
        <f>IF(Y243="","",IF(Y243&lt;=0.15,"Pass","Fail"))</f>
        <v/>
      </c>
    </row>
    <row r="245" spans="1:27" ht="14.1" customHeight="1" thickBot="1">
      <c r="A245" s="17">
        <v>29</v>
      </c>
      <c r="B245" s="67"/>
      <c r="C245" s="68"/>
      <c r="D245" s="417" t="str">
        <f>IF(P246="","",P246)</f>
        <v/>
      </c>
      <c r="E245" s="108"/>
      <c r="F245" s="108"/>
      <c r="G245" s="108"/>
      <c r="H245" s="108"/>
      <c r="I245" s="108"/>
      <c r="J245" s="417" t="str">
        <f>IF(V246="","",V246)</f>
        <v/>
      </c>
      <c r="K245" s="68"/>
      <c r="L245" s="68"/>
      <c r="M245" s="69"/>
      <c r="O245" s="161" t="s">
        <v>273</v>
      </c>
      <c r="P245" s="224" t="str">
        <f t="shared" ref="P245:V245" si="35">IF(OR(P243="",P244=""),"",P244/P243)</f>
        <v/>
      </c>
      <c r="Q245" s="225" t="str">
        <f t="shared" si="35"/>
        <v/>
      </c>
      <c r="R245" s="225" t="str">
        <f t="shared" si="35"/>
        <v/>
      </c>
      <c r="S245" s="225" t="str">
        <f t="shared" si="35"/>
        <v/>
      </c>
      <c r="T245" s="225" t="str">
        <f t="shared" si="35"/>
        <v/>
      </c>
      <c r="U245" s="225" t="str">
        <f t="shared" si="35"/>
        <v/>
      </c>
      <c r="V245" s="226" t="str">
        <f t="shared" si="35"/>
        <v/>
      </c>
      <c r="X245" s="592"/>
      <c r="Y245" s="209"/>
      <c r="Z245" s="592"/>
      <c r="AA245" s="4"/>
    </row>
    <row r="246" spans="1:27" ht="14.1" customHeight="1" thickBot="1">
      <c r="A246" s="17">
        <v>30</v>
      </c>
      <c r="B246" s="67"/>
      <c r="C246" s="3" t="s">
        <v>203</v>
      </c>
      <c r="D246" s="101" t="s">
        <v>292</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2"/>
      <c r="AA246" s="4"/>
    </row>
    <row r="247" spans="1:27" ht="14.1" customHeight="1">
      <c r="A247" s="17">
        <v>31</v>
      </c>
      <c r="B247" s="67"/>
      <c r="C247" s="68"/>
      <c r="D247" s="101" t="s">
        <v>293</v>
      </c>
      <c r="E247" s="68"/>
      <c r="F247" s="68"/>
      <c r="G247" s="68"/>
      <c r="H247" s="68"/>
      <c r="I247" s="68"/>
      <c r="J247" s="68"/>
      <c r="K247" s="68"/>
      <c r="L247" s="68"/>
      <c r="M247" s="69"/>
      <c r="O247" s="30"/>
      <c r="P247" s="3" t="s">
        <v>203</v>
      </c>
      <c r="Q247" s="101" t="s">
        <v>292</v>
      </c>
      <c r="R247" s="68"/>
      <c r="S247" s="68"/>
      <c r="T247" s="68"/>
      <c r="U247" s="68"/>
      <c r="V247" s="68"/>
      <c r="W247" s="68"/>
      <c r="X247" s="68"/>
      <c r="Y247" s="32"/>
      <c r="Z247" s="592"/>
      <c r="AA247" s="27"/>
    </row>
    <row r="248" spans="1:27" ht="14.1" customHeight="1" thickBot="1">
      <c r="A248" s="17">
        <v>32</v>
      </c>
      <c r="B248" s="159"/>
      <c r="C248" s="41"/>
      <c r="D248" s="41"/>
      <c r="E248" s="41"/>
      <c r="F248" s="41"/>
      <c r="G248" s="41"/>
      <c r="H248" s="41"/>
      <c r="I248" s="41"/>
      <c r="J248" s="41"/>
      <c r="K248" s="41"/>
      <c r="L248" s="41"/>
      <c r="M248" s="160"/>
      <c r="O248" s="30"/>
      <c r="P248" s="68"/>
      <c r="Q248" s="101" t="s">
        <v>293</v>
      </c>
      <c r="R248" s="68"/>
      <c r="S248" s="68"/>
      <c r="T248" s="68"/>
      <c r="U248" s="68"/>
      <c r="V248" s="68"/>
      <c r="W248" s="68"/>
      <c r="X248" s="68"/>
      <c r="Y248" s="32"/>
    </row>
    <row r="249" spans="1:27" ht="14.1" customHeight="1" thickBot="1">
      <c r="A249" s="17">
        <v>33</v>
      </c>
      <c r="B249" s="67"/>
      <c r="C249" s="146" t="s">
        <v>294</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5" t="s">
        <v>70</v>
      </c>
      <c r="D250" s="422" t="s">
        <v>236</v>
      </c>
      <c r="E250" s="422" t="s">
        <v>261</v>
      </c>
      <c r="F250" s="423" t="s">
        <v>237</v>
      </c>
      <c r="G250" s="68"/>
      <c r="H250" s="820" t="s">
        <v>295</v>
      </c>
      <c r="I250" s="821"/>
      <c r="J250" s="822"/>
      <c r="K250" s="68"/>
      <c r="L250" s="68"/>
      <c r="M250" s="69"/>
      <c r="O250" s="136" t="s">
        <v>294</v>
      </c>
      <c r="P250" s="229"/>
      <c r="Q250" s="229"/>
      <c r="R250" s="229"/>
      <c r="S250" s="229"/>
      <c r="T250" s="229"/>
      <c r="U250" s="229"/>
      <c r="V250" s="229"/>
      <c r="W250" s="229"/>
      <c r="X250" s="229"/>
      <c r="Y250" s="230"/>
    </row>
    <row r="251" spans="1:27" ht="14.1" customHeight="1">
      <c r="A251" s="17">
        <v>35</v>
      </c>
      <c r="B251" s="67"/>
      <c r="C251" s="426" t="s">
        <v>268</v>
      </c>
      <c r="D251" s="296">
        <v>28</v>
      </c>
      <c r="E251" s="296">
        <v>28</v>
      </c>
      <c r="F251" s="342">
        <v>28</v>
      </c>
      <c r="G251" s="68"/>
      <c r="H251" s="341" t="s">
        <v>236</v>
      </c>
      <c r="I251" s="296" t="s">
        <v>261</v>
      </c>
      <c r="J251" s="342" t="s">
        <v>237</v>
      </c>
      <c r="K251" s="68"/>
      <c r="L251" s="68"/>
      <c r="M251" s="69"/>
      <c r="O251" s="186"/>
      <c r="P251" s="232" t="s">
        <v>70</v>
      </c>
      <c r="Q251" s="233" t="s">
        <v>236</v>
      </c>
      <c r="R251" s="233" t="s">
        <v>261</v>
      </c>
      <c r="S251" s="233" t="s">
        <v>237</v>
      </c>
      <c r="T251" s="4"/>
      <c r="U251" s="816" t="s">
        <v>295</v>
      </c>
      <c r="V251" s="816"/>
      <c r="W251" s="816"/>
      <c r="X251" s="4"/>
      <c r="Y251" s="234"/>
    </row>
    <row r="252" spans="1:27" ht="14.1" customHeight="1">
      <c r="A252" s="17">
        <v>36</v>
      </c>
      <c r="B252" s="67"/>
      <c r="C252" s="426" t="s">
        <v>71</v>
      </c>
      <c r="D252" s="296" t="str">
        <f t="shared" ref="D252:D260" si="36">IF(Q253="","",Q253)</f>
        <v/>
      </c>
      <c r="E252" s="296" t="str">
        <f t="shared" ref="E252:E260" si="37">IF(R253="","",R253)</f>
        <v/>
      </c>
      <c r="F252" s="342" t="str">
        <f t="shared" ref="F252:F260" si="38">IF(S253="","",S253)</f>
        <v/>
      </c>
      <c r="G252" s="68"/>
      <c r="H252" s="419" t="str">
        <f t="shared" ref="H252:J256" si="39">IF(U253="","",U253)</f>
        <v/>
      </c>
      <c r="I252" s="15" t="str">
        <f t="shared" si="39"/>
        <v/>
      </c>
      <c r="J252" s="424" t="str">
        <f t="shared" si="39"/>
        <v/>
      </c>
      <c r="K252" s="68"/>
      <c r="L252" s="68"/>
      <c r="M252" s="69"/>
      <c r="O252" s="186"/>
      <c r="P252" s="235" t="s">
        <v>268</v>
      </c>
      <c r="Q252" s="11">
        <v>28</v>
      </c>
      <c r="R252" s="11">
        <v>28</v>
      </c>
      <c r="S252" s="11">
        <v>28</v>
      </c>
      <c r="T252" s="4"/>
      <c r="U252" s="233" t="s">
        <v>236</v>
      </c>
      <c r="V252" s="233" t="s">
        <v>261</v>
      </c>
      <c r="W252" s="233" t="s">
        <v>237</v>
      </c>
      <c r="X252" s="4"/>
      <c r="Y252" s="234"/>
    </row>
    <row r="253" spans="1:27" ht="14.1" customHeight="1">
      <c r="A253" s="17">
        <v>37</v>
      </c>
      <c r="B253" s="67"/>
      <c r="C253" s="426" t="s">
        <v>296</v>
      </c>
      <c r="D253" s="404" t="str">
        <f t="shared" si="36"/>
        <v/>
      </c>
      <c r="E253" s="296" t="str">
        <f t="shared" si="37"/>
        <v/>
      </c>
      <c r="F253" s="342" t="str">
        <f t="shared" si="38"/>
        <v/>
      </c>
      <c r="G253" s="68"/>
      <c r="H253" s="419" t="str">
        <f t="shared" si="39"/>
        <v/>
      </c>
      <c r="I253" s="15" t="str">
        <f t="shared" si="39"/>
        <v/>
      </c>
      <c r="J253" s="424" t="str">
        <f t="shared" si="39"/>
        <v/>
      </c>
      <c r="K253" s="68"/>
      <c r="L253" s="68"/>
      <c r="M253" s="69"/>
      <c r="O253" s="186"/>
      <c r="P253" s="235" t="s">
        <v>71</v>
      </c>
      <c r="Q253" s="580" t="str">
        <f>IF(Q163="","",Q163)</f>
        <v/>
      </c>
      <c r="R253" s="580" t="str">
        <f t="shared" ref="R253:S253" si="40">IF(R163="","",R163)</f>
        <v/>
      </c>
      <c r="S253" s="580" t="str">
        <f t="shared" si="40"/>
        <v/>
      </c>
      <c r="T253" s="4"/>
      <c r="U253" s="181" t="str">
        <f t="shared" ref="U253:W257" si="41">IF(Q254="","",(Q254-Q$259)/Q$259)</f>
        <v/>
      </c>
      <c r="V253" s="181" t="str">
        <f t="shared" si="41"/>
        <v/>
      </c>
      <c r="W253" s="181" t="str">
        <f t="shared" si="41"/>
        <v/>
      </c>
      <c r="X253" s="4"/>
      <c r="Y253" s="234"/>
    </row>
    <row r="254" spans="1:27" ht="14.1" customHeight="1">
      <c r="A254" s="17">
        <v>38</v>
      </c>
      <c r="B254" s="67"/>
      <c r="C254" s="426" t="s">
        <v>298</v>
      </c>
      <c r="D254" s="404" t="str">
        <f t="shared" si="36"/>
        <v/>
      </c>
      <c r="E254" s="296" t="str">
        <f t="shared" si="37"/>
        <v/>
      </c>
      <c r="F254" s="342" t="str">
        <f t="shared" si="38"/>
        <v/>
      </c>
      <c r="G254" s="68"/>
      <c r="H254" s="419" t="str">
        <f t="shared" si="39"/>
        <v/>
      </c>
      <c r="I254" s="15" t="str">
        <f t="shared" si="39"/>
        <v/>
      </c>
      <c r="J254" s="424" t="str">
        <f t="shared" si="39"/>
        <v/>
      </c>
      <c r="K254" s="68"/>
      <c r="L254" s="68"/>
      <c r="M254" s="69"/>
      <c r="O254" s="186"/>
      <c r="P254" s="232" t="s">
        <v>296</v>
      </c>
      <c r="Q254" s="848"/>
      <c r="R254" s="848"/>
      <c r="S254" s="848"/>
      <c r="T254" s="4"/>
      <c r="U254" s="181" t="str">
        <f t="shared" si="41"/>
        <v/>
      </c>
      <c r="V254" s="181" t="str">
        <f t="shared" si="41"/>
        <v/>
      </c>
      <c r="W254" s="181" t="str">
        <f t="shared" si="41"/>
        <v/>
      </c>
      <c r="X254" s="4"/>
      <c r="Y254" s="234"/>
    </row>
    <row r="255" spans="1:27" ht="14.1" customHeight="1">
      <c r="A255" s="17">
        <v>39</v>
      </c>
      <c r="B255" s="67"/>
      <c r="C255" s="426" t="s">
        <v>299</v>
      </c>
      <c r="D255" s="404" t="str">
        <f t="shared" si="36"/>
        <v/>
      </c>
      <c r="E255" s="296" t="str">
        <f t="shared" si="37"/>
        <v/>
      </c>
      <c r="F255" s="342" t="str">
        <f t="shared" si="38"/>
        <v/>
      </c>
      <c r="G255" s="68"/>
      <c r="H255" s="419" t="str">
        <f t="shared" si="39"/>
        <v/>
      </c>
      <c r="I255" s="15" t="str">
        <f t="shared" si="39"/>
        <v/>
      </c>
      <c r="J255" s="424" t="str">
        <f t="shared" si="39"/>
        <v/>
      </c>
      <c r="K255" s="68"/>
      <c r="L255" s="68"/>
      <c r="M255" s="69"/>
      <c r="O255" s="186"/>
      <c r="P255" s="235" t="s">
        <v>298</v>
      </c>
      <c r="Q255" s="849"/>
      <c r="R255" s="849"/>
      <c r="S255" s="849"/>
      <c r="T255" s="4"/>
      <c r="U255" s="181" t="str">
        <f t="shared" si="41"/>
        <v/>
      </c>
      <c r="V255" s="181" t="str">
        <f t="shared" si="41"/>
        <v/>
      </c>
      <c r="W255" s="181" t="str">
        <f t="shared" si="41"/>
        <v/>
      </c>
      <c r="X255" s="4"/>
      <c r="Y255" s="234"/>
    </row>
    <row r="256" spans="1:27" ht="14.1" customHeight="1" thickBot="1">
      <c r="A256" s="17">
        <v>40</v>
      </c>
      <c r="B256" s="67"/>
      <c r="C256" s="426" t="s">
        <v>301</v>
      </c>
      <c r="D256" s="404" t="str">
        <f t="shared" si="36"/>
        <v/>
      </c>
      <c r="E256" s="296" t="str">
        <f t="shared" si="37"/>
        <v/>
      </c>
      <c r="F256" s="342" t="str">
        <f t="shared" si="38"/>
        <v/>
      </c>
      <c r="G256" s="68"/>
      <c r="H256" s="414" t="str">
        <f t="shared" si="39"/>
        <v/>
      </c>
      <c r="I256" s="415" t="str">
        <f t="shared" si="39"/>
        <v/>
      </c>
      <c r="J256" s="416" t="str">
        <f t="shared" si="39"/>
        <v/>
      </c>
      <c r="K256" s="68"/>
      <c r="L256" s="68"/>
      <c r="M256" s="69"/>
      <c r="O256" s="186"/>
      <c r="P256" s="235" t="s">
        <v>299</v>
      </c>
      <c r="Q256" s="849"/>
      <c r="R256" s="849"/>
      <c r="S256" s="849"/>
      <c r="T256" s="4"/>
      <c r="U256" s="181" t="str">
        <f t="shared" si="41"/>
        <v/>
      </c>
      <c r="V256" s="181" t="str">
        <f t="shared" si="41"/>
        <v/>
      </c>
      <c r="W256" s="181" t="str">
        <f t="shared" si="41"/>
        <v/>
      </c>
      <c r="X256" s="4"/>
      <c r="Y256" s="234"/>
    </row>
    <row r="257" spans="1:34" ht="14.1" customHeight="1">
      <c r="A257" s="17">
        <v>41</v>
      </c>
      <c r="B257" s="67"/>
      <c r="C257" s="426" t="s">
        <v>305</v>
      </c>
      <c r="D257" s="404" t="str">
        <f t="shared" si="36"/>
        <v/>
      </c>
      <c r="E257" s="296" t="str">
        <f t="shared" si="37"/>
        <v/>
      </c>
      <c r="F257" s="342" t="str">
        <f t="shared" si="38"/>
        <v/>
      </c>
      <c r="G257" s="68"/>
      <c r="H257" s="68"/>
      <c r="I257" s="68"/>
      <c r="J257" s="68"/>
      <c r="K257" s="68"/>
      <c r="L257" s="68"/>
      <c r="M257" s="69"/>
      <c r="O257" s="186"/>
      <c r="P257" s="235" t="s">
        <v>301</v>
      </c>
      <c r="Q257" s="849"/>
      <c r="R257" s="849"/>
      <c r="S257" s="849"/>
      <c r="T257" s="4"/>
      <c r="U257" s="181" t="str">
        <f t="shared" si="41"/>
        <v/>
      </c>
      <c r="V257" s="181" t="str">
        <f t="shared" si="41"/>
        <v/>
      </c>
      <c r="W257" s="181" t="str">
        <f t="shared" si="41"/>
        <v/>
      </c>
      <c r="X257" s="4"/>
      <c r="Y257" s="234"/>
    </row>
    <row r="258" spans="1:34" ht="14.1" customHeight="1">
      <c r="A258" s="17">
        <v>42</v>
      </c>
      <c r="B258" s="67"/>
      <c r="C258" s="426" t="s">
        <v>307</v>
      </c>
      <c r="D258" s="404" t="str">
        <f t="shared" si="36"/>
        <v/>
      </c>
      <c r="E258" s="296" t="str">
        <f t="shared" si="37"/>
        <v/>
      </c>
      <c r="F258" s="342" t="str">
        <f t="shared" si="38"/>
        <v/>
      </c>
      <c r="G258" s="68"/>
      <c r="H258" s="68"/>
      <c r="I258" s="68"/>
      <c r="J258" s="68"/>
      <c r="K258" s="68"/>
      <c r="L258" s="68"/>
      <c r="M258" s="69"/>
      <c r="O258" s="186"/>
      <c r="P258" s="235" t="s">
        <v>305</v>
      </c>
      <c r="Q258" s="849"/>
      <c r="R258" s="849"/>
      <c r="S258" s="849"/>
      <c r="T258" s="4"/>
      <c r="U258" s="4"/>
      <c r="V258" s="4"/>
      <c r="W258" s="4"/>
      <c r="X258" s="4"/>
      <c r="Y258" s="234"/>
    </row>
    <row r="259" spans="1:34" ht="14.1" customHeight="1" thickBot="1">
      <c r="A259" s="17">
        <v>43</v>
      </c>
      <c r="B259" s="67"/>
      <c r="C259" s="427" t="s">
        <v>309</v>
      </c>
      <c r="D259" s="415" t="str">
        <f t="shared" si="36"/>
        <v/>
      </c>
      <c r="E259" s="415" t="str">
        <f t="shared" si="37"/>
        <v/>
      </c>
      <c r="F259" s="416" t="str">
        <f t="shared" si="38"/>
        <v/>
      </c>
      <c r="G259" s="68"/>
      <c r="H259" s="68"/>
      <c r="I259" s="68"/>
      <c r="J259" s="68"/>
      <c r="K259" s="68"/>
      <c r="L259" s="68"/>
      <c r="M259" s="69"/>
      <c r="O259" s="186"/>
      <c r="P259" s="235" t="s">
        <v>307</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81" t="str">
        <f t="shared" si="36"/>
        <v/>
      </c>
      <c r="E260" s="381" t="str">
        <f t="shared" si="37"/>
        <v/>
      </c>
      <c r="F260" s="381" t="str">
        <f t="shared" si="38"/>
        <v/>
      </c>
      <c r="G260" s="68"/>
      <c r="H260" s="68"/>
      <c r="I260" s="68"/>
      <c r="J260" s="68"/>
      <c r="K260" s="68"/>
      <c r="L260" s="68"/>
      <c r="M260" s="69"/>
      <c r="O260" s="186"/>
      <c r="P260" s="235" t="s">
        <v>309</v>
      </c>
      <c r="Q260" s="243" t="str">
        <f>IF(U253="","",MAX(U253:U257))</f>
        <v/>
      </c>
      <c r="R260" s="243" t="str">
        <f t="shared" ref="R260:S260" si="42">IF(V253="","",MAX(V253:V257))</f>
        <v/>
      </c>
      <c r="S260" s="243" t="str">
        <f t="shared" si="42"/>
        <v/>
      </c>
      <c r="T260" s="4"/>
      <c r="U260" s="4"/>
      <c r="V260" s="4"/>
      <c r="W260" s="4"/>
      <c r="X260" s="4"/>
      <c r="Y260" s="234"/>
      <c r="AA260" s="4"/>
      <c r="AD260" s="592"/>
      <c r="AE260" s="592"/>
      <c r="AF260" s="592"/>
      <c r="AG260" s="592"/>
      <c r="AH260" s="592"/>
    </row>
    <row r="261" spans="1:34" ht="14.1" customHeight="1">
      <c r="A261" s="17">
        <v>45</v>
      </c>
      <c r="B261" s="67"/>
      <c r="C261" s="3" t="s">
        <v>203</v>
      </c>
      <c r="D261" s="101" t="s">
        <v>312</v>
      </c>
      <c r="E261" s="68"/>
      <c r="F261" s="68"/>
      <c r="G261" s="68"/>
      <c r="H261" s="68"/>
      <c r="I261" s="68"/>
      <c r="J261" s="68"/>
      <c r="K261" s="68"/>
      <c r="L261" s="68"/>
      <c r="M261" s="69"/>
      <c r="O261" s="186"/>
      <c r="Q261" s="2" t="str">
        <f>IF(Q260="","",IF(Q260&lt;=0.07,"Pass","Fail"))</f>
        <v/>
      </c>
      <c r="R261" s="2" t="str">
        <f t="shared" ref="R261:S261" si="43">IF(R260="","",IF(R260&lt;=0.07,"Pass","Fail"))</f>
        <v/>
      </c>
      <c r="S261" s="2" t="str">
        <f t="shared" si="43"/>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203</v>
      </c>
      <c r="Q262" s="138" t="s">
        <v>312</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297</v>
      </c>
      <c r="D264" s="140" t="str">
        <f>IF(Q265="","",Q265)</f>
        <v/>
      </c>
      <c r="E264" s="68"/>
      <c r="F264" s="162" t="s">
        <v>172</v>
      </c>
      <c r="G264" s="140" t="str">
        <f>IF(T265="","",T265)</f>
        <v/>
      </c>
      <c r="H264" s="68"/>
      <c r="I264" s="68"/>
      <c r="J264" s="68"/>
      <c r="K264" s="68"/>
      <c r="L264" s="68"/>
      <c r="M264" s="69"/>
      <c r="O264" s="136" t="s">
        <v>583</v>
      </c>
      <c r="P264" s="23"/>
      <c r="Q264" s="23"/>
      <c r="R264" s="23"/>
      <c r="S264" s="23"/>
      <c r="T264" s="23"/>
      <c r="U264" s="23"/>
      <c r="V264" s="23"/>
      <c r="W264" s="23"/>
      <c r="X264" s="23"/>
      <c r="Y264" s="24"/>
      <c r="AA264" s="4"/>
    </row>
    <row r="265" spans="1:34" ht="14.1" customHeight="1">
      <c r="A265" s="17">
        <v>49</v>
      </c>
      <c r="B265" s="67"/>
      <c r="C265" s="162" t="s">
        <v>94</v>
      </c>
      <c r="D265" s="140" t="str">
        <f>IF(Q266="","",Q266)</f>
        <v/>
      </c>
      <c r="E265" s="68"/>
      <c r="F265" s="162" t="s">
        <v>175</v>
      </c>
      <c r="G265" s="140" t="str">
        <f>IF(T266="","",T266)</f>
        <v/>
      </c>
      <c r="H265" s="68"/>
      <c r="I265" s="68"/>
      <c r="J265" s="68"/>
      <c r="K265" s="68"/>
      <c r="L265" s="68"/>
      <c r="M265" s="69"/>
      <c r="O265" s="30"/>
      <c r="P265" s="162" t="s">
        <v>297</v>
      </c>
      <c r="Q265" s="1"/>
      <c r="R265" s="68"/>
      <c r="S265" s="162" t="s">
        <v>172</v>
      </c>
      <c r="T265" s="137"/>
      <c r="U265" s="68"/>
      <c r="V265" s="335"/>
      <c r="W265" s="335"/>
      <c r="X265" s="68"/>
      <c r="Y265" s="32"/>
      <c r="AA265" s="4"/>
    </row>
    <row r="266" spans="1:34" ht="14.1" customHeight="1">
      <c r="A266" s="17">
        <v>50</v>
      </c>
      <c r="B266" s="67"/>
      <c r="C266" s="68"/>
      <c r="D266" s="68"/>
      <c r="E266" s="68"/>
      <c r="F266" s="107" t="s">
        <v>274</v>
      </c>
      <c r="G266" s="68"/>
      <c r="H266" s="68" t="s">
        <v>300</v>
      </c>
      <c r="I266" s="68"/>
      <c r="J266" s="68"/>
      <c r="K266" s="68"/>
      <c r="L266" s="68"/>
      <c r="M266" s="69"/>
      <c r="O266" s="30"/>
      <c r="P266" s="162" t="s">
        <v>94</v>
      </c>
      <c r="Q266" s="137"/>
      <c r="R266" s="68"/>
      <c r="S266" s="162" t="s">
        <v>175</v>
      </c>
      <c r="T266" s="137"/>
      <c r="U266" s="68"/>
      <c r="V266" s="68"/>
      <c r="W266" s="68"/>
      <c r="X266" s="68"/>
      <c r="Y266" s="32"/>
      <c r="AA266" s="4"/>
    </row>
    <row r="267" spans="1:34" ht="14.1" customHeight="1" thickBot="1">
      <c r="A267" s="17">
        <v>51</v>
      </c>
      <c r="B267" s="67"/>
      <c r="C267" s="107"/>
      <c r="D267" s="107" t="s">
        <v>71</v>
      </c>
      <c r="E267" s="107" t="s">
        <v>283</v>
      </c>
      <c r="F267" s="107" t="s">
        <v>275</v>
      </c>
      <c r="G267" s="107" t="s">
        <v>302</v>
      </c>
      <c r="H267" s="107" t="s">
        <v>303</v>
      </c>
      <c r="I267" s="68"/>
      <c r="J267" s="162" t="s">
        <v>304</v>
      </c>
      <c r="K267" s="141" t="str">
        <f t="shared" ref="K267:K272" si="44">IF(X268="","",X268)</f>
        <v/>
      </c>
      <c r="L267" s="68"/>
      <c r="M267" s="69"/>
      <c r="O267" s="30"/>
      <c r="P267" s="68"/>
      <c r="Q267" s="68"/>
      <c r="R267" s="68"/>
      <c r="S267" s="107" t="s">
        <v>274</v>
      </c>
      <c r="T267" s="68"/>
      <c r="U267" s="68" t="s">
        <v>300</v>
      </c>
      <c r="V267" s="68"/>
      <c r="W267" s="68"/>
      <c r="X267" s="68"/>
      <c r="Y267" s="32"/>
    </row>
    <row r="268" spans="1:34" ht="14.1" customHeight="1">
      <c r="A268" s="17">
        <v>52</v>
      </c>
      <c r="B268" s="67"/>
      <c r="C268" s="68"/>
      <c r="D268" s="237" t="str">
        <f t="shared" ref="D268:H273" si="45">IF(Q269="","",Q269)</f>
        <v/>
      </c>
      <c r="E268" s="585" t="str">
        <f t="shared" si="45"/>
        <v/>
      </c>
      <c r="F268" s="205" t="str">
        <f t="shared" si="45"/>
        <v/>
      </c>
      <c r="G268" s="238" t="str">
        <f t="shared" si="45"/>
        <v/>
      </c>
      <c r="H268" s="239" t="str">
        <f t="shared" si="45"/>
        <v/>
      </c>
      <c r="I268" s="68"/>
      <c r="J268" s="162" t="s">
        <v>306</v>
      </c>
      <c r="K268" s="142" t="str">
        <f t="shared" si="44"/>
        <v/>
      </c>
      <c r="L268" s="68"/>
      <c r="M268" s="69"/>
      <c r="O268" s="186"/>
      <c r="P268" s="68"/>
      <c r="Q268" s="107" t="s">
        <v>71</v>
      </c>
      <c r="R268" s="107" t="s">
        <v>283</v>
      </c>
      <c r="S268" s="107" t="s">
        <v>275</v>
      </c>
      <c r="T268" s="107" t="s">
        <v>302</v>
      </c>
      <c r="U268" s="107" t="s">
        <v>303</v>
      </c>
      <c r="V268" s="68"/>
      <c r="W268" s="162" t="s">
        <v>304</v>
      </c>
      <c r="X268" s="270" t="str">
        <f>IF(T265="","",T265*HLOOKUP($Q$266,Tables!D80:F82,2)+HLOOKUP(Sheet1!$Q$266,Tables!D80:F82,3))</f>
        <v/>
      </c>
      <c r="Y268" s="32"/>
    </row>
    <row r="269" spans="1:34" ht="14.1" customHeight="1">
      <c r="A269" s="17">
        <v>53</v>
      </c>
      <c r="B269" s="67"/>
      <c r="C269" s="68"/>
      <c r="D269" s="240" t="str">
        <f t="shared" si="45"/>
        <v/>
      </c>
      <c r="E269" s="106" t="str">
        <f t="shared" si="45"/>
        <v/>
      </c>
      <c r="F269" s="11" t="str">
        <f t="shared" si="45"/>
        <v/>
      </c>
      <c r="G269" s="13" t="str">
        <f t="shared" si="45"/>
        <v/>
      </c>
      <c r="H269" s="241" t="str">
        <f t="shared" si="45"/>
        <v/>
      </c>
      <c r="I269" s="68"/>
      <c r="J269" s="162" t="s">
        <v>308</v>
      </c>
      <c r="K269" s="242" t="str">
        <f t="shared" si="44"/>
        <v/>
      </c>
      <c r="L269" s="68"/>
      <c r="M269" s="69"/>
      <c r="O269" s="186"/>
      <c r="P269" s="68"/>
      <c r="Q269" s="145"/>
      <c r="R269" s="145"/>
      <c r="S269" s="145"/>
      <c r="T269" s="301" t="str">
        <f>IF(Q269="","",Q269/$T$266)</f>
        <v/>
      </c>
      <c r="U269" s="303" t="str">
        <f>IF(Q269="","",($T$265^2*HLOOKUP($Q$266,Tables!$D$69:$F$71,2)+HLOOKUP(Sheet1!$Q$266,Tables!$D$69:$F$71,3))*Q269)</f>
        <v/>
      </c>
      <c r="V269" s="68"/>
      <c r="W269" s="162" t="s">
        <v>306</v>
      </c>
      <c r="X269" s="270" t="str">
        <f>IF(U273="","",U273)</f>
        <v/>
      </c>
      <c r="Y269" s="32"/>
    </row>
    <row r="270" spans="1:34" ht="14.1" customHeight="1">
      <c r="A270" s="17">
        <v>54</v>
      </c>
      <c r="B270" s="67"/>
      <c r="C270" s="68"/>
      <c r="D270" s="240" t="str">
        <f t="shared" si="45"/>
        <v/>
      </c>
      <c r="E270" s="106" t="str">
        <f t="shared" si="45"/>
        <v/>
      </c>
      <c r="F270" s="11" t="str">
        <f t="shared" si="45"/>
        <v/>
      </c>
      <c r="G270" s="13" t="str">
        <f t="shared" si="45"/>
        <v/>
      </c>
      <c r="H270" s="241" t="str">
        <f t="shared" si="45"/>
        <v/>
      </c>
      <c r="I270" s="68"/>
      <c r="J270" s="162" t="s">
        <v>310</v>
      </c>
      <c r="K270" s="142" t="str">
        <f t="shared" si="44"/>
        <v/>
      </c>
      <c r="L270" s="68"/>
      <c r="M270" s="69"/>
      <c r="O270" s="186"/>
      <c r="P270" s="68"/>
      <c r="Q270" s="145"/>
      <c r="R270" s="145"/>
      <c r="S270" s="145"/>
      <c r="T270" s="301" t="str">
        <f>IF(Q270="","",Q270/$T$266)</f>
        <v/>
      </c>
      <c r="U270" s="303" t="str">
        <f>IF(Q270="","",($T$265^2*HLOOKUP($Q$266,Tables!$D$69:$F$71,2)+HLOOKUP(Sheet1!$Q$266,Tables!$D$69:$F$71,3))*Q270)</f>
        <v/>
      </c>
      <c r="V270" s="68"/>
      <c r="W270" s="162" t="s">
        <v>308</v>
      </c>
      <c r="X270" s="253" t="str">
        <f>IF(Q266="","",HLOOKUP(Q266,Tables!A85:F86,2))</f>
        <v/>
      </c>
      <c r="Y270" s="32"/>
    </row>
    <row r="271" spans="1:34" ht="14.1" customHeight="1" thickBot="1">
      <c r="A271" s="17">
        <v>55</v>
      </c>
      <c r="B271" s="67"/>
      <c r="C271" s="68"/>
      <c r="D271" s="244" t="str">
        <f t="shared" si="45"/>
        <v/>
      </c>
      <c r="E271" s="586" t="str">
        <f t="shared" si="45"/>
        <v/>
      </c>
      <c r="F271" s="208" t="str">
        <f t="shared" si="45"/>
        <v/>
      </c>
      <c r="G271" s="245" t="str">
        <f t="shared" si="45"/>
        <v/>
      </c>
      <c r="H271" s="246" t="str">
        <f t="shared" si="45"/>
        <v/>
      </c>
      <c r="I271" s="68"/>
      <c r="J271" s="162" t="s">
        <v>311</v>
      </c>
      <c r="K271" s="142" t="str">
        <f t="shared" si="44"/>
        <v/>
      </c>
      <c r="L271" s="68"/>
      <c r="M271" s="69"/>
      <c r="O271" s="186"/>
      <c r="P271" s="68"/>
      <c r="Q271" s="145"/>
      <c r="R271" s="145"/>
      <c r="S271" s="145"/>
      <c r="T271" s="301" t="str">
        <f>IF(Q271="","",Q271/$T$266)</f>
        <v/>
      </c>
      <c r="U271" s="303" t="str">
        <f>IF(Q271="","",($T$265^2*HLOOKUP($Q$266,Tables!$D$69:$F$71,2)+HLOOKUP(Sheet1!$Q$266,Tables!$D$69:$F$71,3))*Q271)</f>
        <v/>
      </c>
      <c r="V271" s="68"/>
      <c r="W271" s="162" t="s">
        <v>310</v>
      </c>
      <c r="X271" s="254" t="str">
        <f>IF(ESE="","",ESE*Tables!D86)</f>
        <v/>
      </c>
      <c r="Y271" s="32"/>
      <c r="AA271" s="21" t="s">
        <v>652</v>
      </c>
    </row>
    <row r="272" spans="1:34" ht="14.1" customHeight="1">
      <c r="A272" s="17">
        <v>56</v>
      </c>
      <c r="B272" s="67"/>
      <c r="C272" s="162" t="s">
        <v>271</v>
      </c>
      <c r="D272" s="240" t="str">
        <f t="shared" si="45"/>
        <v/>
      </c>
      <c r="E272" s="106" t="str">
        <f t="shared" si="45"/>
        <v/>
      </c>
      <c r="F272" s="12" t="str">
        <f t="shared" si="45"/>
        <v/>
      </c>
      <c r="G272" s="13" t="str">
        <f t="shared" si="45"/>
        <v/>
      </c>
      <c r="H272" s="241" t="str">
        <f t="shared" si="45"/>
        <v/>
      </c>
      <c r="I272" s="68"/>
      <c r="J272" s="162" t="s">
        <v>313</v>
      </c>
      <c r="K272" s="247" t="str">
        <f t="shared" si="44"/>
        <v/>
      </c>
      <c r="L272" s="68"/>
      <c r="M272" s="69"/>
      <c r="O272" s="186"/>
      <c r="P272" s="68"/>
      <c r="Q272" s="145"/>
      <c r="R272" s="145"/>
      <c r="S272" s="145"/>
      <c r="T272" s="301" t="str">
        <f>IF(Q272="","",Q272/$T$266)</f>
        <v/>
      </c>
      <c r="U272" s="303" t="str">
        <f>IF(Q272="","",($T$265^2*HLOOKUP($Q$266,Tables!$D$69:$F$71,2)+HLOOKUP(Sheet1!$Q$266,Tables!$D$69:$F$71,3))*Q272)</f>
        <v/>
      </c>
      <c r="V272" s="68"/>
      <c r="W272" s="162" t="s">
        <v>311</v>
      </c>
      <c r="X272" s="255" t="str">
        <f>IF(AB85="","",AB85)</f>
        <v/>
      </c>
      <c r="Y272" s="32"/>
      <c r="Z272" s="21" t="s">
        <v>657</v>
      </c>
      <c r="AA272" s="21" t="s">
        <v>268</v>
      </c>
      <c r="AB272" s="21" t="s">
        <v>71</v>
      </c>
      <c r="AC272" s="21" t="s">
        <v>654</v>
      </c>
      <c r="AD272" s="21" t="s">
        <v>655</v>
      </c>
    </row>
    <row r="273" spans="1:30" ht="14.1" customHeight="1" thickBot="1">
      <c r="A273" s="17">
        <v>57</v>
      </c>
      <c r="B273" s="67"/>
      <c r="C273" s="162" t="s">
        <v>273</v>
      </c>
      <c r="D273" s="190" t="str">
        <f t="shared" si="45"/>
        <v/>
      </c>
      <c r="E273" s="184" t="str">
        <f t="shared" si="45"/>
        <v/>
      </c>
      <c r="F273" s="184" t="str">
        <f t="shared" si="45"/>
        <v/>
      </c>
      <c r="G273" s="184" t="str">
        <f t="shared" si="45"/>
        <v/>
      </c>
      <c r="H273" s="185" t="str">
        <f t="shared" si="45"/>
        <v/>
      </c>
      <c r="I273" s="68"/>
      <c r="J273" s="68"/>
      <c r="K273" s="68"/>
      <c r="L273" s="68"/>
      <c r="M273" s="69"/>
      <c r="O273" s="186"/>
      <c r="P273" s="162" t="s">
        <v>271</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313</v>
      </c>
      <c r="X273" s="258" t="str">
        <f>IF(OR(X271="",X272=""),"",(X271-X272)/X272)</f>
        <v/>
      </c>
      <c r="Y273" s="32"/>
      <c r="Z273" s="21" t="s">
        <v>653</v>
      </c>
      <c r="AA273" s="21">
        <v>28</v>
      </c>
      <c r="AB273" s="21">
        <v>98.8</v>
      </c>
      <c r="AC273" s="21">
        <v>1.24</v>
      </c>
      <c r="AD273" s="21" t="e">
        <f>AC273*(MGD/$S$273)</f>
        <v>#VALUE!</v>
      </c>
    </row>
    <row r="274" spans="1:30" ht="14.1" customHeight="1">
      <c r="A274" s="17">
        <v>58</v>
      </c>
      <c r="B274" s="67"/>
      <c r="C274" s="3" t="s">
        <v>203</v>
      </c>
      <c r="D274" s="101" t="s">
        <v>314</v>
      </c>
      <c r="E274" s="68"/>
      <c r="F274" s="68"/>
      <c r="G274" s="68"/>
      <c r="H274" s="68"/>
      <c r="I274" s="68"/>
      <c r="J274" s="162" t="s">
        <v>315</v>
      </c>
      <c r="K274" s="248" t="str">
        <f>IF(X276="","",X276)</f>
        <v/>
      </c>
      <c r="L274" s="68"/>
      <c r="M274" s="69"/>
      <c r="O274" s="186"/>
      <c r="P274" s="162" t="s">
        <v>273</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656</v>
      </c>
      <c r="AA274" s="21">
        <v>28</v>
      </c>
      <c r="AB274" s="21">
        <v>197.5</v>
      </c>
      <c r="AC274" s="21">
        <v>2.4700000000000002</v>
      </c>
    </row>
    <row r="275" spans="1:30" ht="14.1" customHeight="1">
      <c r="A275" s="17">
        <v>59</v>
      </c>
      <c r="B275" s="67"/>
      <c r="C275" s="68"/>
      <c r="D275" s="101" t="s">
        <v>316</v>
      </c>
      <c r="E275" s="68"/>
      <c r="F275" s="68"/>
      <c r="G275" s="68"/>
      <c r="H275" s="68"/>
      <c r="I275" s="68"/>
      <c r="J275" s="162" t="s">
        <v>317</v>
      </c>
      <c r="K275" s="249" t="str">
        <f>IF(X277="","",X277)</f>
        <v/>
      </c>
      <c r="L275" s="68"/>
      <c r="M275" s="69"/>
      <c r="O275" s="30"/>
      <c r="P275" s="335"/>
      <c r="Q275" s="335"/>
      <c r="R275" s="335"/>
      <c r="S275" s="335"/>
      <c r="T275" s="335"/>
      <c r="U275" s="335"/>
      <c r="V275" s="68"/>
      <c r="W275" s="68"/>
      <c r="X275" s="68"/>
      <c r="Y275" s="32"/>
      <c r="AC275" s="21" t="e">
        <f>AC274+AD273</f>
        <v>#VALUE!</v>
      </c>
    </row>
    <row r="276" spans="1:30" ht="14.1" customHeight="1">
      <c r="A276" s="17">
        <v>60</v>
      </c>
      <c r="B276" s="67"/>
      <c r="C276" s="68"/>
      <c r="D276" s="68"/>
      <c r="E276" s="68"/>
      <c r="F276" s="68"/>
      <c r="G276" s="68"/>
      <c r="H276" s="68"/>
      <c r="I276" s="68"/>
      <c r="J276" s="68"/>
      <c r="K276" s="68"/>
      <c r="L276" s="68"/>
      <c r="M276" s="69"/>
      <c r="O276" s="30"/>
      <c r="P276" s="3" t="s">
        <v>203</v>
      </c>
      <c r="Q276" s="101" t="s">
        <v>314</v>
      </c>
      <c r="R276" s="68"/>
      <c r="S276" s="68"/>
      <c r="T276" s="68"/>
      <c r="U276" s="68"/>
      <c r="V276" s="68"/>
      <c r="W276" s="162" t="s">
        <v>315</v>
      </c>
      <c r="X276" s="248" t="str">
        <f>IF(X271="","",(X271-AVERAGE(S269:S272))/AVERAGE(S269:S272))</f>
        <v/>
      </c>
      <c r="Y276" s="32"/>
      <c r="Z276" s="21" t="s">
        <v>658</v>
      </c>
      <c r="AA276" s="21" t="s">
        <v>268</v>
      </c>
      <c r="AB276" s="21" t="s">
        <v>71</v>
      </c>
      <c r="AC276" s="21" t="s">
        <v>654</v>
      </c>
      <c r="AD276" s="21" t="s">
        <v>655</v>
      </c>
    </row>
    <row r="277" spans="1:30" ht="14.1" customHeight="1">
      <c r="A277" s="17">
        <v>61</v>
      </c>
      <c r="B277" s="67"/>
      <c r="C277" s="68"/>
      <c r="D277" s="68"/>
      <c r="E277" s="68"/>
      <c r="F277" s="68"/>
      <c r="G277" s="68"/>
      <c r="H277" s="68"/>
      <c r="I277" s="68"/>
      <c r="J277" s="68"/>
      <c r="K277" s="68"/>
      <c r="L277" s="68"/>
      <c r="M277" s="69"/>
      <c r="O277" s="30"/>
      <c r="P277" s="193"/>
      <c r="Q277" s="101" t="s">
        <v>516</v>
      </c>
      <c r="R277" s="68"/>
      <c r="S277" s="68"/>
      <c r="T277" s="68"/>
      <c r="U277" s="68"/>
      <c r="V277" s="68"/>
      <c r="W277" s="162" t="s">
        <v>317</v>
      </c>
      <c r="X277" s="249" t="str">
        <f>IF(OR(X271="",Q273=""),"",3/(X271/Q273))</f>
        <v/>
      </c>
      <c r="Y277" s="32"/>
      <c r="Z277" s="21" t="s">
        <v>653</v>
      </c>
      <c r="AA277" s="21">
        <v>28</v>
      </c>
      <c r="AB277" s="21">
        <v>86</v>
      </c>
      <c r="AC277" s="21">
        <v>1.1499999999999999</v>
      </c>
      <c r="AD277" s="21" t="e">
        <f>AC277*(MGD/$S$273)</f>
        <v>#VALUE!</v>
      </c>
    </row>
    <row r="278" spans="1:30" ht="14.1" customHeight="1">
      <c r="A278" s="17">
        <v>62</v>
      </c>
      <c r="B278" s="67"/>
      <c r="C278" s="68"/>
      <c r="D278" s="68"/>
      <c r="E278" s="68"/>
      <c r="F278" s="68"/>
      <c r="G278" s="68"/>
      <c r="H278" s="68"/>
      <c r="I278" s="68"/>
      <c r="J278" s="68"/>
      <c r="K278" s="68"/>
      <c r="L278" s="68"/>
      <c r="M278" s="69"/>
      <c r="O278" s="30"/>
      <c r="P278" s="68"/>
      <c r="Q278" s="68"/>
      <c r="R278" s="68"/>
      <c r="S278" s="68"/>
      <c r="T278" s="68"/>
      <c r="U278" s="68"/>
      <c r="V278" s="68"/>
      <c r="W278" s="68"/>
      <c r="X278" s="68"/>
      <c r="Y278" s="32"/>
      <c r="Z278" s="21" t="s">
        <v>656</v>
      </c>
      <c r="AA278" s="21">
        <v>28</v>
      </c>
      <c r="AB278" s="21">
        <v>172</v>
      </c>
      <c r="AC278" s="21">
        <v>2.2999999999999998</v>
      </c>
    </row>
    <row r="279" spans="1:30" ht="14.1" customHeight="1" thickBot="1">
      <c r="A279" s="17">
        <v>63</v>
      </c>
      <c r="B279" s="67"/>
      <c r="C279" s="146" t="str">
        <f>O279</f>
        <v>Mean Glandular Dose - 3D</v>
      </c>
      <c r="D279" s="68"/>
      <c r="E279" s="68"/>
      <c r="F279" s="68"/>
      <c r="G279" s="68"/>
      <c r="H279" s="68"/>
      <c r="I279" s="68"/>
      <c r="J279" s="68"/>
      <c r="K279" s="68"/>
      <c r="L279" s="68"/>
      <c r="M279" s="69"/>
      <c r="O279" s="139" t="s">
        <v>584</v>
      </c>
      <c r="P279" s="68"/>
      <c r="Q279" s="68"/>
      <c r="R279" s="68"/>
      <c r="S279" s="68"/>
      <c r="T279" s="68"/>
      <c r="U279" s="68"/>
      <c r="V279" s="68"/>
      <c r="W279" s="68"/>
      <c r="X279" s="68"/>
      <c r="Y279" s="32"/>
      <c r="AC279" s="21" t="e">
        <f>AC278+AD277</f>
        <v>#VALUE!</v>
      </c>
    </row>
    <row r="280" spans="1:30" ht="14.1" customHeight="1" thickBot="1">
      <c r="A280" s="17">
        <v>64</v>
      </c>
      <c r="B280" s="67"/>
      <c r="C280" s="704" t="s">
        <v>585</v>
      </c>
      <c r="D280" s="705" t="s">
        <v>268</v>
      </c>
      <c r="E280" s="705" t="s">
        <v>71</v>
      </c>
      <c r="F280" s="705" t="s">
        <v>275</v>
      </c>
      <c r="G280" s="705" t="s">
        <v>586</v>
      </c>
      <c r="H280" s="706" t="s">
        <v>290</v>
      </c>
      <c r="I280" s="68"/>
      <c r="J280" s="68"/>
      <c r="K280" s="68"/>
      <c r="L280" s="68"/>
      <c r="M280" s="69"/>
      <c r="O280" s="30"/>
      <c r="P280" s="68"/>
      <c r="Q280" s="68"/>
      <c r="R280" s="68"/>
      <c r="S280" s="68"/>
      <c r="T280" s="68"/>
      <c r="U280" s="68"/>
      <c r="V280" s="68"/>
      <c r="W280" s="68"/>
      <c r="X280" s="68"/>
      <c r="Y280" s="32"/>
    </row>
    <row r="281" spans="1:30" ht="14.1" customHeight="1">
      <c r="A281" s="17">
        <v>65</v>
      </c>
      <c r="B281" s="67"/>
      <c r="C281" s="341">
        <v>20</v>
      </c>
      <c r="D281" s="296">
        <v>26</v>
      </c>
      <c r="E281" s="296" t="str">
        <f>IF(R282="","",R282)</f>
        <v/>
      </c>
      <c r="F281" s="296" t="str">
        <f t="shared" ref="F281:F283" si="46">IF(S282="","",S282)</f>
        <v/>
      </c>
      <c r="G281" s="404">
        <v>1</v>
      </c>
      <c r="H281" s="701" t="str">
        <f>IF(V282="","",V282)</f>
        <v/>
      </c>
      <c r="I281" s="68"/>
      <c r="J281" s="68"/>
      <c r="K281" s="68"/>
      <c r="L281" s="68"/>
      <c r="M281" s="69"/>
      <c r="O281" s="30"/>
      <c r="P281" s="704" t="s">
        <v>585</v>
      </c>
      <c r="Q281" s="705" t="s">
        <v>268</v>
      </c>
      <c r="R281" s="705" t="s">
        <v>71</v>
      </c>
      <c r="S281" s="705" t="s">
        <v>275</v>
      </c>
      <c r="T281" s="692" t="s">
        <v>626</v>
      </c>
      <c r="U281" s="705" t="s">
        <v>586</v>
      </c>
      <c r="V281" s="706" t="s">
        <v>290</v>
      </c>
      <c r="W281" s="68"/>
      <c r="X281" s="68"/>
      <c r="Y281" s="32"/>
    </row>
    <row r="282" spans="1:30" ht="14.1" customHeight="1">
      <c r="A282" s="17">
        <v>66</v>
      </c>
      <c r="B282" s="67"/>
      <c r="C282" s="341">
        <v>40</v>
      </c>
      <c r="D282" s="296">
        <v>28</v>
      </c>
      <c r="E282" s="296" t="str">
        <f t="shared" ref="E282:E283" si="47">IF(R283="","",R283)</f>
        <v/>
      </c>
      <c r="F282" s="296" t="str">
        <f t="shared" si="46"/>
        <v/>
      </c>
      <c r="G282" s="404">
        <v>2</v>
      </c>
      <c r="H282" s="701" t="str">
        <f>IF(V283="","",V283)</f>
        <v/>
      </c>
      <c r="I282" s="68"/>
      <c r="J282" s="68"/>
      <c r="K282" s="68"/>
      <c r="L282" s="68"/>
      <c r="M282" s="69"/>
      <c r="O282" s="30"/>
      <c r="P282" s="341">
        <v>20</v>
      </c>
      <c r="Q282" s="296">
        <v>26</v>
      </c>
      <c r="R282" s="702"/>
      <c r="S282" s="702"/>
      <c r="T282" s="716" t="str">
        <f>IF(AB119="","",AB119)</f>
        <v/>
      </c>
      <c r="U282" s="404">
        <v>1</v>
      </c>
      <c r="V282" s="342" t="str">
        <f>IF(S282="","",IF(S282&lt;=U282, "Pass","Fail"))</f>
        <v/>
      </c>
      <c r="W282" s="68"/>
      <c r="X282" s="68"/>
      <c r="Y282" s="32"/>
    </row>
    <row r="283" spans="1:30" ht="14.1" customHeight="1" thickBot="1">
      <c r="A283" s="17">
        <v>67</v>
      </c>
      <c r="B283" s="67"/>
      <c r="C283" s="391">
        <v>60</v>
      </c>
      <c r="D283" s="447">
        <v>30</v>
      </c>
      <c r="E283" s="447" t="str">
        <f t="shared" si="47"/>
        <v/>
      </c>
      <c r="F283" s="447" t="str">
        <f t="shared" si="46"/>
        <v/>
      </c>
      <c r="G283" s="694">
        <v>4.5</v>
      </c>
      <c r="H283" s="691" t="str">
        <f>IF(V284="","",V284)</f>
        <v/>
      </c>
      <c r="I283" s="68"/>
      <c r="J283" s="68"/>
      <c r="K283" s="68"/>
      <c r="L283" s="68"/>
      <c r="M283" s="69"/>
      <c r="O283" s="30"/>
      <c r="P283" s="341">
        <v>40</v>
      </c>
      <c r="Q283" s="296">
        <v>28</v>
      </c>
      <c r="R283" s="702"/>
      <c r="S283" s="702"/>
      <c r="T283" s="716" t="str">
        <f t="shared" ref="T283:T284" si="48">IF(AB120="","",AB120)</f>
        <v/>
      </c>
      <c r="U283" s="404">
        <v>2</v>
      </c>
      <c r="V283" s="342" t="str">
        <f>IF(S283="","",IF(S283&lt;=U283, "Pass","Fail"))</f>
        <v/>
      </c>
      <c r="W283" s="68"/>
      <c r="X283" s="68"/>
      <c r="Y283" s="32"/>
    </row>
    <row r="284" spans="1:30" ht="14.1" customHeight="1" thickBot="1">
      <c r="A284" s="17">
        <v>68</v>
      </c>
      <c r="B284" s="67"/>
      <c r="C284" s="3" t="s">
        <v>203</v>
      </c>
      <c r="D284" s="101" t="s">
        <v>587</v>
      </c>
      <c r="E284" s="68"/>
      <c r="F284" s="68"/>
      <c r="G284" s="68"/>
      <c r="H284" s="68"/>
      <c r="I284" s="68"/>
      <c r="J284" s="68"/>
      <c r="K284" s="68"/>
      <c r="L284" s="68"/>
      <c r="M284" s="69"/>
      <c r="O284" s="30"/>
      <c r="P284" s="391">
        <v>60</v>
      </c>
      <c r="Q284" s="447">
        <v>30</v>
      </c>
      <c r="R284" s="703"/>
      <c r="S284" s="703"/>
      <c r="T284" s="717" t="str">
        <f t="shared" si="48"/>
        <v/>
      </c>
      <c r="U284" s="694">
        <v>4.5</v>
      </c>
      <c r="V284" s="392" t="str">
        <f>IF(S284="","",IF(S284&lt;=U284, "Pass","Fail"))</f>
        <v/>
      </c>
      <c r="W284" s="68"/>
      <c r="X284" s="68"/>
      <c r="Y284" s="32"/>
    </row>
    <row r="285" spans="1:30" ht="14.1" customHeight="1">
      <c r="A285" s="17">
        <v>69</v>
      </c>
      <c r="B285" s="67"/>
      <c r="C285" s="68"/>
      <c r="D285" s="68"/>
      <c r="E285" s="68"/>
      <c r="F285" s="68"/>
      <c r="G285" s="68"/>
      <c r="H285" s="68"/>
      <c r="I285" s="68"/>
      <c r="J285" s="68"/>
      <c r="K285" s="68"/>
      <c r="L285" s="68"/>
      <c r="M285" s="69"/>
      <c r="O285" s="30"/>
      <c r="P285" s="3" t="s">
        <v>203</v>
      </c>
      <c r="Q285" s="101" t="s">
        <v>587</v>
      </c>
      <c r="R285" s="68"/>
      <c r="S285" s="68"/>
      <c r="T285" s="68"/>
      <c r="U285" s="68"/>
      <c r="V285" s="68"/>
      <c r="W285" s="68"/>
      <c r="X285" s="68"/>
      <c r="Y285" s="32"/>
    </row>
    <row r="286" spans="1:30" ht="14.1" customHeight="1" thickBot="1">
      <c r="A286" s="17">
        <v>70</v>
      </c>
      <c r="B286" s="80"/>
      <c r="C286" s="81"/>
      <c r="D286" s="81"/>
      <c r="E286" s="81"/>
      <c r="F286" s="81"/>
      <c r="G286" s="81"/>
      <c r="H286" s="81"/>
      <c r="I286" s="81"/>
      <c r="J286" s="81"/>
      <c r="K286" s="81"/>
      <c r="L286" s="81"/>
      <c r="M286" s="82"/>
    </row>
    <row r="287" spans="1:30" ht="14.1" customHeight="1" thickTop="1">
      <c r="A287" s="17">
        <v>71</v>
      </c>
      <c r="C287" s="109" t="s">
        <v>10</v>
      </c>
      <c r="D287" s="379" t="str">
        <f>IF($P$7="","",$P$7)</f>
        <v/>
      </c>
      <c r="E287" s="27"/>
      <c r="F287" s="27"/>
      <c r="G287" s="27"/>
      <c r="H287" s="27"/>
      <c r="I287" s="27"/>
      <c r="J287" s="27"/>
      <c r="K287" s="27"/>
      <c r="L287" s="109" t="s">
        <v>11</v>
      </c>
      <c r="M287" s="380" t="str">
        <f>IF($X$7="","",$X$7)</f>
        <v>Eugene Mah</v>
      </c>
      <c r="O287" s="75" t="s">
        <v>661</v>
      </c>
    </row>
    <row r="288" spans="1:30" ht="14.1" customHeight="1">
      <c r="A288" s="17">
        <v>72</v>
      </c>
      <c r="C288" s="109" t="s">
        <v>120</v>
      </c>
      <c r="D288" s="380" t="str">
        <f>IF($R$14="","",$R$14)</f>
        <v/>
      </c>
      <c r="E288" s="27"/>
      <c r="F288" s="27"/>
      <c r="G288" s="27"/>
      <c r="H288" s="27"/>
      <c r="I288" s="27"/>
      <c r="J288" s="27"/>
      <c r="K288" s="27"/>
      <c r="L288" s="109" t="s">
        <v>36</v>
      </c>
      <c r="M288" s="380" t="str">
        <f>IF($R$13="","",$R$13)</f>
        <v/>
      </c>
      <c r="P288" s="162" t="s">
        <v>297</v>
      </c>
      <c r="Q288" s="337">
        <f>Q265</f>
        <v>0</v>
      </c>
      <c r="S288" s="162"/>
      <c r="T288" s="752"/>
    </row>
    <row r="289" spans="1:37" ht="14.1" customHeight="1">
      <c r="A289" s="17">
        <v>1</v>
      </c>
      <c r="M289" s="112" t="str">
        <f>$H$2</f>
        <v>Medical University of South Carolina</v>
      </c>
      <c r="P289" s="162" t="s">
        <v>94</v>
      </c>
      <c r="Q289" s="857">
        <f>Q266</f>
        <v>0</v>
      </c>
      <c r="S289" s="752" t="s">
        <v>274</v>
      </c>
      <c r="T289" s="21" t="s">
        <v>663</v>
      </c>
    </row>
    <row r="290" spans="1:37" ht="14.1" customHeight="1" thickBot="1">
      <c r="A290" s="17">
        <v>2</v>
      </c>
      <c r="H290" s="51" t="s">
        <v>72</v>
      </c>
      <c r="M290" s="113" t="str">
        <f>$H$5</f>
        <v>Mammography System Compliance Inspection</v>
      </c>
      <c r="Q290" s="21" t="s">
        <v>268</v>
      </c>
      <c r="R290" s="21" t="s">
        <v>71</v>
      </c>
      <c r="S290" s="21" t="s">
        <v>662</v>
      </c>
      <c r="T290" s="21" t="s">
        <v>662</v>
      </c>
    </row>
    <row r="291" spans="1:37" ht="14.1" customHeight="1" thickTop="1">
      <c r="A291" s="17">
        <v>3</v>
      </c>
      <c r="B291" s="58"/>
      <c r="C291" s="267" t="s">
        <v>331</v>
      </c>
      <c r="D291" s="268" t="str">
        <f>IF(P354="","",P354)</f>
        <v/>
      </c>
      <c r="E291" s="267" t="s">
        <v>338</v>
      </c>
      <c r="F291" s="503" t="str">
        <f>IF(P355="","",P355)</f>
        <v/>
      </c>
      <c r="G291" s="59"/>
      <c r="H291" s="267" t="s">
        <v>332</v>
      </c>
      <c r="I291" s="817" t="str">
        <f>IF(S354="","",S354)</f>
        <v/>
      </c>
      <c r="J291" s="817"/>
      <c r="K291" s="59"/>
      <c r="L291" s="59"/>
      <c r="M291" s="61"/>
      <c r="P291" s="35" t="s">
        <v>653</v>
      </c>
      <c r="Q291" s="862"/>
      <c r="R291" s="863"/>
      <c r="S291" s="864"/>
      <c r="T291" s="271" t="str">
        <f>IF(OR(S291="",MGD=""),"",S291*(MGD/S273))</f>
        <v/>
      </c>
    </row>
    <row r="292" spans="1:37" ht="14.1" customHeight="1" thickBot="1">
      <c r="A292" s="17">
        <v>4</v>
      </c>
      <c r="B292" s="67"/>
      <c r="C292" s="4"/>
      <c r="D292" s="4"/>
      <c r="E292" s="4"/>
      <c r="F292" s="4"/>
      <c r="G292" s="4"/>
      <c r="H292" s="162" t="s">
        <v>334</v>
      </c>
      <c r="I292" s="818" t="str">
        <f>IF(S355="","",S355)</f>
        <v/>
      </c>
      <c r="J292" s="818"/>
      <c r="K292" s="4"/>
      <c r="M292" s="69"/>
      <c r="P292" s="35" t="s">
        <v>656</v>
      </c>
      <c r="Q292" s="865"/>
      <c r="R292" s="703"/>
      <c r="S292" s="866"/>
    </row>
    <row r="293" spans="1:37" ht="14.1" customHeight="1" thickBot="1">
      <c r="A293" s="17">
        <v>5</v>
      </c>
      <c r="B293" s="67"/>
      <c r="C293" s="146" t="s">
        <v>329</v>
      </c>
      <c r="D293" s="68"/>
      <c r="E293" s="68"/>
      <c r="F293" s="68"/>
      <c r="G293" s="68"/>
      <c r="H293" s="68"/>
      <c r="I293" s="68"/>
      <c r="J293" s="68"/>
      <c r="K293" s="68"/>
      <c r="M293" s="69"/>
      <c r="R293" s="35" t="s">
        <v>664</v>
      </c>
      <c r="S293" s="861" t="str">
        <f>IF(OR(T291="",S292=""),"",T291+S292)</f>
        <v/>
      </c>
      <c r="T293" s="21" t="s">
        <v>343</v>
      </c>
    </row>
    <row r="294" spans="1:37" ht="14.1" customHeight="1">
      <c r="A294" s="17">
        <v>6</v>
      </c>
      <c r="B294" s="67"/>
      <c r="C294" s="162"/>
      <c r="F294" s="816" t="s">
        <v>335</v>
      </c>
      <c r="G294" s="816"/>
      <c r="H294" s="816"/>
      <c r="I294" s="592"/>
      <c r="J294" s="592"/>
      <c r="K294" s="107"/>
      <c r="M294" s="69"/>
      <c r="P294" s="3" t="s">
        <v>203</v>
      </c>
      <c r="Q294" s="101" t="s">
        <v>314</v>
      </c>
    </row>
    <row r="295" spans="1:37" ht="14.1" customHeight="1" thickBot="1">
      <c r="A295" s="17">
        <v>7</v>
      </c>
      <c r="B295" s="67"/>
      <c r="C295" s="21" t="s">
        <v>70</v>
      </c>
      <c r="D295" s="592" t="s">
        <v>268</v>
      </c>
      <c r="E295" s="592" t="s">
        <v>71</v>
      </c>
      <c r="F295" s="592" t="s">
        <v>24</v>
      </c>
      <c r="G295" s="592" t="s">
        <v>25</v>
      </c>
      <c r="H295" s="592" t="s">
        <v>26</v>
      </c>
      <c r="I295" s="592" t="s">
        <v>336</v>
      </c>
      <c r="J295" s="592" t="s">
        <v>337</v>
      </c>
      <c r="K295" s="592" t="s">
        <v>514</v>
      </c>
      <c r="M295" s="69"/>
      <c r="O295" s="40"/>
      <c r="P295" s="41"/>
      <c r="Q295" s="41"/>
      <c r="R295" s="41"/>
      <c r="S295" s="41"/>
      <c r="T295" s="41"/>
      <c r="U295" s="41"/>
      <c r="V295" s="41"/>
      <c r="W295" s="41"/>
      <c r="X295" s="41"/>
      <c r="Y295" s="42"/>
    </row>
    <row r="296" spans="1:37" ht="14.1" customHeight="1">
      <c r="A296" s="17">
        <v>8</v>
      </c>
      <c r="B296" s="67"/>
      <c r="C296" s="440" t="str">
        <f>P358</f>
        <v>/</v>
      </c>
      <c r="D296" s="422">
        <f>IF(Q358="","",Q358)</f>
        <v>24</v>
      </c>
      <c r="E296" s="422">
        <f>IF(R358="","",R358)</f>
        <v>50</v>
      </c>
      <c r="F296" s="441" t="str">
        <f>IF(S358="","",S358)</f>
        <v/>
      </c>
      <c r="G296" s="441" t="str">
        <f>IF(T358="","",T358)</f>
        <v/>
      </c>
      <c r="H296" s="441" t="str">
        <f>IF(U358="","",U358)</f>
        <v/>
      </c>
      <c r="I296" s="442" t="str">
        <f>IF(V358="","",V358)</f>
        <v/>
      </c>
      <c r="J296" s="441" t="str">
        <f>IF(W358="","",W358)</f>
        <v/>
      </c>
      <c r="K296" s="443" t="str">
        <f>IF(X358="","",X358)</f>
        <v/>
      </c>
      <c r="M296" s="69"/>
      <c r="O296" s="136" t="s">
        <v>588</v>
      </c>
      <c r="P296" s="23"/>
      <c r="Q296" s="23"/>
      <c r="R296" s="23"/>
      <c r="S296" s="23"/>
      <c r="T296" s="23"/>
      <c r="U296" s="23"/>
      <c r="V296" s="23"/>
      <c r="W296" s="23"/>
      <c r="X296" s="23"/>
      <c r="Y296" s="24"/>
    </row>
    <row r="297" spans="1:37" ht="14.1" customHeight="1">
      <c r="A297" s="17">
        <v>9</v>
      </c>
      <c r="B297" s="67"/>
      <c r="C297" s="444"/>
      <c r="D297" s="296">
        <f>IF(Q359="","",Q359)</f>
        <v>25</v>
      </c>
      <c r="E297" s="296">
        <f>IF(R359="","",R359)</f>
        <v>50</v>
      </c>
      <c r="F297" s="303" t="str">
        <f>IF(S359="","",S359)</f>
        <v/>
      </c>
      <c r="G297" s="303" t="str">
        <f>IF(T359="","",T359)</f>
        <v/>
      </c>
      <c r="H297" s="303" t="str">
        <f>IF(U359="","",U359)</f>
        <v/>
      </c>
      <c r="I297" s="297" t="str">
        <f>IF(V359="","",V359)</f>
        <v/>
      </c>
      <c r="J297" s="303" t="str">
        <f>IF(W359="","",W359)</f>
        <v/>
      </c>
      <c r="K297" s="424" t="str">
        <f>IF(X359="","",X359)</f>
        <v/>
      </c>
      <c r="M297" s="69"/>
      <c r="O297" s="30"/>
      <c r="P297" s="162" t="s">
        <v>594</v>
      </c>
      <c r="Q297" s="162" t="s">
        <v>591</v>
      </c>
      <c r="R297" s="1">
        <v>101.3</v>
      </c>
      <c r="S297" s="68"/>
      <c r="T297" s="68"/>
      <c r="U297" s="68"/>
      <c r="V297" s="68"/>
      <c r="W297" s="68"/>
      <c r="X297" s="68"/>
      <c r="Y297" s="32"/>
      <c r="AA297"/>
      <c r="AB297"/>
      <c r="AC297"/>
      <c r="AD297"/>
      <c r="AE297"/>
      <c r="AF297"/>
      <c r="AG297"/>
      <c r="AH297"/>
      <c r="AI297"/>
      <c r="AJ297"/>
      <c r="AK297"/>
    </row>
    <row r="298" spans="1:37" ht="14.1" customHeight="1" thickBot="1">
      <c r="A298" s="17">
        <v>10</v>
      </c>
      <c r="B298" s="67"/>
      <c r="C298" s="444"/>
      <c r="D298" s="296">
        <f>IF(Q360="","",Q360)</f>
        <v>26</v>
      </c>
      <c r="E298" s="296">
        <f>IF(R360="","",R360)</f>
        <v>50</v>
      </c>
      <c r="F298" s="303" t="str">
        <f>IF(S360="","",S360)</f>
        <v/>
      </c>
      <c r="G298" s="303" t="str">
        <f>IF(T360="","",T360)</f>
        <v/>
      </c>
      <c r="H298" s="303" t="str">
        <f>IF(U360="","",U360)</f>
        <v/>
      </c>
      <c r="I298" s="297" t="str">
        <f>IF(V360="","",V360)</f>
        <v/>
      </c>
      <c r="J298" s="303" t="str">
        <f>IF(W360="","",W360)</f>
        <v/>
      </c>
      <c r="K298" s="424" t="str">
        <f>IF(X360="","",X360)</f>
        <v/>
      </c>
      <c r="M298" s="69"/>
      <c r="O298" s="30"/>
      <c r="P298" s="68"/>
      <c r="Q298" s="162" t="s">
        <v>592</v>
      </c>
      <c r="R298" s="695">
        <v>108</v>
      </c>
      <c r="S298" s="756" t="s">
        <v>320</v>
      </c>
      <c r="T298" s="756"/>
      <c r="U298" s="68"/>
      <c r="V298" s="68"/>
      <c r="W298" s="68"/>
      <c r="X298" s="68"/>
      <c r="Y298" s="32"/>
      <c r="AA298"/>
      <c r="AB298"/>
      <c r="AC298"/>
      <c r="AD298"/>
      <c r="AE298"/>
      <c r="AF298"/>
      <c r="AG298"/>
      <c r="AH298"/>
      <c r="AI298"/>
      <c r="AJ298"/>
      <c r="AK298"/>
    </row>
    <row r="299" spans="1:37" ht="14.1" customHeight="1">
      <c r="A299" s="17">
        <v>11</v>
      </c>
      <c r="B299" s="67"/>
      <c r="C299" s="444"/>
      <c r="D299" s="296">
        <f>IF(Q361="","",Q361)</f>
        <v>28</v>
      </c>
      <c r="E299" s="296">
        <f>IF(R361="","",R361)</f>
        <v>50</v>
      </c>
      <c r="F299" s="303" t="str">
        <f>IF(S361="","",S361)</f>
        <v/>
      </c>
      <c r="G299" s="303" t="str">
        <f>IF(T361="","",T361)</f>
        <v/>
      </c>
      <c r="H299" s="303" t="str">
        <f>IF(U361="","",U361)</f>
        <v/>
      </c>
      <c r="I299" s="297" t="str">
        <f>IF(V361="","",V361)</f>
        <v/>
      </c>
      <c r="J299" s="303" t="str">
        <f>IF(W361="","",W361)</f>
        <v/>
      </c>
      <c r="K299" s="424" t="str">
        <f>IF(X361="","",X361)</f>
        <v/>
      </c>
      <c r="M299" s="69"/>
      <c r="O299" s="30"/>
      <c r="P299" s="753" t="s">
        <v>590</v>
      </c>
      <c r="Q299" s="754" t="s">
        <v>589</v>
      </c>
      <c r="R299" s="755" t="s">
        <v>290</v>
      </c>
      <c r="S299" s="753" t="s">
        <v>590</v>
      </c>
      <c r="T299" s="755" t="s">
        <v>589</v>
      </c>
      <c r="U299" s="68"/>
      <c r="V299" s="68"/>
      <c r="W299" s="68"/>
      <c r="X299" s="68"/>
      <c r="Y299" s="32"/>
      <c r="AA299"/>
      <c r="AB299"/>
      <c r="AC299"/>
      <c r="AD299"/>
      <c r="AE299"/>
      <c r="AF299"/>
      <c r="AG299"/>
      <c r="AH299"/>
      <c r="AI299"/>
      <c r="AJ299"/>
      <c r="AK299"/>
    </row>
    <row r="300" spans="1:37" ht="14.1" customHeight="1" thickBot="1">
      <c r="A300" s="17">
        <v>12</v>
      </c>
      <c r="B300" s="67"/>
      <c r="C300" s="444"/>
      <c r="D300" s="296">
        <f>IF(Q362="","",Q362)</f>
        <v>30</v>
      </c>
      <c r="E300" s="296">
        <f>IF(R362="","",R362)</f>
        <v>50</v>
      </c>
      <c r="F300" s="303" t="str">
        <f>IF(S362="","",S362)</f>
        <v/>
      </c>
      <c r="G300" s="303" t="str">
        <f>IF(T362="","",T362)</f>
        <v/>
      </c>
      <c r="H300" s="303" t="str">
        <f>IF(U362="","",U362)</f>
        <v/>
      </c>
      <c r="I300" s="297" t="str">
        <f>IF(V362="","",V362)</f>
        <v/>
      </c>
      <c r="J300" s="303" t="str">
        <f>IF(W362="","",W362)</f>
        <v/>
      </c>
      <c r="K300" s="424" t="str">
        <f>IF(X362="","",X362)</f>
        <v/>
      </c>
      <c r="M300" s="69"/>
      <c r="O300" s="161" t="s">
        <v>605</v>
      </c>
      <c r="P300" s="696"/>
      <c r="Q300" s="145"/>
      <c r="R300" s="342" t="str">
        <f>IF(OR(P300="",Q300=""),"",IF(AND(ABS($R$297-P300)&lt;=$R$297*0.02,ABS($R$298-Q300)&lt;=$R$298*0.02),"Pass","Fail"))</f>
        <v/>
      </c>
      <c r="S300" s="711" t="str">
        <f>IF(AB122="","",AB122)</f>
        <v/>
      </c>
      <c r="T300" s="712" t="str">
        <f>IF(AB123="","",AB123)</f>
        <v/>
      </c>
      <c r="U300" s="68"/>
      <c r="V300" s="68"/>
      <c r="W300" s="68"/>
      <c r="X300" s="68"/>
      <c r="Y300" s="32"/>
      <c r="AA300"/>
      <c r="AB300"/>
      <c r="AC300"/>
      <c r="AD300"/>
      <c r="AE300"/>
      <c r="AF300"/>
      <c r="AG300"/>
      <c r="AH300"/>
      <c r="AI300"/>
      <c r="AJ300"/>
      <c r="AK300"/>
    </row>
    <row r="301" spans="1:37" ht="14.1" customHeight="1" thickBot="1">
      <c r="A301" s="17">
        <v>13</v>
      </c>
      <c r="B301" s="67"/>
      <c r="C301" s="453"/>
      <c r="D301" s="447">
        <f>IF(Q363="","",Q363)</f>
        <v>32</v>
      </c>
      <c r="E301" s="447">
        <f>IF(R363="","",R363)</f>
        <v>50</v>
      </c>
      <c r="F301" s="448" t="str">
        <f>IF(S363="","",S363)</f>
        <v/>
      </c>
      <c r="G301" s="448" t="str">
        <f>IF(T363="","",T363)</f>
        <v/>
      </c>
      <c r="H301" s="448" t="str">
        <f>IF(U363="","",U363)</f>
        <v/>
      </c>
      <c r="I301" s="449" t="str">
        <f>IF(V363="","",V363)</f>
        <v/>
      </c>
      <c r="J301" s="448" t="str">
        <f>IF(W363="","",W363)</f>
        <v/>
      </c>
      <c r="K301" s="416" t="str">
        <f>IF(X363="","",X363)</f>
        <v/>
      </c>
      <c r="L301" s="381" t="str">
        <f>IF(K296="","",IF(MAX(K296:K301)&lt;0.05,"Pass","Fail"))</f>
        <v/>
      </c>
      <c r="M301" s="69"/>
      <c r="O301" s="161" t="s">
        <v>606</v>
      </c>
      <c r="P301" s="696"/>
      <c r="Q301" s="145"/>
      <c r="R301" s="342" t="str">
        <f>IF(OR(P301="",Q301=""),"",IF(AND(ABS($R$297-P301)&lt;=$R$297*0.02,ABS($R$298-Q301)&lt;=$R$298*0.02),"Pass","Fail"))</f>
        <v/>
      </c>
      <c r="S301" s="711" t="str">
        <f>IF(AB124="","",AB124)</f>
        <v/>
      </c>
      <c r="T301" s="712" t="str">
        <f>IF(AB125="","",AB125)</f>
        <v/>
      </c>
      <c r="U301" s="68"/>
      <c r="V301" s="68"/>
      <c r="W301" s="68"/>
      <c r="X301" s="68"/>
      <c r="Y301" s="32"/>
      <c r="AA301"/>
      <c r="AB301"/>
      <c r="AC301"/>
      <c r="AD301"/>
      <c r="AE301"/>
      <c r="AF301"/>
      <c r="AG301"/>
      <c r="AH301"/>
      <c r="AI301"/>
      <c r="AJ301"/>
      <c r="AK301"/>
    </row>
    <row r="302" spans="1:37" ht="14.1" customHeight="1" thickBot="1">
      <c r="A302" s="17">
        <v>14</v>
      </c>
      <c r="B302" s="67"/>
      <c r="C302" s="454" t="str">
        <f>P365</f>
        <v>/</v>
      </c>
      <c r="D302" s="422">
        <f>IF(Q365="","",Q365)</f>
        <v>28</v>
      </c>
      <c r="E302" s="422">
        <f>IF(R365="","",R365)</f>
        <v>50</v>
      </c>
      <c r="F302" s="441" t="str">
        <f>IF(S365="","",S365)</f>
        <v/>
      </c>
      <c r="G302" s="441" t="str">
        <f>IF(T365="","",T365)</f>
        <v/>
      </c>
      <c r="H302" s="441" t="str">
        <f>IF(U365="","",U365)</f>
        <v/>
      </c>
      <c r="I302" s="442" t="str">
        <f>IF(V365="","",V365)</f>
        <v/>
      </c>
      <c r="J302" s="441" t="str">
        <f>IF(W365="","",W365)</f>
        <v/>
      </c>
      <c r="K302" s="443" t="str">
        <f>IF(X365="","",X365)</f>
        <v/>
      </c>
      <c r="M302" s="69"/>
      <c r="O302" s="161" t="s">
        <v>607</v>
      </c>
      <c r="P302" s="697"/>
      <c r="Q302" s="698"/>
      <c r="R302" s="392" t="str">
        <f>IF(OR(P302="",Q302=""),"",IF(AND(ABS($R$297-P302)&lt;=$R$297*0.02,ABS($R$298-Q302)&lt;=$R$298*0.02),"Pass","Fail"))</f>
        <v/>
      </c>
      <c r="S302" s="713" t="str">
        <f>IF(AB126="","",AB126)</f>
        <v/>
      </c>
      <c r="T302" s="714" t="str">
        <f>IF(AB127="","",AB127)</f>
        <v/>
      </c>
      <c r="U302" s="68"/>
      <c r="V302" s="68"/>
      <c r="W302" s="68"/>
      <c r="X302" s="68"/>
      <c r="Y302" s="32"/>
      <c r="AA302"/>
      <c r="AB302"/>
      <c r="AC302"/>
      <c r="AD302"/>
      <c r="AE302"/>
      <c r="AF302"/>
      <c r="AG302"/>
      <c r="AH302"/>
      <c r="AI302"/>
      <c r="AJ302"/>
      <c r="AK302"/>
    </row>
    <row r="303" spans="1:37" ht="14.1" customHeight="1">
      <c r="A303" s="17">
        <v>15</v>
      </c>
      <c r="B303" s="67"/>
      <c r="C303" s="445"/>
      <c r="D303" s="296">
        <f>IF(Q366="","",Q366)</f>
        <v>30</v>
      </c>
      <c r="E303" s="296">
        <f>IF(R366="","",R366)</f>
        <v>50</v>
      </c>
      <c r="F303" s="303" t="str">
        <f>IF(S366="","",S366)</f>
        <v/>
      </c>
      <c r="G303" s="303" t="str">
        <f>IF(T366="","",T366)</f>
        <v/>
      </c>
      <c r="H303" s="303" t="str">
        <f>IF(U366="","",U366)</f>
        <v/>
      </c>
      <c r="I303" s="297" t="str">
        <f>IF(V366="","",V366)</f>
        <v/>
      </c>
      <c r="J303" s="303" t="str">
        <f>IF(W366="","",W366)</f>
        <v/>
      </c>
      <c r="K303" s="424" t="str">
        <f>IF(X366="","",X366)</f>
        <v/>
      </c>
      <c r="M303" s="69"/>
      <c r="O303" s="30"/>
      <c r="P303" s="3" t="s">
        <v>203</v>
      </c>
      <c r="Q303" s="101" t="s">
        <v>593</v>
      </c>
      <c r="R303" s="68"/>
      <c r="S303" s="68"/>
      <c r="T303" s="68"/>
      <c r="U303" s="68"/>
      <c r="V303" s="68"/>
      <c r="W303" s="68"/>
      <c r="X303" s="68"/>
      <c r="Y303" s="32"/>
      <c r="AA303"/>
      <c r="AB303"/>
      <c r="AC303"/>
      <c r="AD303"/>
      <c r="AE303"/>
      <c r="AF303"/>
      <c r="AG303"/>
      <c r="AH303"/>
      <c r="AI303"/>
      <c r="AJ303"/>
      <c r="AK303"/>
    </row>
    <row r="304" spans="1:37" ht="14.1" customHeight="1">
      <c r="A304" s="17">
        <v>16</v>
      </c>
      <c r="B304" s="67"/>
      <c r="C304" s="445"/>
      <c r="D304" s="296">
        <f>IF(Q367="","",Q367)</f>
        <v>32</v>
      </c>
      <c r="E304" s="296">
        <f>IF(R367="","",R367)</f>
        <v>50</v>
      </c>
      <c r="F304" s="303" t="str">
        <f>IF(S367="","",S367)</f>
        <v/>
      </c>
      <c r="G304" s="303" t="str">
        <f>IF(T367="","",T367)</f>
        <v/>
      </c>
      <c r="H304" s="303" t="str">
        <f>IF(U367="","",U367)</f>
        <v/>
      </c>
      <c r="I304" s="297" t="str">
        <f>IF(V367="","",V367)</f>
        <v/>
      </c>
      <c r="J304" s="303" t="str">
        <f>IF(W367="","",W367)</f>
        <v/>
      </c>
      <c r="K304" s="424" t="str">
        <f>IF(X367="","",X367)</f>
        <v/>
      </c>
      <c r="M304" s="69"/>
      <c r="O304" s="30"/>
      <c r="P304" s="68"/>
      <c r="Q304" s="68"/>
      <c r="R304" s="68"/>
      <c r="S304" s="68"/>
      <c r="T304" s="68"/>
      <c r="U304" s="68"/>
      <c r="V304" s="68"/>
      <c r="W304" s="68"/>
      <c r="X304" s="68"/>
      <c r="Y304" s="32"/>
      <c r="AA304"/>
      <c r="AB304"/>
      <c r="AC304"/>
      <c r="AD304"/>
      <c r="AE304"/>
      <c r="AF304"/>
      <c r="AG304"/>
      <c r="AH304"/>
      <c r="AI304"/>
      <c r="AJ304"/>
      <c r="AK304"/>
    </row>
    <row r="305" spans="1:37" ht="14.1" customHeight="1" thickBot="1">
      <c r="A305" s="17">
        <v>17</v>
      </c>
      <c r="B305" s="67"/>
      <c r="C305" s="445"/>
      <c r="D305" s="296">
        <f>IF(Q368="","",Q368)</f>
        <v>34</v>
      </c>
      <c r="E305" s="296">
        <f>IF(R368="","",R368)</f>
        <v>50</v>
      </c>
      <c r="F305" s="303" t="str">
        <f>IF(S368="","",S368)</f>
        <v/>
      </c>
      <c r="G305" s="303" t="str">
        <f>IF(T368="","",T368)</f>
        <v/>
      </c>
      <c r="H305" s="303" t="str">
        <f>IF(U368="","",U368)</f>
        <v/>
      </c>
      <c r="I305" s="297" t="str">
        <f>IF(V368="","",V368)</f>
        <v/>
      </c>
      <c r="J305" s="303" t="str">
        <f>IF(W368="","",W368)</f>
        <v/>
      </c>
      <c r="K305" s="424" t="str">
        <f>IF(X368="","",X368)</f>
        <v/>
      </c>
      <c r="M305" s="69"/>
      <c r="O305" s="139" t="s">
        <v>595</v>
      </c>
      <c r="P305" s="68"/>
      <c r="Q305" s="68"/>
      <c r="R305" s="68"/>
      <c r="S305" s="68"/>
      <c r="T305" s="68"/>
      <c r="U305" s="68"/>
      <c r="V305" s="68"/>
      <c r="W305" s="68"/>
      <c r="X305" s="68"/>
      <c r="Y305" s="32"/>
      <c r="AA305"/>
      <c r="AB305"/>
      <c r="AC305"/>
      <c r="AD305"/>
      <c r="AE305"/>
      <c r="AF305"/>
      <c r="AG305"/>
      <c r="AH305"/>
      <c r="AI305"/>
      <c r="AJ305"/>
      <c r="AK305"/>
    </row>
    <row r="306" spans="1:37" ht="14.1" customHeight="1" thickBot="1">
      <c r="A306" s="17">
        <v>18</v>
      </c>
      <c r="B306" s="67"/>
      <c r="C306" s="446"/>
      <c r="D306" s="447">
        <f>IF(Q369="","",Q369)</f>
        <v>36</v>
      </c>
      <c r="E306" s="447">
        <f>IF(R369="","",R369)</f>
        <v>50</v>
      </c>
      <c r="F306" s="448" t="str">
        <f>IF(S369="","",S369)</f>
        <v/>
      </c>
      <c r="G306" s="448" t="str">
        <f>IF(T369="","",T369)</f>
        <v/>
      </c>
      <c r="H306" s="448" t="str">
        <f>IF(U369="","",U369)</f>
        <v/>
      </c>
      <c r="I306" s="449" t="str">
        <f>IF(V369="","",V369)</f>
        <v/>
      </c>
      <c r="J306" s="448" t="str">
        <f>IF(W369="","",W369)</f>
        <v/>
      </c>
      <c r="K306" s="416" t="str">
        <f>IF(X369="","",X369)</f>
        <v/>
      </c>
      <c r="L306" s="381"/>
      <c r="M306" s="69"/>
      <c r="O306" s="719" t="s">
        <v>613</v>
      </c>
      <c r="P306" s="699" t="s">
        <v>609</v>
      </c>
      <c r="Q306" s="867">
        <f>U306-2</f>
        <v>-2</v>
      </c>
      <c r="R306" s="699" t="s">
        <v>608</v>
      </c>
      <c r="S306" s="867">
        <f>U306-1</f>
        <v>-1</v>
      </c>
      <c r="T306" s="699" t="s">
        <v>610</v>
      </c>
      <c r="U306" s="700"/>
      <c r="V306" s="699" t="s">
        <v>611</v>
      </c>
      <c r="W306" s="867">
        <f>U306+1</f>
        <v>1</v>
      </c>
      <c r="X306" s="699" t="s">
        <v>612</v>
      </c>
      <c r="Y306" s="868">
        <f>U306+2</f>
        <v>2</v>
      </c>
      <c r="AA306"/>
      <c r="AB306"/>
      <c r="AC306"/>
      <c r="AD306"/>
      <c r="AE306"/>
      <c r="AF306"/>
      <c r="AG306"/>
      <c r="AH306"/>
      <c r="AI306"/>
      <c r="AJ306"/>
      <c r="AK306"/>
    </row>
    <row r="307" spans="1:37" ht="14.1" customHeight="1">
      <c r="A307" s="17">
        <v>19</v>
      </c>
      <c r="B307" s="67"/>
      <c r="C307" s="445" t="str">
        <f>P371</f>
        <v>/</v>
      </c>
      <c r="D307" s="418">
        <f>IF(Q371="","",Q371)</f>
        <v>28</v>
      </c>
      <c r="E307" s="418">
        <f>IF(R371="","",R371)</f>
        <v>50</v>
      </c>
      <c r="F307" s="450" t="str">
        <f>IF(S371="","",S371)</f>
        <v/>
      </c>
      <c r="G307" s="450" t="str">
        <f>IF(T371="","",T371)</f>
        <v/>
      </c>
      <c r="H307" s="450" t="str">
        <f>IF(U371="","",U371)</f>
        <v/>
      </c>
      <c r="I307" s="451" t="str">
        <f>IF(V371="","",V371)</f>
        <v/>
      </c>
      <c r="J307" s="450" t="str">
        <f>IF(W371="","",W371)</f>
        <v/>
      </c>
      <c r="K307" s="452" t="str">
        <f>IF(X371="","",X371)</f>
        <v/>
      </c>
      <c r="M307" s="69"/>
      <c r="O307" s="720" t="s">
        <v>605</v>
      </c>
      <c r="P307" s="296" t="s">
        <v>601</v>
      </c>
      <c r="Q307" s="296" t="s">
        <v>283</v>
      </c>
      <c r="R307" s="296" t="s">
        <v>601</v>
      </c>
      <c r="S307" s="296" t="s">
        <v>283</v>
      </c>
      <c r="T307" s="296" t="s">
        <v>601</v>
      </c>
      <c r="U307" s="296" t="s">
        <v>283</v>
      </c>
      <c r="V307" s="296" t="s">
        <v>601</v>
      </c>
      <c r="W307" s="296" t="s">
        <v>283</v>
      </c>
      <c r="X307" s="296" t="s">
        <v>601</v>
      </c>
      <c r="Y307" s="732" t="s">
        <v>283</v>
      </c>
      <c r="AA307"/>
      <c r="AB307"/>
      <c r="AC307"/>
      <c r="AD307"/>
      <c r="AE307"/>
      <c r="AF307"/>
      <c r="AG307"/>
      <c r="AH307"/>
      <c r="AI307"/>
      <c r="AJ307"/>
      <c r="AK307"/>
    </row>
    <row r="308" spans="1:37" ht="14.1" customHeight="1">
      <c r="A308" s="17">
        <v>20</v>
      </c>
      <c r="B308" s="67"/>
      <c r="C308" s="445"/>
      <c r="D308" s="296">
        <f>IF(Q372="","",Q372)</f>
        <v>30</v>
      </c>
      <c r="E308" s="296">
        <f>IF(R372="","",R372)</f>
        <v>50</v>
      </c>
      <c r="F308" s="303" t="str">
        <f>IF(S372="","",S372)</f>
        <v/>
      </c>
      <c r="G308" s="303" t="str">
        <f>IF(T372="","",T372)</f>
        <v/>
      </c>
      <c r="H308" s="303" t="str">
        <f>IF(U372="","",U372)</f>
        <v/>
      </c>
      <c r="I308" s="297" t="str">
        <f>IF(V372="","",V372)</f>
        <v/>
      </c>
      <c r="J308" s="303" t="str">
        <f>IF(W372="","",W372)</f>
        <v/>
      </c>
      <c r="K308" s="424" t="str">
        <f>IF(X372="","",X372)</f>
        <v/>
      </c>
      <c r="M308" s="69"/>
      <c r="O308" s="721">
        <v>1</v>
      </c>
      <c r="P308" s="702"/>
      <c r="Q308" s="702"/>
      <c r="R308" s="702"/>
      <c r="S308" s="702"/>
      <c r="T308" s="702"/>
      <c r="U308" s="702"/>
      <c r="V308" s="702"/>
      <c r="W308" s="702"/>
      <c r="X308" s="702"/>
      <c r="Y308" s="722"/>
      <c r="AA308"/>
      <c r="AB308"/>
      <c r="AC308"/>
      <c r="AD308"/>
      <c r="AE308"/>
      <c r="AF308"/>
      <c r="AG308"/>
      <c r="AH308"/>
      <c r="AI308"/>
      <c r="AJ308"/>
      <c r="AK308"/>
    </row>
    <row r="309" spans="1:37" ht="14.1" customHeight="1">
      <c r="A309" s="17">
        <v>21</v>
      </c>
      <c r="B309" s="67"/>
      <c r="C309" s="445"/>
      <c r="D309" s="296">
        <f>IF(Q373="","",Q373)</f>
        <v>32</v>
      </c>
      <c r="E309" s="296">
        <f>IF(R373="","",R373)</f>
        <v>50</v>
      </c>
      <c r="F309" s="303" t="str">
        <f>IF(S373="","",S373)</f>
        <v/>
      </c>
      <c r="G309" s="303" t="str">
        <f>IF(T373="","",T373)</f>
        <v/>
      </c>
      <c r="H309" s="303" t="str">
        <f>IF(U373="","",U373)</f>
        <v/>
      </c>
      <c r="I309" s="297" t="str">
        <f>IF(V373="","",V373)</f>
        <v/>
      </c>
      <c r="J309" s="303" t="str">
        <f>IF(W373="","",W373)</f>
        <v/>
      </c>
      <c r="K309" s="424" t="str">
        <f>IF(X373="","",X373)</f>
        <v/>
      </c>
      <c r="M309" s="69"/>
      <c r="O309" s="721">
        <v>2</v>
      </c>
      <c r="P309" s="702"/>
      <c r="Q309" s="702"/>
      <c r="R309" s="702"/>
      <c r="S309" s="702"/>
      <c r="T309" s="702"/>
      <c r="U309" s="702"/>
      <c r="V309" s="702"/>
      <c r="W309" s="702"/>
      <c r="X309" s="702"/>
      <c r="Y309" s="722"/>
      <c r="AA309"/>
      <c r="AB309"/>
      <c r="AC309"/>
      <c r="AD309"/>
      <c r="AE309"/>
      <c r="AF309"/>
      <c r="AG309"/>
      <c r="AH309"/>
      <c r="AI309"/>
      <c r="AJ309"/>
      <c r="AK309"/>
    </row>
    <row r="310" spans="1:37" ht="14.1" customHeight="1" thickBot="1">
      <c r="A310" s="17">
        <v>22</v>
      </c>
      <c r="B310" s="67"/>
      <c r="C310" s="445"/>
      <c r="D310" s="296">
        <f>IF(Q374="","",Q374)</f>
        <v>34</v>
      </c>
      <c r="E310" s="296">
        <f>IF(R374="","",R374)</f>
        <v>50</v>
      </c>
      <c r="F310" s="303" t="str">
        <f>IF(S374="","",S374)</f>
        <v/>
      </c>
      <c r="G310" s="303" t="str">
        <f>IF(T374="","",T374)</f>
        <v/>
      </c>
      <c r="H310" s="303" t="str">
        <f>IF(U374="","",U374)</f>
        <v/>
      </c>
      <c r="I310" s="297" t="str">
        <f>IF(V374="","",V374)</f>
        <v/>
      </c>
      <c r="J310" s="303" t="str">
        <f>IF(W374="","",W374)</f>
        <v/>
      </c>
      <c r="K310" s="424" t="str">
        <f>IF(X374="","",X374)</f>
        <v/>
      </c>
      <c r="M310" s="69"/>
      <c r="O310" s="721">
        <v>3</v>
      </c>
      <c r="P310" s="702"/>
      <c r="Q310" s="702"/>
      <c r="R310" s="702"/>
      <c r="S310" s="702"/>
      <c r="T310" s="702"/>
      <c r="U310" s="702"/>
      <c r="V310" s="702"/>
      <c r="W310" s="702"/>
      <c r="X310" s="702"/>
      <c r="Y310" s="722"/>
      <c r="AA310"/>
      <c r="AB310"/>
      <c r="AC310"/>
      <c r="AD310"/>
      <c r="AE310"/>
      <c r="AF310"/>
      <c r="AG310"/>
      <c r="AH310"/>
      <c r="AI310"/>
      <c r="AJ310"/>
      <c r="AK310"/>
    </row>
    <row r="311" spans="1:37" ht="14.1" customHeight="1" thickBot="1">
      <c r="A311" s="17">
        <v>23</v>
      </c>
      <c r="B311" s="67"/>
      <c r="C311" s="446"/>
      <c r="D311" s="447">
        <f>IF(Q375="","",Q375)</f>
        <v>38</v>
      </c>
      <c r="E311" s="447">
        <f>IF(R375="","",R375)</f>
        <v>50</v>
      </c>
      <c r="F311" s="448" t="str">
        <f>IF(S375="","",S375)</f>
        <v/>
      </c>
      <c r="G311" s="448" t="str">
        <f>IF(T375="","",T375)</f>
        <v/>
      </c>
      <c r="H311" s="448" t="str">
        <f>IF(U375="","",U375)</f>
        <v/>
      </c>
      <c r="I311" s="449" t="str">
        <f>IF(V375="","",V375)</f>
        <v/>
      </c>
      <c r="J311" s="448" t="str">
        <f>IF(W375="","",W375)</f>
        <v/>
      </c>
      <c r="K311" s="416" t="str">
        <f>IF(X375="","",X375)</f>
        <v/>
      </c>
      <c r="L311" s="381" t="str">
        <f>IF(K307="","",IF(MAX(K307:K311)&lt;0.05,"Pass","Fail"))</f>
        <v/>
      </c>
      <c r="M311" s="69"/>
      <c r="O311" s="721">
        <v>4</v>
      </c>
      <c r="P311" s="702"/>
      <c r="Q311" s="702"/>
      <c r="R311" s="702"/>
      <c r="S311" s="702"/>
      <c r="T311" s="702"/>
      <c r="U311" s="702"/>
      <c r="V311" s="702"/>
      <c r="W311" s="702"/>
      <c r="X311" s="702"/>
      <c r="Y311" s="722"/>
      <c r="AA311"/>
      <c r="AB311"/>
      <c r="AC311"/>
      <c r="AD311"/>
      <c r="AE311"/>
      <c r="AF311"/>
      <c r="AG311"/>
      <c r="AH311"/>
      <c r="AI311"/>
      <c r="AJ311"/>
      <c r="AK311"/>
    </row>
    <row r="312" spans="1:37" ht="14.1" customHeight="1">
      <c r="A312" s="17">
        <v>24</v>
      </c>
      <c r="B312" s="67"/>
      <c r="J312" s="456"/>
      <c r="K312" s="373"/>
      <c r="M312" s="69"/>
      <c r="O312" s="850">
        <v>5</v>
      </c>
      <c r="P312" s="851"/>
      <c r="Q312" s="851"/>
      <c r="R312" s="851"/>
      <c r="S312" s="851"/>
      <c r="T312" s="851"/>
      <c r="U312" s="851"/>
      <c r="V312" s="851"/>
      <c r="W312" s="851"/>
      <c r="X312" s="851"/>
      <c r="Y312" s="852"/>
      <c r="AA312"/>
      <c r="AB312"/>
      <c r="AC312"/>
      <c r="AD312"/>
      <c r="AE312"/>
      <c r="AF312"/>
      <c r="AG312"/>
      <c r="AH312"/>
      <c r="AI312"/>
      <c r="AJ312"/>
      <c r="AK312"/>
    </row>
    <row r="313" spans="1:37" ht="14.1" customHeight="1" thickBot="1">
      <c r="A313" s="17">
        <v>25</v>
      </c>
      <c r="B313" s="67"/>
      <c r="M313" s="69"/>
      <c r="O313" s="853">
        <v>6</v>
      </c>
      <c r="P313" s="854"/>
      <c r="Q313" s="855"/>
      <c r="R313" s="854"/>
      <c r="S313" s="855"/>
      <c r="T313" s="854"/>
      <c r="U313" s="855"/>
      <c r="V313" s="854"/>
      <c r="W313" s="855"/>
      <c r="X313" s="854"/>
      <c r="Y313" s="856"/>
      <c r="AA313"/>
      <c r="AB313"/>
      <c r="AC313"/>
      <c r="AD313"/>
      <c r="AE313"/>
      <c r="AF313"/>
      <c r="AG313"/>
      <c r="AH313"/>
      <c r="AI313"/>
      <c r="AJ313"/>
      <c r="AK313"/>
    </row>
    <row r="314" spans="1:37" ht="14.1" customHeight="1">
      <c r="A314" s="17">
        <v>26</v>
      </c>
      <c r="B314" s="67"/>
      <c r="M314" s="69"/>
      <c r="O314" s="723" t="s">
        <v>606</v>
      </c>
      <c r="P314" s="699" t="s">
        <v>609</v>
      </c>
      <c r="Q314" s="867">
        <f>U314-2</f>
        <v>-2</v>
      </c>
      <c r="R314" s="699" t="s">
        <v>608</v>
      </c>
      <c r="S314" s="867">
        <f>U314-1</f>
        <v>-1</v>
      </c>
      <c r="T314" s="699" t="s">
        <v>610</v>
      </c>
      <c r="U314" s="700"/>
      <c r="V314" s="699" t="s">
        <v>611</v>
      </c>
      <c r="W314" s="867">
        <f>U314+1</f>
        <v>1</v>
      </c>
      <c r="X314" s="699" t="s">
        <v>612</v>
      </c>
      <c r="Y314" s="868">
        <f>U314+2</f>
        <v>2</v>
      </c>
      <c r="AA314"/>
      <c r="AB314"/>
      <c r="AC314"/>
      <c r="AD314"/>
      <c r="AE314"/>
      <c r="AF314"/>
      <c r="AG314"/>
      <c r="AH314"/>
      <c r="AI314"/>
      <c r="AJ314"/>
      <c r="AK314"/>
    </row>
    <row r="315" spans="1:37" ht="14.1" customHeight="1">
      <c r="A315" s="17">
        <v>27</v>
      </c>
      <c r="B315" s="67"/>
      <c r="I315" s="4"/>
      <c r="J315" s="4"/>
      <c r="M315" s="69"/>
      <c r="O315" s="721">
        <v>1</v>
      </c>
      <c r="P315" s="702"/>
      <c r="Q315" s="702"/>
      <c r="R315" s="702"/>
      <c r="S315" s="702"/>
      <c r="T315" s="702"/>
      <c r="U315" s="702"/>
      <c r="V315" s="702"/>
      <c r="W315" s="702"/>
      <c r="X315" s="702"/>
      <c r="Y315" s="722"/>
      <c r="AA315"/>
      <c r="AB315"/>
      <c r="AC315"/>
      <c r="AD315"/>
      <c r="AE315"/>
      <c r="AF315"/>
      <c r="AG315"/>
      <c r="AH315"/>
      <c r="AI315"/>
      <c r="AJ315"/>
      <c r="AK315"/>
    </row>
    <row r="316" spans="1:37" ht="14.1" customHeight="1">
      <c r="A316" s="17">
        <v>28</v>
      </c>
      <c r="B316" s="67"/>
      <c r="I316" s="4"/>
      <c r="J316" s="4"/>
      <c r="M316" s="69"/>
      <c r="O316" s="721">
        <v>2</v>
      </c>
      <c r="P316" s="702"/>
      <c r="Q316" s="702"/>
      <c r="R316" s="702"/>
      <c r="S316" s="702"/>
      <c r="T316" s="702"/>
      <c r="U316" s="702"/>
      <c r="V316" s="702"/>
      <c r="W316" s="702"/>
      <c r="X316" s="702"/>
      <c r="Y316" s="722"/>
      <c r="AA316"/>
      <c r="AB316"/>
      <c r="AC316"/>
      <c r="AD316"/>
      <c r="AE316"/>
      <c r="AF316"/>
      <c r="AG316"/>
      <c r="AH316"/>
      <c r="AI316"/>
      <c r="AJ316"/>
      <c r="AK316"/>
    </row>
    <row r="317" spans="1:37" ht="14.1" customHeight="1">
      <c r="A317" s="17">
        <v>29</v>
      </c>
      <c r="B317" s="67"/>
      <c r="I317" s="4"/>
      <c r="J317" s="4"/>
      <c r="M317" s="69"/>
      <c r="O317" s="721">
        <v>3</v>
      </c>
      <c r="P317" s="702"/>
      <c r="Q317" s="702"/>
      <c r="R317" s="702"/>
      <c r="S317" s="702"/>
      <c r="T317" s="702"/>
      <c r="U317" s="702"/>
      <c r="V317" s="702"/>
      <c r="W317" s="702"/>
      <c r="X317" s="702"/>
      <c r="Y317" s="722"/>
      <c r="AA317"/>
      <c r="AB317"/>
      <c r="AC317"/>
      <c r="AD317"/>
      <c r="AE317"/>
      <c r="AF317"/>
      <c r="AG317"/>
      <c r="AH317"/>
      <c r="AI317"/>
      <c r="AJ317"/>
      <c r="AK317"/>
    </row>
    <row r="318" spans="1:37" ht="14.1" customHeight="1">
      <c r="A318" s="17">
        <v>30</v>
      </c>
      <c r="B318" s="67"/>
      <c r="M318" s="69"/>
      <c r="O318" s="721">
        <v>4</v>
      </c>
      <c r="P318" s="702"/>
      <c r="Q318" s="702"/>
      <c r="R318" s="702"/>
      <c r="S318" s="702"/>
      <c r="T318" s="702"/>
      <c r="U318" s="702"/>
      <c r="V318" s="702"/>
      <c r="W318" s="702"/>
      <c r="X318" s="702"/>
      <c r="Y318" s="722"/>
      <c r="AA318"/>
      <c r="AB318"/>
      <c r="AC318"/>
      <c r="AD318"/>
      <c r="AE318"/>
      <c r="AF318"/>
      <c r="AG318"/>
      <c r="AH318"/>
      <c r="AI318"/>
      <c r="AJ318"/>
      <c r="AK318"/>
    </row>
    <row r="319" spans="1:37" ht="14.1" customHeight="1">
      <c r="A319" s="17">
        <v>31</v>
      </c>
      <c r="B319" s="67"/>
      <c r="M319" s="69"/>
      <c r="O319" s="850">
        <v>5</v>
      </c>
      <c r="P319" s="851"/>
      <c r="Q319" s="851"/>
      <c r="R319" s="851"/>
      <c r="S319" s="851"/>
      <c r="T319" s="851"/>
      <c r="U319" s="851"/>
      <c r="V319" s="851"/>
      <c r="W319" s="851"/>
      <c r="X319" s="851"/>
      <c r="Y319" s="852"/>
    </row>
    <row r="320" spans="1:37" ht="14.1" customHeight="1" thickBot="1">
      <c r="A320" s="17">
        <v>32</v>
      </c>
      <c r="B320" s="67"/>
      <c r="M320" s="69"/>
      <c r="O320" s="853">
        <v>6</v>
      </c>
      <c r="P320" s="854"/>
      <c r="Q320" s="855"/>
      <c r="R320" s="854"/>
      <c r="S320" s="855"/>
      <c r="T320" s="854"/>
      <c r="U320" s="855"/>
      <c r="V320" s="854"/>
      <c r="W320" s="855"/>
      <c r="X320" s="854"/>
      <c r="Y320" s="856"/>
    </row>
    <row r="321" spans="1:25" ht="14.1" customHeight="1">
      <c r="A321" s="17">
        <v>33</v>
      </c>
      <c r="B321" s="67"/>
      <c r="M321" s="69"/>
      <c r="O321" s="723" t="s">
        <v>607</v>
      </c>
      <c r="P321" s="699" t="s">
        <v>609</v>
      </c>
      <c r="Q321" s="867">
        <f>U321-2</f>
        <v>-2</v>
      </c>
      <c r="R321" s="699" t="s">
        <v>608</v>
      </c>
      <c r="S321" s="867">
        <f>U321-1</f>
        <v>-1</v>
      </c>
      <c r="T321" s="699" t="s">
        <v>610</v>
      </c>
      <c r="U321" s="700"/>
      <c r="V321" s="699" t="s">
        <v>611</v>
      </c>
      <c r="W321" s="867">
        <f>U321+1</f>
        <v>1</v>
      </c>
      <c r="X321" s="699" t="s">
        <v>612</v>
      </c>
      <c r="Y321" s="868">
        <f>U321+2</f>
        <v>2</v>
      </c>
    </row>
    <row r="322" spans="1:25" ht="14.1" customHeight="1">
      <c r="A322" s="17">
        <v>34</v>
      </c>
      <c r="B322" s="67"/>
      <c r="C322" s="68"/>
      <c r="D322" s="68"/>
      <c r="E322" s="68"/>
      <c r="F322" s="68"/>
      <c r="G322" s="68"/>
      <c r="H322" s="68"/>
      <c r="I322" s="68"/>
      <c r="J322" s="68"/>
      <c r="K322" s="68"/>
      <c r="L322" s="68"/>
      <c r="M322" s="69"/>
      <c r="O322" s="721">
        <v>1</v>
      </c>
      <c r="P322" s="702"/>
      <c r="Q322" s="702"/>
      <c r="R322" s="702"/>
      <c r="S322" s="702"/>
      <c r="T322" s="702"/>
      <c r="U322" s="702"/>
      <c r="V322" s="702"/>
      <c r="W322" s="702"/>
      <c r="X322" s="702"/>
      <c r="Y322" s="722"/>
    </row>
    <row r="323" spans="1:25" ht="14.1" customHeight="1">
      <c r="A323" s="17">
        <v>35</v>
      </c>
      <c r="B323" s="67"/>
      <c r="C323" s="68"/>
      <c r="D323" s="68"/>
      <c r="E323" s="68"/>
      <c r="F323" s="68"/>
      <c r="G323" s="68"/>
      <c r="H323" s="68"/>
      <c r="I323" s="68"/>
      <c r="J323" s="68"/>
      <c r="K323" s="68"/>
      <c r="L323" s="68"/>
      <c r="M323" s="69"/>
      <c r="O323" s="721">
        <v>2</v>
      </c>
      <c r="P323" s="702"/>
      <c r="Q323" s="702"/>
      <c r="R323" s="702"/>
      <c r="S323" s="702"/>
      <c r="T323" s="702"/>
      <c r="U323" s="702"/>
      <c r="V323" s="702"/>
      <c r="W323" s="702"/>
      <c r="X323" s="702"/>
      <c r="Y323" s="722"/>
    </row>
    <row r="324" spans="1:25" ht="14.1" customHeight="1">
      <c r="A324" s="17">
        <v>36</v>
      </c>
      <c r="B324" s="67"/>
      <c r="C324" s="68"/>
      <c r="D324" s="68"/>
      <c r="E324" s="68"/>
      <c r="F324" s="68"/>
      <c r="G324" s="68"/>
      <c r="H324" s="68"/>
      <c r="I324" s="68"/>
      <c r="J324" s="68"/>
      <c r="K324" s="68"/>
      <c r="L324" s="68"/>
      <c r="M324" s="69"/>
      <c r="O324" s="721">
        <v>3</v>
      </c>
      <c r="P324" s="702"/>
      <c r="Q324" s="702"/>
      <c r="R324" s="702"/>
      <c r="S324" s="702"/>
      <c r="T324" s="702"/>
      <c r="U324" s="702"/>
      <c r="V324" s="702"/>
      <c r="W324" s="702"/>
      <c r="X324" s="702"/>
      <c r="Y324" s="722"/>
    </row>
    <row r="325" spans="1:25" ht="14.1" customHeight="1">
      <c r="A325" s="17">
        <v>37</v>
      </c>
      <c r="B325" s="67"/>
      <c r="C325" s="68"/>
      <c r="D325" s="68"/>
      <c r="E325" s="68"/>
      <c r="F325" s="68"/>
      <c r="G325" s="68"/>
      <c r="H325" s="68"/>
      <c r="I325" s="68"/>
      <c r="J325" s="68"/>
      <c r="K325" s="68"/>
      <c r="L325" s="68"/>
      <c r="M325" s="69"/>
      <c r="O325" s="721">
        <v>4</v>
      </c>
      <c r="P325" s="702"/>
      <c r="Q325" s="702"/>
      <c r="R325" s="702"/>
      <c r="S325" s="702"/>
      <c r="T325" s="702"/>
      <c r="U325" s="702"/>
      <c r="V325" s="702"/>
      <c r="W325" s="702"/>
      <c r="X325" s="702"/>
      <c r="Y325" s="722"/>
    </row>
    <row r="326" spans="1:25" ht="14.1" customHeight="1">
      <c r="A326" s="17">
        <v>38</v>
      </c>
      <c r="B326" s="67"/>
      <c r="C326" s="68"/>
      <c r="D326" s="68"/>
      <c r="E326" s="68"/>
      <c r="F326" s="68"/>
      <c r="G326" s="68"/>
      <c r="H326" s="68"/>
      <c r="I326" s="68"/>
      <c r="J326" s="68"/>
      <c r="K326" s="68"/>
      <c r="L326" s="68"/>
      <c r="M326" s="69"/>
      <c r="O326" s="850">
        <v>5</v>
      </c>
      <c r="P326" s="851"/>
      <c r="Q326" s="851"/>
      <c r="R326" s="851"/>
      <c r="S326" s="851"/>
      <c r="T326" s="851"/>
      <c r="U326" s="851"/>
      <c r="V326" s="851"/>
      <c r="W326" s="851"/>
      <c r="X326" s="851"/>
      <c r="Y326" s="852"/>
    </row>
    <row r="327" spans="1:25" ht="14.1" customHeight="1" thickBot="1">
      <c r="A327" s="17">
        <v>39</v>
      </c>
      <c r="B327" s="67"/>
      <c r="C327" s="68"/>
      <c r="D327" s="68"/>
      <c r="E327" s="68"/>
      <c r="F327" s="68"/>
      <c r="G327" s="68"/>
      <c r="H327" s="68"/>
      <c r="I327" s="68"/>
      <c r="J327" s="68"/>
      <c r="K327" s="68"/>
      <c r="L327" s="68"/>
      <c r="M327" s="69"/>
      <c r="O327" s="853">
        <v>6</v>
      </c>
      <c r="P327" s="854"/>
      <c r="Q327" s="855"/>
      <c r="R327" s="854"/>
      <c r="S327" s="855"/>
      <c r="T327" s="854"/>
      <c r="U327" s="855"/>
      <c r="V327" s="854"/>
      <c r="W327" s="855"/>
      <c r="X327" s="854"/>
      <c r="Y327" s="856"/>
    </row>
    <row r="328" spans="1:25" ht="14.1" customHeight="1" thickBot="1">
      <c r="A328" s="17">
        <v>40</v>
      </c>
      <c r="B328" s="67"/>
      <c r="C328" s="68"/>
      <c r="D328" s="68"/>
      <c r="E328" s="68"/>
      <c r="F328" s="68"/>
      <c r="G328" s="68"/>
      <c r="H328" s="68"/>
      <c r="I328" s="68"/>
      <c r="J328" s="68"/>
      <c r="K328" s="68"/>
      <c r="L328" s="68"/>
      <c r="M328" s="69"/>
    </row>
    <row r="329" spans="1:25" ht="14.1" customHeight="1">
      <c r="A329" s="17">
        <v>41</v>
      </c>
      <c r="B329" s="67"/>
      <c r="C329" s="68"/>
      <c r="D329" s="68"/>
      <c r="E329" s="68"/>
      <c r="F329" s="68"/>
      <c r="G329" s="68"/>
      <c r="H329" s="68"/>
      <c r="I329" s="68"/>
      <c r="J329" s="68"/>
      <c r="K329" s="68"/>
      <c r="L329" s="68"/>
      <c r="M329" s="69"/>
      <c r="O329" s="30"/>
      <c r="P329" s="753" t="s">
        <v>605</v>
      </c>
      <c r="Q329" s="754"/>
      <c r="R329" s="754"/>
      <c r="S329" s="754" t="s">
        <v>606</v>
      </c>
      <c r="T329" s="754"/>
      <c r="U329" s="754"/>
      <c r="V329" s="754" t="s">
        <v>607</v>
      </c>
      <c r="W329" s="754"/>
      <c r="X329" s="755"/>
      <c r="Y329" s="32"/>
    </row>
    <row r="330" spans="1:25" ht="14.1" customHeight="1" thickBot="1">
      <c r="A330" s="17">
        <v>42</v>
      </c>
      <c r="B330" s="67"/>
      <c r="C330" s="68"/>
      <c r="D330" s="68"/>
      <c r="E330" s="68"/>
      <c r="F330" s="68"/>
      <c r="G330" s="68"/>
      <c r="H330" s="68"/>
      <c r="I330" s="68"/>
      <c r="J330" s="68"/>
      <c r="K330" s="68"/>
      <c r="L330" s="68"/>
      <c r="M330" s="69"/>
      <c r="O330" s="30"/>
      <c r="P330" s="341" t="s">
        <v>602</v>
      </c>
      <c r="Q330" s="296" t="s">
        <v>603</v>
      </c>
      <c r="R330" s="296" t="s">
        <v>604</v>
      </c>
      <c r="S330" s="296" t="s">
        <v>602</v>
      </c>
      <c r="T330" s="296" t="s">
        <v>603</v>
      </c>
      <c r="U330" s="296" t="s">
        <v>604</v>
      </c>
      <c r="V330" s="296" t="s">
        <v>602</v>
      </c>
      <c r="W330" s="296" t="s">
        <v>603</v>
      </c>
      <c r="X330" s="342" t="s">
        <v>604</v>
      </c>
      <c r="Y330" s="32"/>
    </row>
    <row r="331" spans="1:25" ht="14.1" customHeight="1">
      <c r="A331" s="17">
        <v>43</v>
      </c>
      <c r="B331" s="67"/>
      <c r="C331" s="68"/>
      <c r="D331" s="68"/>
      <c r="E331" s="68"/>
      <c r="F331" s="68"/>
      <c r="G331" s="68"/>
      <c r="H331" s="68"/>
      <c r="I331" s="68"/>
      <c r="J331" s="68"/>
      <c r="K331" s="68"/>
      <c r="L331" s="68"/>
      <c r="M331" s="69"/>
      <c r="O331" s="724" t="s">
        <v>597</v>
      </c>
      <c r="P331" s="457"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8" t="str">
        <f>IF(OR(V331="",W331=""),"",((V331-W331)/($V$333-$W$333)))</f>
        <v/>
      </c>
      <c r="Y331" s="32"/>
    </row>
    <row r="332" spans="1:25" ht="14.1" customHeight="1">
      <c r="A332" s="17">
        <v>44</v>
      </c>
      <c r="B332" s="67"/>
      <c r="C332" s="68"/>
      <c r="D332" s="68"/>
      <c r="E332" s="68"/>
      <c r="F332" s="68"/>
      <c r="G332" s="68"/>
      <c r="H332" s="68"/>
      <c r="I332" s="68"/>
      <c r="J332" s="68"/>
      <c r="K332" s="68"/>
      <c r="L332" s="68"/>
      <c r="M332" s="69"/>
      <c r="O332" s="725" t="s">
        <v>598</v>
      </c>
      <c r="P332" s="457"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8" t="str">
        <f>IF(OR(V332="",W332=""),"",((V332-W332)/($V$333-$W$333)))</f>
        <v/>
      </c>
      <c r="Y332" s="32"/>
    </row>
    <row r="333" spans="1:25" ht="14.1" customHeight="1">
      <c r="A333" s="17">
        <v>45</v>
      </c>
      <c r="B333" s="67"/>
      <c r="C333" s="68"/>
      <c r="D333" s="68"/>
      <c r="E333" s="68"/>
      <c r="F333" s="68"/>
      <c r="G333" s="68"/>
      <c r="H333" s="68"/>
      <c r="I333" s="68"/>
      <c r="J333" s="68"/>
      <c r="K333" s="68"/>
      <c r="L333" s="68"/>
      <c r="M333" s="69"/>
      <c r="O333" s="725" t="s">
        <v>596</v>
      </c>
      <c r="P333" s="457" t="str">
        <f>IF(T308="","",AVERAGE(T308:T313))</f>
        <v/>
      </c>
      <c r="Q333" s="303" t="str">
        <f>IF(U308="","",AVERAGE(U308:U312))</f>
        <v/>
      </c>
      <c r="R333" s="733"/>
      <c r="S333" s="303" t="str">
        <f>IF(T315="","",AVERAGE(T315:T320))</f>
        <v/>
      </c>
      <c r="T333" s="303" t="str">
        <f>IF(U315="","",AVERAGE(U315:U319))</f>
        <v/>
      </c>
      <c r="U333" s="733"/>
      <c r="V333" s="303" t="str">
        <f>IF(T322="","",AVERAGE(T322:T327))</f>
        <v/>
      </c>
      <c r="W333" s="303" t="str">
        <f>IF(U322="","",AVERAGE(U322:U326))</f>
        <v/>
      </c>
      <c r="X333" s="734"/>
      <c r="Y333" s="32"/>
    </row>
    <row r="334" spans="1:25" ht="14.1" customHeight="1">
      <c r="A334" s="17">
        <v>46</v>
      </c>
      <c r="B334" s="67"/>
      <c r="C334" s="68"/>
      <c r="D334" s="68"/>
      <c r="E334" s="68"/>
      <c r="F334" s="68"/>
      <c r="G334" s="68"/>
      <c r="H334" s="68"/>
      <c r="I334" s="68"/>
      <c r="J334" s="68"/>
      <c r="K334" s="68"/>
      <c r="L334" s="68"/>
      <c r="M334" s="69"/>
      <c r="O334" s="725" t="s">
        <v>599</v>
      </c>
      <c r="P334" s="457"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8" t="str">
        <f>IF(OR(V334="",W334=""),"",((V334-W334)/($V$333-$W$333)))</f>
        <v/>
      </c>
      <c r="Y334" s="32"/>
    </row>
    <row r="335" spans="1:25" ht="14.1" customHeight="1" thickBot="1">
      <c r="A335" s="17">
        <v>47</v>
      </c>
      <c r="B335" s="67"/>
      <c r="C335" s="68"/>
      <c r="D335" s="68"/>
      <c r="E335" s="68"/>
      <c r="F335" s="68"/>
      <c r="G335" s="68"/>
      <c r="H335" s="68"/>
      <c r="I335" s="68"/>
      <c r="J335" s="68"/>
      <c r="K335" s="68"/>
      <c r="L335" s="68"/>
      <c r="M335" s="69"/>
      <c r="O335" s="726" t="s">
        <v>600</v>
      </c>
      <c r="P335" s="459" t="str">
        <f>IF(X308="","",AVERAGE(X308:X313))</f>
        <v/>
      </c>
      <c r="Q335" s="448" t="str">
        <f>IF(Y308="","",AVERAGE(Y308:Y312))</f>
        <v/>
      </c>
      <c r="R335" s="448" t="str">
        <f>IF(OR(P335="",Q335=""),"",((P335-Q335)/($P$333-$Q$333)))</f>
        <v/>
      </c>
      <c r="S335" s="448" t="str">
        <f>IF(X315="","",AVERAGE(X315:X320))</f>
        <v/>
      </c>
      <c r="T335" s="448" t="str">
        <f>IF(Y315="","",AVERAGE(Y315:Y319))</f>
        <v/>
      </c>
      <c r="U335" s="448" t="str">
        <f>IF(OR(S335="",T335=""),"",((S335-T335)/($S$333-$T$333)))</f>
        <v/>
      </c>
      <c r="V335" s="448" t="str">
        <f>IF(X322="","",AVERAGE(X322:X327))</f>
        <v/>
      </c>
      <c r="W335" s="448" t="str">
        <f>IF(Y322="","",AVERAGE(Y322:Y326))</f>
        <v/>
      </c>
      <c r="X335" s="735" t="str">
        <f>IF(OR(V335="",W335=""),"",((V335-W335)/($V$333-$W$333)))</f>
        <v/>
      </c>
      <c r="Y335" s="32"/>
    </row>
    <row r="336" spans="1:25" ht="14.1" customHeight="1">
      <c r="A336" s="17">
        <v>48</v>
      </c>
      <c r="B336" s="67"/>
      <c r="C336" s="68"/>
      <c r="D336" s="68"/>
      <c r="E336" s="68"/>
      <c r="F336" s="68"/>
      <c r="G336" s="68"/>
      <c r="H336" s="68"/>
      <c r="I336" s="68"/>
      <c r="J336" s="68"/>
      <c r="K336" s="68"/>
      <c r="L336" s="68"/>
      <c r="M336" s="69"/>
      <c r="O336" s="30"/>
      <c r="P336" s="425" t="s">
        <v>614</v>
      </c>
      <c r="Q336" s="441" t="str">
        <f>IF(OR(R332="",R334=""),"",AVERAGE(R332,R334))</f>
        <v/>
      </c>
      <c r="R336" s="755" t="str">
        <f>IF(Q336="","",IF(Q336&lt;0.9,"Pass","Fail"))</f>
        <v/>
      </c>
      <c r="S336" s="425" t="s">
        <v>614</v>
      </c>
      <c r="T336" s="441" t="str">
        <f>IF(OR(U332="",U334=""),"",AVERAGE(U332,U334))</f>
        <v/>
      </c>
      <c r="U336" s="755" t="str">
        <f>IF(T336="","",IF(T336&lt;0.9,"Pass","Fail"))</f>
        <v/>
      </c>
      <c r="V336" s="425" t="s">
        <v>614</v>
      </c>
      <c r="W336" s="441" t="str">
        <f>IF(OR(X332="",X334=""),"",AVERAGE(X332,X334))</f>
        <v/>
      </c>
      <c r="X336" s="755" t="str">
        <f>IF(W336="","",IF(W336&lt;0.9,"Pass","Fail"))</f>
        <v/>
      </c>
      <c r="Y336" s="32"/>
    </row>
    <row r="337" spans="1:25" ht="14.1" customHeight="1" thickBot="1">
      <c r="A337" s="17">
        <v>49</v>
      </c>
      <c r="B337" s="67"/>
      <c r="M337" s="69"/>
      <c r="O337" s="30"/>
      <c r="P337" s="427" t="s">
        <v>615</v>
      </c>
      <c r="Q337" s="448" t="str">
        <f>IF(OR(R331="",R335=""),"",AVERAGE(R331,R335))</f>
        <v/>
      </c>
      <c r="R337" s="392" t="str">
        <f>IF(Q337="","",IF(Q337&lt;0.6,"Pass","Fail"))</f>
        <v/>
      </c>
      <c r="S337" s="427" t="s">
        <v>615</v>
      </c>
      <c r="T337" s="448" t="str">
        <f>IF(OR(U331="",U335=""),"",AVERAGE(U331,U335))</f>
        <v/>
      </c>
      <c r="U337" s="392" t="str">
        <f>IF(T337="","",IF(T337&lt;0.6,"Pass","Fail"))</f>
        <v/>
      </c>
      <c r="V337" s="427" t="s">
        <v>615</v>
      </c>
      <c r="W337" s="448" t="str">
        <f>IF(OR(X331="",X335=""),"",AVERAGE(X331,X335))</f>
        <v/>
      </c>
      <c r="X337" s="392" t="str">
        <f>IF(W337="","",IF(W337&lt;0.6,"Pass","Fail"))</f>
        <v/>
      </c>
      <c r="Y337" s="32"/>
    </row>
    <row r="338" spans="1:25" ht="14.1" customHeight="1">
      <c r="A338" s="17">
        <v>50</v>
      </c>
      <c r="B338" s="67"/>
      <c r="M338" s="69"/>
      <c r="O338" s="30" t="s">
        <v>320</v>
      </c>
      <c r="P338" s="425" t="s">
        <v>614</v>
      </c>
      <c r="Q338" s="715" t="str">
        <f>IF(AB128="","",AB128)</f>
        <v/>
      </c>
      <c r="R338" s="68"/>
      <c r="S338" s="425" t="s">
        <v>614</v>
      </c>
      <c r="T338" s="715" t="str">
        <f>IF(AB130="","",AB130)</f>
        <v/>
      </c>
      <c r="U338" s="68"/>
      <c r="V338" s="425" t="s">
        <v>614</v>
      </c>
      <c r="W338" s="715" t="str">
        <f>IF(AB132="","",AB132)</f>
        <v/>
      </c>
      <c r="X338" s="68"/>
      <c r="Y338" s="32"/>
    </row>
    <row r="339" spans="1:25" ht="14.1" customHeight="1" thickBot="1">
      <c r="A339" s="17">
        <v>51</v>
      </c>
      <c r="B339" s="67"/>
      <c r="M339" s="69"/>
      <c r="O339" s="30"/>
      <c r="P339" s="427" t="s">
        <v>615</v>
      </c>
      <c r="Q339" s="714" t="str">
        <f>IF(AB129="","",AB129)</f>
        <v/>
      </c>
      <c r="R339" s="68"/>
      <c r="S339" s="427" t="s">
        <v>615</v>
      </c>
      <c r="T339" s="714" t="str">
        <f>IF(AB131="","",AB131)</f>
        <v/>
      </c>
      <c r="U339" s="68"/>
      <c r="V339" s="427" t="s">
        <v>615</v>
      </c>
      <c r="W339" s="714" t="str">
        <f>IF(AB133="","",AB133)</f>
        <v/>
      </c>
      <c r="X339" s="68"/>
      <c r="Y339" s="32"/>
    </row>
    <row r="340" spans="1:25" ht="14.1" customHeight="1">
      <c r="A340" s="17">
        <v>52</v>
      </c>
      <c r="B340" s="67"/>
      <c r="M340" s="69"/>
      <c r="O340" s="30"/>
      <c r="P340" s="3" t="s">
        <v>203</v>
      </c>
      <c r="Q340" s="101" t="s">
        <v>622</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341</v>
      </c>
      <c r="D342" s="68"/>
      <c r="E342" s="68"/>
      <c r="F342" s="68"/>
      <c r="G342" s="68"/>
      <c r="H342" s="68"/>
      <c r="I342" s="68"/>
      <c r="J342" s="68"/>
      <c r="K342" s="68"/>
      <c r="L342" s="68"/>
      <c r="M342" s="69"/>
      <c r="O342" s="136" t="s">
        <v>617</v>
      </c>
      <c r="P342" s="23"/>
      <c r="Q342" s="23"/>
      <c r="R342" s="23"/>
      <c r="S342" s="23"/>
      <c r="T342" s="23"/>
      <c r="U342" s="23"/>
      <c r="V342" s="23"/>
      <c r="W342" s="23"/>
      <c r="X342" s="23"/>
      <c r="Y342" s="24"/>
    </row>
    <row r="343" spans="1:25" ht="14.1" customHeight="1">
      <c r="A343" s="17">
        <v>55</v>
      </c>
      <c r="B343" s="67"/>
      <c r="C343" s="162"/>
      <c r="D343" s="322" t="s">
        <v>94</v>
      </c>
      <c r="E343" s="323" t="str">
        <f>Q379</f>
        <v>/</v>
      </c>
      <c r="F343" s="456" t="s">
        <v>172</v>
      </c>
      <c r="G343" s="461">
        <f>S379</f>
        <v>28</v>
      </c>
      <c r="H343" s="24"/>
      <c r="I343" s="322" t="s">
        <v>94</v>
      </c>
      <c r="J343" s="323" t="str">
        <f>V379</f>
        <v>/</v>
      </c>
      <c r="K343" s="324" t="s">
        <v>172</v>
      </c>
      <c r="L343" s="589">
        <f>X379</f>
        <v>28</v>
      </c>
      <c r="M343" s="476"/>
      <c r="O343" s="30"/>
      <c r="P343" s="753" t="s">
        <v>618</v>
      </c>
      <c r="Q343" s="754" t="s">
        <v>619</v>
      </c>
      <c r="R343" s="754" t="s">
        <v>620</v>
      </c>
      <c r="S343" s="755" t="s">
        <v>621</v>
      </c>
      <c r="T343" s="68"/>
      <c r="U343" s="68" t="s">
        <v>320</v>
      </c>
      <c r="V343" s="753" t="s">
        <v>618</v>
      </c>
      <c r="W343" s="754" t="s">
        <v>619</v>
      </c>
      <c r="X343" s="754" t="s">
        <v>620</v>
      </c>
      <c r="Y343" s="727" t="s">
        <v>621</v>
      </c>
    </row>
    <row r="344" spans="1:25" ht="14.1" customHeight="1">
      <c r="A344" s="17">
        <v>56</v>
      </c>
      <c r="B344" s="67"/>
      <c r="C344" s="162"/>
      <c r="D344" s="466"/>
      <c r="E344" s="68"/>
      <c r="F344" s="162" t="s">
        <v>218</v>
      </c>
      <c r="G344" s="590">
        <f>S380</f>
        <v>50</v>
      </c>
      <c r="H344" s="209"/>
      <c r="I344" s="68"/>
      <c r="J344" s="68"/>
      <c r="K344" s="162" t="s">
        <v>218</v>
      </c>
      <c r="L344" s="590">
        <f>X380</f>
        <v>50</v>
      </c>
      <c r="M344" s="69"/>
      <c r="O344" s="161" t="s">
        <v>186</v>
      </c>
      <c r="P344" s="736"/>
      <c r="Q344" s="702"/>
      <c r="R344" s="702"/>
      <c r="S344" s="737"/>
      <c r="T344" s="68"/>
      <c r="U344" s="162" t="s">
        <v>186</v>
      </c>
      <c r="V344" s="711" t="str">
        <f>IF(AB135="","",AB135)</f>
        <v/>
      </c>
      <c r="W344" s="716" t="str">
        <f>IF(AB139="","",AB139)</f>
        <v/>
      </c>
      <c r="X344" s="716" t="str">
        <f>IF(AB143="","",AB143)</f>
        <v/>
      </c>
      <c r="Y344" s="728" t="str">
        <f>IF(AB147="","",AB147)</f>
        <v/>
      </c>
    </row>
    <row r="345" spans="1:25" ht="14.1" customHeight="1" thickBot="1">
      <c r="A345" s="17">
        <v>57</v>
      </c>
      <c r="B345" s="67"/>
      <c r="C345" s="107"/>
      <c r="D345" s="330" t="s">
        <v>24</v>
      </c>
      <c r="E345" s="331" t="s">
        <v>25</v>
      </c>
      <c r="F345" s="331" t="s">
        <v>26</v>
      </c>
      <c r="G345" s="331" t="s">
        <v>336</v>
      </c>
      <c r="H345" s="332" t="s">
        <v>337</v>
      </c>
      <c r="I345" s="330" t="s">
        <v>24</v>
      </c>
      <c r="J345" s="331" t="s">
        <v>25</v>
      </c>
      <c r="K345" s="331" t="s">
        <v>26</v>
      </c>
      <c r="L345" s="331" t="s">
        <v>336</v>
      </c>
      <c r="M345" s="477" t="s">
        <v>337</v>
      </c>
      <c r="O345" s="161" t="s">
        <v>188</v>
      </c>
      <c r="P345" s="736"/>
      <c r="Q345" s="702"/>
      <c r="R345" s="702"/>
      <c r="S345" s="737"/>
      <c r="T345" s="68"/>
      <c r="U345" s="162" t="s">
        <v>188</v>
      </c>
      <c r="V345" s="711" t="str">
        <f>IF(AB136="","",AB136)</f>
        <v/>
      </c>
      <c r="W345" s="716" t="str">
        <f>IF(AB140="","",AB140)</f>
        <v/>
      </c>
      <c r="X345" s="716" t="str">
        <f>IF(AB144="","",AB144)</f>
        <v/>
      </c>
      <c r="Y345" s="728" t="str">
        <f>IF(AB148="","",AB148)</f>
        <v/>
      </c>
    </row>
    <row r="346" spans="1:25" ht="14.1" customHeight="1" thickBot="1">
      <c r="A346" s="17">
        <v>58</v>
      </c>
      <c r="B346" s="67"/>
      <c r="C346" s="107"/>
      <c r="D346" s="460" t="str">
        <f>IF(P382="","",P382)</f>
        <v/>
      </c>
      <c r="E346" s="450" t="str">
        <f>IF(Q382="","",Q382)</f>
        <v/>
      </c>
      <c r="F346" s="450" t="str">
        <f>IF(R382="","",R382)</f>
        <v/>
      </c>
      <c r="G346" s="451" t="str">
        <f>IF(S382="","",S382)</f>
        <v/>
      </c>
      <c r="H346" s="462" t="str">
        <f>IF(T382="","",T382)</f>
        <v/>
      </c>
      <c r="I346" s="465" t="str">
        <f>IF(U382="","",U382)</f>
        <v/>
      </c>
      <c r="J346" s="441" t="str">
        <f>IF(V382="","",V382)</f>
        <v/>
      </c>
      <c r="K346" s="441" t="str">
        <f>IF(W382="","",W382)</f>
        <v/>
      </c>
      <c r="L346" s="442" t="str">
        <f>IF(X382="","",X382)</f>
        <v/>
      </c>
      <c r="M346" s="478" t="str">
        <f>IF(Y382="","",Y382)</f>
        <v/>
      </c>
      <c r="O346" s="161" t="s">
        <v>190</v>
      </c>
      <c r="P346" s="736"/>
      <c r="Q346" s="702"/>
      <c r="R346" s="702"/>
      <c r="S346" s="737"/>
      <c r="T346" s="68"/>
      <c r="U346" s="162" t="s">
        <v>190</v>
      </c>
      <c r="V346" s="713" t="str">
        <f>IF(AB137="","",AB137)</f>
        <v/>
      </c>
      <c r="W346" s="717" t="str">
        <f>IF(AB141="","",AB141)</f>
        <v/>
      </c>
      <c r="X346" s="717" t="str">
        <f>IF(AB145="","",AB145)</f>
        <v/>
      </c>
      <c r="Y346" s="729" t="str">
        <f>IF(AB149="","",AB149)</f>
        <v/>
      </c>
    </row>
    <row r="347" spans="1:25" ht="14.1" customHeight="1" thickBot="1">
      <c r="A347" s="17">
        <v>59</v>
      </c>
      <c r="B347" s="67"/>
      <c r="C347" s="107"/>
      <c r="D347" s="457" t="str">
        <f>IF(P383="","",P383)</f>
        <v/>
      </c>
      <c r="E347" s="303" t="str">
        <f>IF(Q383="","",Q383)</f>
        <v/>
      </c>
      <c r="F347" s="303" t="str">
        <f>IF(R383="","",R383)</f>
        <v/>
      </c>
      <c r="G347" s="297" t="str">
        <f>IF(S383="","",S383)</f>
        <v/>
      </c>
      <c r="H347" s="463" t="str">
        <f>IF(T383="","",T383)</f>
        <v/>
      </c>
      <c r="I347" s="457" t="str">
        <f>IF(U383="","",U383)</f>
        <v/>
      </c>
      <c r="J347" s="303" t="str">
        <f>IF(V383="","",V383)</f>
        <v/>
      </c>
      <c r="K347" s="303" t="str">
        <f>IF(W383="","",W383)</f>
        <v/>
      </c>
      <c r="L347" s="297" t="str">
        <f>IF(X383="","",X383)</f>
        <v/>
      </c>
      <c r="M347" s="479" t="str">
        <f>IF(Y383="","",Y383)</f>
        <v/>
      </c>
      <c r="O347" s="161" t="s">
        <v>217</v>
      </c>
      <c r="P347" s="391" t="str">
        <f>IF(OR(P344="",P345="",P346=""),"",IF(AND(P344&gt;=4,P345&gt;=3,P346&gt;=3),"Pass","Fail"))</f>
        <v/>
      </c>
      <c r="Q347" s="447" t="str">
        <f>IF(OR(Q344="",Q345="",Q346=""),"",IF(AND(Q344&gt;=4,Q345&gt;=3,Q346&gt;=3),"Pass","Fail"))</f>
        <v/>
      </c>
      <c r="R347" s="447" t="str">
        <f t="shared" ref="R347:S347" si="49">IF(OR(R344="",R345="",R346=""),"",IF(AND(R344&gt;=4,R345&gt;=3,R346&gt;=3),"Pass","Fail"))</f>
        <v/>
      </c>
      <c r="S347" s="392" t="str">
        <f t="shared" si="49"/>
        <v/>
      </c>
      <c r="T347" s="68"/>
      <c r="U347" s="730"/>
      <c r="V347" s="730"/>
      <c r="W347" s="730"/>
      <c r="X347" s="730"/>
      <c r="Y347" s="731"/>
    </row>
    <row r="348" spans="1:25" ht="14.1" customHeight="1">
      <c r="A348" s="17">
        <v>60</v>
      </c>
      <c r="B348" s="67"/>
      <c r="C348" s="107"/>
      <c r="D348" s="457" t="str">
        <f>IF(P384="","",P384)</f>
        <v/>
      </c>
      <c r="E348" s="303" t="str">
        <f>IF(Q384="","",Q384)</f>
        <v/>
      </c>
      <c r="F348" s="303" t="str">
        <f>IF(R384="","",R384)</f>
        <v/>
      </c>
      <c r="G348" s="297" t="str">
        <f>IF(S384="","",S384)</f>
        <v/>
      </c>
      <c r="H348" s="463" t="str">
        <f>IF(T384="","",T384)</f>
        <v/>
      </c>
      <c r="I348" s="457" t="str">
        <f>IF(U384="","",U384)</f>
        <v/>
      </c>
      <c r="J348" s="303" t="str">
        <f>IF(V384="","",V384)</f>
        <v/>
      </c>
      <c r="K348" s="303" t="str">
        <f>IF(W384="","",W384)</f>
        <v/>
      </c>
      <c r="L348" s="297" t="str">
        <f>IF(X384="","",X384)</f>
        <v/>
      </c>
      <c r="M348" s="479" t="str">
        <f>IF(Y384="","",Y384)</f>
        <v/>
      </c>
      <c r="O348" s="30"/>
      <c r="P348" s="3" t="s">
        <v>203</v>
      </c>
      <c r="Q348" s="101" t="s">
        <v>623</v>
      </c>
      <c r="R348" s="68"/>
      <c r="S348" s="68"/>
      <c r="T348" s="68"/>
      <c r="U348" s="68"/>
      <c r="V348" s="68"/>
      <c r="W348" s="68"/>
      <c r="X348" s="68"/>
      <c r="Y348" s="32"/>
    </row>
    <row r="349" spans="1:25" ht="14.1" customHeight="1" thickBot="1">
      <c r="A349" s="17">
        <v>61</v>
      </c>
      <c r="B349" s="67"/>
      <c r="C349" s="107"/>
      <c r="D349" s="459" t="str">
        <f>IF(P385="","",P385)</f>
        <v/>
      </c>
      <c r="E349" s="448" t="str">
        <f>IF(Q385="","",Q385)</f>
        <v/>
      </c>
      <c r="F349" s="448" t="str">
        <f>IF(R385="","",R385)</f>
        <v/>
      </c>
      <c r="G349" s="449" t="str">
        <f>IF(S385="","",S385)</f>
        <v/>
      </c>
      <c r="H349" s="464" t="str">
        <f>IF(T385="","",T385)</f>
        <v/>
      </c>
      <c r="I349" s="459" t="str">
        <f>IF(U385="","",U385)</f>
        <v/>
      </c>
      <c r="J349" s="448" t="str">
        <f>IF(V385="","",V385)</f>
        <v/>
      </c>
      <c r="K349" s="448" t="str">
        <f>IF(W385="","",W385)</f>
        <v/>
      </c>
      <c r="L349" s="449" t="str">
        <f>IF(X385="","",X385)</f>
        <v/>
      </c>
      <c r="M349" s="480" t="str">
        <f>IF(Y385="","",Y385)</f>
        <v/>
      </c>
      <c r="O349" s="96"/>
      <c r="P349" s="68" t="s">
        <v>648</v>
      </c>
      <c r="Q349" s="68"/>
      <c r="R349" s="68"/>
      <c r="S349" s="68"/>
      <c r="T349" s="68"/>
      <c r="U349" s="68"/>
      <c r="V349" s="68"/>
      <c r="W349" s="68"/>
      <c r="X349" s="68"/>
      <c r="Y349" s="32"/>
    </row>
    <row r="350" spans="1:25" ht="14.1" customHeight="1">
      <c r="A350" s="17">
        <v>62</v>
      </c>
      <c r="B350" s="67"/>
      <c r="C350" s="162" t="s">
        <v>209</v>
      </c>
      <c r="D350" s="460" t="str">
        <f>IF(P386="","",P386)</f>
        <v/>
      </c>
      <c r="E350" s="450" t="str">
        <f>IF(Q386="","",Q386)</f>
        <v/>
      </c>
      <c r="F350" s="450" t="str">
        <f>IF(R386="","",R386)</f>
        <v/>
      </c>
      <c r="G350" s="451" t="str">
        <f>IF(S386="","",S386)</f>
        <v/>
      </c>
      <c r="H350" s="462" t="str">
        <f>IF(T386="","",T386)</f>
        <v/>
      </c>
      <c r="I350" s="460" t="str">
        <f>IF(U386="","",U386)</f>
        <v/>
      </c>
      <c r="J350" s="450" t="str">
        <f>IF(V386="","",V386)</f>
        <v/>
      </c>
      <c r="K350" s="450" t="str">
        <f>IF(W386="","",W386)</f>
        <v/>
      </c>
      <c r="L350" s="451" t="str">
        <f>IF(X386="","",X386)</f>
        <v/>
      </c>
      <c r="M350" s="481" t="str">
        <f>IF(Y386="","",Y386)</f>
        <v/>
      </c>
      <c r="O350" s="96"/>
      <c r="P350" s="68" t="s">
        <v>616</v>
      </c>
      <c r="Q350" s="68"/>
      <c r="R350" s="68"/>
      <c r="S350" s="68"/>
      <c r="T350" s="68"/>
      <c r="U350" s="68"/>
      <c r="V350" s="68"/>
      <c r="W350" s="68"/>
      <c r="X350" s="68"/>
      <c r="Y350" s="32"/>
    </row>
    <row r="351" spans="1:25" ht="14.1" customHeight="1">
      <c r="A351" s="17">
        <v>63</v>
      </c>
      <c r="B351" s="67"/>
      <c r="C351" s="162" t="s">
        <v>342</v>
      </c>
      <c r="D351" s="457" t="str">
        <f>IF(P387="","",P387)</f>
        <v/>
      </c>
      <c r="E351" s="303" t="str">
        <f>IF(Q387="","",Q387)</f>
        <v/>
      </c>
      <c r="F351" s="303" t="str">
        <f>IF(R387="","",R387)</f>
        <v/>
      </c>
      <c r="G351" s="297" t="str">
        <f>IF(S387="","",S387)</f>
        <v/>
      </c>
      <c r="H351" s="463" t="str">
        <f>IF(T387="","",T387)</f>
        <v/>
      </c>
      <c r="I351" s="457" t="str">
        <f>IF(U387="","",U387)</f>
        <v/>
      </c>
      <c r="J351" s="303" t="str">
        <f>IF(V387="","",V387)</f>
        <v/>
      </c>
      <c r="K351" s="303" t="str">
        <f>IF(W387="","",W387)</f>
        <v/>
      </c>
      <c r="L351" s="297" t="str">
        <f>IF(X387="","",X387)</f>
        <v/>
      </c>
      <c r="M351" s="479" t="str">
        <f>IF(Y387="","",Y387)</f>
        <v/>
      </c>
      <c r="O351" s="96"/>
      <c r="P351" s="68" t="s">
        <v>624</v>
      </c>
      <c r="Q351" s="68"/>
      <c r="R351" s="68"/>
      <c r="S351" s="68"/>
      <c r="T351" s="68"/>
      <c r="U351" s="68"/>
      <c r="V351" s="68"/>
      <c r="W351" s="68"/>
      <c r="X351" s="68"/>
      <c r="Y351" s="32"/>
    </row>
    <row r="352" spans="1:25" ht="14.1" customHeight="1" thickBot="1">
      <c r="A352" s="17">
        <v>64</v>
      </c>
      <c r="B352" s="67"/>
      <c r="C352" s="320" t="s">
        <v>273</v>
      </c>
      <c r="D352" s="414" t="str">
        <f>IF(P388="","",P388)</f>
        <v/>
      </c>
      <c r="E352" s="475"/>
      <c r="F352" s="415" t="str">
        <f>IF(R388="","",R388)</f>
        <v/>
      </c>
      <c r="G352" s="415" t="str">
        <f>IF(S388="","",S388)</f>
        <v/>
      </c>
      <c r="H352" s="474"/>
      <c r="I352" s="414" t="str">
        <f>IF(U388="","",U388)</f>
        <v/>
      </c>
      <c r="J352" s="475"/>
      <c r="K352" s="415" t="str">
        <f>IF(W388="","",W388)</f>
        <v/>
      </c>
      <c r="L352" s="415" t="str">
        <f>IF(X388="","",X388)</f>
        <v/>
      </c>
      <c r="M352" s="482"/>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3" t="s">
        <v>542</v>
      </c>
      <c r="H353" s="381" t="str">
        <f>IF(H350="","",IF(H350&gt;7,"Pass","Fail"))</f>
        <v/>
      </c>
      <c r="I353" s="68"/>
      <c r="J353" s="68"/>
      <c r="K353" s="68"/>
      <c r="L353" s="162" t="s">
        <v>543</v>
      </c>
      <c r="M353" s="483" t="str">
        <f>IF(M350="","",IF(M350&gt;2,"Pass","Fail"))</f>
        <v/>
      </c>
      <c r="O353" s="136" t="s">
        <v>329</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331</v>
      </c>
      <c r="P354" s="137"/>
      <c r="R354" s="35" t="s">
        <v>332</v>
      </c>
      <c r="S354" s="264"/>
      <c r="Y354" s="32"/>
    </row>
    <row r="355" spans="1:25" ht="14.1" customHeight="1">
      <c r="A355" s="17">
        <v>67</v>
      </c>
      <c r="B355" s="67"/>
      <c r="C355" s="68"/>
      <c r="D355" s="3" t="s">
        <v>203</v>
      </c>
      <c r="E355" s="101" t="s">
        <v>345</v>
      </c>
      <c r="F355" s="68"/>
      <c r="G355" s="68"/>
      <c r="H355" s="68"/>
      <c r="I355" s="68"/>
      <c r="J355" s="68"/>
      <c r="K355" s="68"/>
      <c r="L355" s="68"/>
      <c r="M355" s="69"/>
      <c r="O355" s="30" t="s">
        <v>333</v>
      </c>
      <c r="P355" s="137"/>
      <c r="R355" s="35" t="s">
        <v>334</v>
      </c>
      <c r="S355" s="264"/>
      <c r="Y355" s="32"/>
    </row>
    <row r="356" spans="1:25" ht="14.1" customHeight="1">
      <c r="A356" s="17">
        <v>68</v>
      </c>
      <c r="B356" s="67"/>
      <c r="C356" s="68"/>
      <c r="D356" s="68"/>
      <c r="E356" s="101" t="s">
        <v>346</v>
      </c>
      <c r="F356" s="68"/>
      <c r="G356" s="68"/>
      <c r="H356" s="68"/>
      <c r="I356" s="68"/>
      <c r="J356" s="68"/>
      <c r="K356" s="68"/>
      <c r="L356" s="68"/>
      <c r="M356" s="69"/>
      <c r="O356" s="30"/>
      <c r="S356" s="752" t="s">
        <v>335</v>
      </c>
      <c r="T356" s="752"/>
      <c r="U356" s="752"/>
      <c r="V356" s="752"/>
      <c r="W356" s="752"/>
      <c r="Y356" s="32"/>
    </row>
    <row r="357" spans="1:25" ht="14.1" customHeight="1">
      <c r="A357" s="17">
        <v>69</v>
      </c>
      <c r="B357" s="67"/>
      <c r="C357" s="68"/>
      <c r="D357" s="68"/>
      <c r="E357" s="101" t="s">
        <v>347</v>
      </c>
      <c r="F357" s="68"/>
      <c r="G357" s="68"/>
      <c r="H357" s="68"/>
      <c r="I357" s="68"/>
      <c r="J357" s="68"/>
      <c r="K357" s="68"/>
      <c r="L357" s="68"/>
      <c r="M357" s="69"/>
      <c r="O357" s="30"/>
      <c r="P357" s="21" t="s">
        <v>70</v>
      </c>
      <c r="Q357" s="752" t="s">
        <v>268</v>
      </c>
      <c r="R357" s="752" t="s">
        <v>71</v>
      </c>
      <c r="S357" s="752" t="s">
        <v>24</v>
      </c>
      <c r="T357" s="752" t="s">
        <v>25</v>
      </c>
      <c r="U357" s="752" t="s">
        <v>26</v>
      </c>
      <c r="V357" s="752" t="s">
        <v>336</v>
      </c>
      <c r="W357" s="752" t="s">
        <v>337</v>
      </c>
      <c r="X357" s="752" t="s">
        <v>514</v>
      </c>
      <c r="Y357" s="32"/>
    </row>
    <row r="358" spans="1:25" ht="14.1" customHeight="1" thickBot="1">
      <c r="A358" s="17">
        <v>70</v>
      </c>
      <c r="B358" s="80"/>
      <c r="C358" s="81"/>
      <c r="D358" s="81"/>
      <c r="E358" s="81"/>
      <c r="F358" s="81"/>
      <c r="G358" s="81"/>
      <c r="H358" s="81"/>
      <c r="I358" s="81"/>
      <c r="J358" s="81"/>
      <c r="K358" s="81"/>
      <c r="L358" s="81"/>
      <c r="M358" s="82"/>
      <c r="O358" s="30"/>
      <c r="P358" s="746"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10</v>
      </c>
      <c r="D359" s="379" t="str">
        <f>IF($P$7="","",$P$7)</f>
        <v/>
      </c>
      <c r="E359" s="27"/>
      <c r="F359" s="27"/>
      <c r="G359" s="27"/>
      <c r="H359" s="27"/>
      <c r="I359" s="27"/>
      <c r="J359" s="27"/>
      <c r="K359" s="27"/>
      <c r="L359" s="109" t="s">
        <v>11</v>
      </c>
      <c r="M359" s="380" t="str">
        <f>IF($X$7="","",$X$7)</f>
        <v>Eugene Mah</v>
      </c>
      <c r="O359" s="30"/>
      <c r="P359" s="747"/>
      <c r="Q359" s="310">
        <f>AH18</f>
        <v>25</v>
      </c>
      <c r="R359" s="11">
        <f>AI18</f>
        <v>50</v>
      </c>
      <c r="S359" s="12" t="str">
        <f>IF(AQ18="","",AVERAGE(AQ18,AQ19))</f>
        <v/>
      </c>
      <c r="T359" s="12" t="str">
        <f>IF(AN18="","",AN18)</f>
        <v/>
      </c>
      <c r="U359" s="12" t="str">
        <f>IF(AO18="","",AO18)</f>
        <v/>
      </c>
      <c r="V359" s="13" t="str">
        <f t="shared" ref="V359:V363" si="50">IF(U359="","",U359/R359)</f>
        <v/>
      </c>
      <c r="W359" s="12" t="str">
        <f t="shared" ref="W359:W363" si="51">IF(U359="","",U359/(T359/1000))</f>
        <v/>
      </c>
      <c r="X359" s="15" t="str">
        <f t="shared" ref="X359:X363" si="52">IF(S359="","",(S359-Q359)/Q359)</f>
        <v/>
      </c>
      <c r="Y359" s="32"/>
    </row>
    <row r="360" spans="1:25" ht="14.1" customHeight="1">
      <c r="A360" s="17">
        <v>72</v>
      </c>
      <c r="C360" s="109" t="s">
        <v>120</v>
      </c>
      <c r="D360" s="494" t="str">
        <f>IF($R$14="","",$R$14)</f>
        <v/>
      </c>
      <c r="E360" s="27"/>
      <c r="F360" s="27"/>
      <c r="G360" s="27"/>
      <c r="H360" s="27"/>
      <c r="I360" s="27"/>
      <c r="J360" s="27"/>
      <c r="K360" s="27"/>
      <c r="L360" s="109" t="s">
        <v>36</v>
      </c>
      <c r="M360" s="494" t="str">
        <f>IF($R$13="","",$R$13)</f>
        <v/>
      </c>
      <c r="O360" s="30"/>
      <c r="P360" s="747"/>
      <c r="Q360" s="309">
        <f>AH26</f>
        <v>26</v>
      </c>
      <c r="R360" s="11">
        <f>AI26</f>
        <v>50</v>
      </c>
      <c r="S360" s="12" t="str">
        <f>IF(AQ26="","",AQ26)</f>
        <v/>
      </c>
      <c r="T360" s="12" t="str">
        <f>IF(AN26="","",AN26)</f>
        <v/>
      </c>
      <c r="U360" s="12" t="str">
        <f>IF(AO26="","",AO26)</f>
        <v/>
      </c>
      <c r="V360" s="13" t="str">
        <f t="shared" si="50"/>
        <v/>
      </c>
      <c r="W360" s="12" t="str">
        <f t="shared" si="51"/>
        <v/>
      </c>
      <c r="X360" s="15" t="str">
        <f t="shared" si="52"/>
        <v/>
      </c>
      <c r="Y360" s="32"/>
    </row>
    <row r="361" spans="1:25" ht="14.1" customHeight="1">
      <c r="A361" s="17">
        <v>1</v>
      </c>
      <c r="B361" s="68"/>
      <c r="C361" s="68"/>
      <c r="D361" s="68"/>
      <c r="E361" s="68"/>
      <c r="F361" s="68"/>
      <c r="G361" s="68"/>
      <c r="H361" s="68"/>
      <c r="I361" s="68"/>
      <c r="J361" s="68"/>
      <c r="K361" s="68"/>
      <c r="L361" s="68"/>
      <c r="M361" s="575" t="str">
        <f>$H$2</f>
        <v>Medical University of South Carolina</v>
      </c>
      <c r="O361" s="30"/>
      <c r="P361" s="747"/>
      <c r="Q361" s="309">
        <f>AH28</f>
        <v>28</v>
      </c>
      <c r="R361" s="11">
        <f>AI28</f>
        <v>50</v>
      </c>
      <c r="S361" s="12" t="str">
        <f>IF(AQ28="","",AVERAGE(AQ27:AQ31))</f>
        <v/>
      </c>
      <c r="T361" s="12" t="str">
        <f>IF(AN28="","",AN28)</f>
        <v/>
      </c>
      <c r="U361" s="12" t="str">
        <f>IF(AO28="","",AO28)</f>
        <v/>
      </c>
      <c r="V361" s="13" t="str">
        <f t="shared" si="50"/>
        <v/>
      </c>
      <c r="W361" s="12" t="str">
        <f t="shared" si="51"/>
        <v/>
      </c>
      <c r="X361" s="15" t="str">
        <f t="shared" si="52"/>
        <v/>
      </c>
      <c r="Y361" s="32"/>
    </row>
    <row r="362" spans="1:25" ht="14.1" customHeight="1" thickBot="1">
      <c r="A362" s="17">
        <v>2</v>
      </c>
      <c r="B362" s="81"/>
      <c r="C362" s="81"/>
      <c r="D362" s="81"/>
      <c r="E362" s="81"/>
      <c r="F362" s="81"/>
      <c r="G362" s="81"/>
      <c r="H362" s="576" t="s">
        <v>72</v>
      </c>
      <c r="I362" s="81"/>
      <c r="J362" s="81"/>
      <c r="K362" s="81"/>
      <c r="L362" s="81"/>
      <c r="M362" s="577" t="str">
        <f>$H$5</f>
        <v>Mammography System Compliance Inspection</v>
      </c>
      <c r="O362" s="30"/>
      <c r="P362" s="747"/>
      <c r="Q362" s="309">
        <f>AH40</f>
        <v>30</v>
      </c>
      <c r="R362" s="11">
        <f>AI40</f>
        <v>50</v>
      </c>
      <c r="S362" s="12" t="str">
        <f>IF(AQ40="","",AQ40)</f>
        <v/>
      </c>
      <c r="T362" s="12" t="str">
        <f>IF(AN40="","",AN40)</f>
        <v/>
      </c>
      <c r="U362" s="12" t="str">
        <f>IF(AO40="","",AO40)</f>
        <v/>
      </c>
      <c r="V362" s="13" t="str">
        <f t="shared" si="50"/>
        <v/>
      </c>
      <c r="W362" s="12" t="str">
        <f t="shared" si="51"/>
        <v/>
      </c>
      <c r="X362" s="15" t="str">
        <f t="shared" si="52"/>
        <v/>
      </c>
      <c r="Y362" s="32"/>
    </row>
    <row r="363" spans="1:25" ht="14.1" customHeight="1" thickTop="1">
      <c r="A363" s="17">
        <v>3</v>
      </c>
      <c r="B363" s="67"/>
      <c r="C363" s="146" t="s">
        <v>348</v>
      </c>
      <c r="D363" s="68"/>
      <c r="E363" s="68"/>
      <c r="F363" s="68"/>
      <c r="G363" s="68"/>
      <c r="H363" s="68"/>
      <c r="I363" s="68"/>
      <c r="J363" s="68"/>
      <c r="K363" s="68"/>
      <c r="L363" s="68"/>
      <c r="M363" s="69"/>
      <c r="O363" s="30"/>
      <c r="P363" s="747"/>
      <c r="Q363" s="309">
        <f>AH41</f>
        <v>32</v>
      </c>
      <c r="R363" s="11">
        <f>AI41</f>
        <v>50</v>
      </c>
      <c r="S363" s="12" t="str">
        <f>IF(AQ41="","",AVERAGE(AQ41:AQ42))</f>
        <v/>
      </c>
      <c r="T363" s="12" t="str">
        <f>IF(AN41="","",AN41)</f>
        <v/>
      </c>
      <c r="U363" s="12" t="str">
        <f>IF(AO41="","",AO41)</f>
        <v/>
      </c>
      <c r="V363" s="13" t="str">
        <f t="shared" si="50"/>
        <v/>
      </c>
      <c r="W363" s="12" t="str">
        <f t="shared" si="51"/>
        <v/>
      </c>
      <c r="X363" s="15" t="str">
        <f t="shared" si="52"/>
        <v/>
      </c>
      <c r="Y363" s="32"/>
    </row>
    <row r="364" spans="1:25" ht="14.1" customHeight="1">
      <c r="A364" s="17">
        <v>4</v>
      </c>
      <c r="B364" s="67"/>
      <c r="C364" s="162" t="s">
        <v>50</v>
      </c>
      <c r="D364" s="140" t="str">
        <f>IF(Q394="","",Q394)</f>
        <v>/</v>
      </c>
      <c r="E364" s="162" t="s">
        <v>53</v>
      </c>
      <c r="F364" s="140">
        <f>IF(S394="","",S394)</f>
        <v>28</v>
      </c>
      <c r="G364" s="68"/>
      <c r="H364" s="68"/>
      <c r="I364" s="68"/>
      <c r="J364" s="68"/>
      <c r="K364" s="68"/>
      <c r="L364" s="68"/>
      <c r="M364" s="69"/>
      <c r="O364" s="30"/>
      <c r="P364" s="748"/>
      <c r="Q364" s="309">
        <f>AH49</f>
        <v>34</v>
      </c>
      <c r="R364" s="11">
        <f>AI49</f>
        <v>50</v>
      </c>
      <c r="S364" s="12" t="str">
        <f>IF(AQ49="","",AVERAGE(AQ49:AQ50))</f>
        <v/>
      </c>
      <c r="T364" s="12" t="str">
        <f>IF(AN49="","",AN49)</f>
        <v/>
      </c>
      <c r="U364" s="12" t="str">
        <f>IF(AO49="","",AO49)</f>
        <v/>
      </c>
      <c r="V364" s="13" t="str">
        <f t="shared" ref="V364" si="53">IF(U364="","",U364/R364)</f>
        <v/>
      </c>
      <c r="W364" s="12" t="str">
        <f t="shared" ref="W364" si="54">IF(U364="","",U364/(T364/1000))</f>
        <v/>
      </c>
      <c r="X364" s="15" t="str">
        <f t="shared" ref="X364" si="55">IF(S364="","",(S364-Q364)/Q364)</f>
        <v/>
      </c>
      <c r="Y364" s="32"/>
    </row>
    <row r="365" spans="1:25" ht="14.1" customHeight="1" thickBot="1">
      <c r="A365" s="17">
        <v>5</v>
      </c>
      <c r="B365" s="67"/>
      <c r="C365" s="68"/>
      <c r="D365" s="107"/>
      <c r="E365" s="68"/>
      <c r="F365" s="68"/>
      <c r="G365" s="68"/>
      <c r="H365" s="68"/>
      <c r="I365" s="68"/>
      <c r="J365" s="68"/>
      <c r="K365" s="68"/>
      <c r="L365" s="68"/>
      <c r="M365" s="69"/>
      <c r="O365" s="30"/>
      <c r="P365" s="749" t="str">
        <f>AK57&amp;"/"&amp;AL57</f>
        <v>/</v>
      </c>
      <c r="Q365" s="309">
        <f>AH57</f>
        <v>28</v>
      </c>
      <c r="R365" s="11">
        <f>AI57</f>
        <v>50</v>
      </c>
      <c r="S365" s="12" t="str">
        <f>IF(AQ57="","",AVERAGE(AQ57:AQ58))</f>
        <v/>
      </c>
      <c r="T365" s="12" t="str">
        <f>IF(AN57="","",AN57)</f>
        <v/>
      </c>
      <c r="U365" s="12" t="str">
        <f>IF(AO57="","",AO57)</f>
        <v/>
      </c>
      <c r="V365" s="13" t="str">
        <f t="shared" ref="V365:V375" si="56">IF(U365="","",U365/R365)</f>
        <v/>
      </c>
      <c r="W365" s="12" t="str">
        <f t="shared" ref="W365:W375" si="57">IF(U365="","",U365/(T365/1000))</f>
        <v/>
      </c>
      <c r="X365" s="15" t="str">
        <f t="shared" ref="X365:X375" si="58">IF(S365="","",(S365-Q365)/Q365)</f>
        <v/>
      </c>
      <c r="Y365" s="32"/>
    </row>
    <row r="366" spans="1:25" ht="14.1" customHeight="1" thickBot="1">
      <c r="A366" s="17">
        <v>6</v>
      </c>
      <c r="B366" s="67"/>
      <c r="C366" s="269" t="s">
        <v>352</v>
      </c>
      <c r="D366" s="269" t="s">
        <v>24</v>
      </c>
      <c r="E366" s="269" t="s">
        <v>343</v>
      </c>
      <c r="F366" s="269" t="s">
        <v>336</v>
      </c>
      <c r="G366" s="269" t="s">
        <v>337</v>
      </c>
      <c r="H366" s="68"/>
      <c r="I366" s="381" t="str">
        <f>IF(F371="","",IF(F371&lt;=0.1,"Pass","Fail"))</f>
        <v/>
      </c>
      <c r="J366" s="68" t="s">
        <v>544</v>
      </c>
      <c r="K366" s="68"/>
      <c r="L366" s="68"/>
      <c r="M366" s="69"/>
      <c r="O366" s="161"/>
      <c r="P366" s="750"/>
      <c r="Q366" s="309">
        <f>AH65</f>
        <v>30</v>
      </c>
      <c r="R366" s="11">
        <f>AI65</f>
        <v>50</v>
      </c>
      <c r="S366" s="12" t="str">
        <f>IF(AQ65="","",AVERAGE(AQ65:AQ66))</f>
        <v/>
      </c>
      <c r="T366" s="12" t="str">
        <f>IF(AN65="","",AN65)</f>
        <v/>
      </c>
      <c r="U366" s="12" t="str">
        <f>IF(AO65="","",AO65)</f>
        <v/>
      </c>
      <c r="V366" s="13" t="str">
        <f t="shared" si="56"/>
        <v/>
      </c>
      <c r="W366" s="12" t="str">
        <f t="shared" si="57"/>
        <v/>
      </c>
      <c r="X366" s="15" t="str">
        <f t="shared" si="58"/>
        <v/>
      </c>
      <c r="Y366" s="32"/>
    </row>
    <row r="367" spans="1:25" ht="14.1" customHeight="1" thickBot="1">
      <c r="A367" s="17">
        <v>7</v>
      </c>
      <c r="B367" s="67"/>
      <c r="C367" s="11">
        <f>IF(P396="","",P396)</f>
        <v>20</v>
      </c>
      <c r="D367" s="12" t="str">
        <f>IF(Q396="","",Q396)</f>
        <v/>
      </c>
      <c r="E367" s="12" t="str">
        <f>IF(S396="","",S396)</f>
        <v/>
      </c>
      <c r="F367" s="13" t="str">
        <f>IF(T396="","",T396)</f>
        <v/>
      </c>
      <c r="G367" s="12" t="str">
        <f>IF(U396="","",U396)</f>
        <v/>
      </c>
      <c r="H367" s="68"/>
      <c r="I367" s="381" t="str">
        <f>IF(O402="","",IF(O402=1,"Pass","Fail"))</f>
        <v/>
      </c>
      <c r="J367" s="68" t="s">
        <v>545</v>
      </c>
      <c r="K367" s="68"/>
      <c r="L367" s="68"/>
      <c r="M367" s="69"/>
      <c r="O367" s="30"/>
      <c r="P367" s="750"/>
      <c r="Q367" s="309">
        <f>AH73</f>
        <v>32</v>
      </c>
      <c r="R367" s="11">
        <f>AI73</f>
        <v>50</v>
      </c>
      <c r="S367" s="12" t="str">
        <f>IF(AQ73="","",AVERAGE(AQ73:AQ74))</f>
        <v/>
      </c>
      <c r="T367" s="12" t="str">
        <f>IF(AN73="","",AN73)</f>
        <v/>
      </c>
      <c r="U367" s="12" t="str">
        <f>IF(AO73="","",AO73)</f>
        <v/>
      </c>
      <c r="V367" s="13" t="str">
        <f t="shared" si="56"/>
        <v/>
      </c>
      <c r="W367" s="12" t="str">
        <f t="shared" si="57"/>
        <v/>
      </c>
      <c r="X367" s="15" t="str">
        <f t="shared" si="58"/>
        <v/>
      </c>
      <c r="Y367" s="32"/>
    </row>
    <row r="368" spans="1:25" ht="14.1" customHeight="1">
      <c r="A368" s="17">
        <v>8</v>
      </c>
      <c r="B368" s="67"/>
      <c r="C368" s="11">
        <f>IF(P397="","",P397)</f>
        <v>50</v>
      </c>
      <c r="D368" s="12" t="str">
        <f>IF(Q397="","",Q397)</f>
        <v/>
      </c>
      <c r="E368" s="12" t="str">
        <f>IF(S397="","",S397)</f>
        <v/>
      </c>
      <c r="F368" s="13" t="str">
        <f>IF(T397="","",T397)</f>
        <v/>
      </c>
      <c r="G368" s="12" t="str">
        <f>IF(U397="","",U397)</f>
        <v/>
      </c>
      <c r="H368" s="68"/>
      <c r="I368" s="68"/>
      <c r="J368" s="68"/>
      <c r="K368" s="68"/>
      <c r="L368" s="68"/>
      <c r="M368" s="69"/>
      <c r="O368" s="30"/>
      <c r="P368" s="750"/>
      <c r="Q368" s="309">
        <f>AH81</f>
        <v>34</v>
      </c>
      <c r="R368" s="11">
        <f>AI81</f>
        <v>50</v>
      </c>
      <c r="S368" s="12" t="str">
        <f>IF(AQ81="","",AVERAGE(AQ81:AQ82))</f>
        <v/>
      </c>
      <c r="T368" s="12" t="str">
        <f>IF(AN81="","",AN81)</f>
        <v/>
      </c>
      <c r="U368" s="12" t="str">
        <f>IF(AO81="","",AO81)</f>
        <v/>
      </c>
      <c r="V368" s="13" t="str">
        <f t="shared" si="56"/>
        <v/>
      </c>
      <c r="W368" s="12" t="str">
        <f t="shared" si="57"/>
        <v/>
      </c>
      <c r="X368" s="15" t="str">
        <f t="shared" si="58"/>
        <v/>
      </c>
      <c r="Y368" s="32"/>
    </row>
    <row r="369" spans="1:25" ht="14.1" customHeight="1">
      <c r="A369" s="17">
        <v>9</v>
      </c>
      <c r="B369" s="67"/>
      <c r="C369" s="11">
        <f>IF(P398="","",P398)</f>
        <v>100</v>
      </c>
      <c r="D369" s="12" t="str">
        <f>IF(Q398="","",Q398)</f>
        <v/>
      </c>
      <c r="E369" s="12" t="str">
        <f>IF(S398="","",S398)</f>
        <v/>
      </c>
      <c r="F369" s="13" t="str">
        <f>IF(T398="","",T398)</f>
        <v/>
      </c>
      <c r="G369" s="12" t="str">
        <f>IF(U398="","",U398)</f>
        <v/>
      </c>
      <c r="H369" s="68"/>
      <c r="I369" s="68"/>
      <c r="J369" s="68"/>
      <c r="K369" s="68"/>
      <c r="L369" s="68"/>
      <c r="M369" s="69"/>
      <c r="O369" s="30"/>
      <c r="P369" s="750"/>
      <c r="Q369" s="309">
        <f>AH89</f>
        <v>36</v>
      </c>
      <c r="R369" s="11">
        <f>AI89</f>
        <v>50</v>
      </c>
      <c r="S369" s="12" t="str">
        <f>IF(AQ89="","",AQ89)</f>
        <v/>
      </c>
      <c r="T369" s="12" t="str">
        <f>IF(AN89="","",AN89)</f>
        <v/>
      </c>
      <c r="U369" s="12" t="str">
        <f>IF(AO89="","",AO89)</f>
        <v/>
      </c>
      <c r="V369" s="13" t="str">
        <f t="shared" si="56"/>
        <v/>
      </c>
      <c r="W369" s="12" t="str">
        <f t="shared" si="57"/>
        <v/>
      </c>
      <c r="X369" s="15" t="str">
        <f t="shared" si="58"/>
        <v/>
      </c>
      <c r="Y369" s="32"/>
    </row>
    <row r="370" spans="1:25" ht="14.1" customHeight="1" thickBot="1">
      <c r="A370" s="17">
        <v>10</v>
      </c>
      <c r="B370" s="67"/>
      <c r="C370" s="11">
        <f>IF(P399="","",P399)</f>
        <v>320</v>
      </c>
      <c r="D370" s="12" t="str">
        <f>IF(Q399="","",Q399)</f>
        <v/>
      </c>
      <c r="E370" s="12" t="str">
        <f>IF(S399="","",S399)</f>
        <v/>
      </c>
      <c r="F370" s="13" t="str">
        <f>IF(T399="","",T399)</f>
        <v/>
      </c>
      <c r="G370" s="12" t="str">
        <f>IF(U399="","",U399)</f>
        <v/>
      </c>
      <c r="H370" s="68"/>
      <c r="I370" s="68"/>
      <c r="J370" s="68"/>
      <c r="K370" s="68"/>
      <c r="L370" s="68"/>
      <c r="M370" s="69"/>
      <c r="O370" s="30"/>
      <c r="P370" s="751"/>
      <c r="Q370" s="309">
        <f>AH90</f>
        <v>38</v>
      </c>
      <c r="R370" s="11">
        <f>AI90</f>
        <v>50</v>
      </c>
      <c r="S370" s="12" t="str">
        <f>IF(AQ90="","",AQ90)</f>
        <v/>
      </c>
      <c r="T370" s="12" t="str">
        <f>IF(AN90="","",AN90)</f>
        <v/>
      </c>
      <c r="U370" s="12" t="str">
        <f>IF(AO90="","",AO90)</f>
        <v/>
      </c>
      <c r="V370" s="13" t="str">
        <f t="shared" si="56"/>
        <v/>
      </c>
      <c r="W370" s="12" t="str">
        <f t="shared" si="57"/>
        <v/>
      </c>
      <c r="X370" s="15" t="str">
        <f t="shared" si="58"/>
        <v/>
      </c>
      <c r="Y370" s="32"/>
    </row>
    <row r="371" spans="1:25" ht="14.1" customHeight="1" thickBot="1">
      <c r="A371" s="17">
        <v>11</v>
      </c>
      <c r="B371" s="67"/>
      <c r="C371" s="68"/>
      <c r="D371" s="68"/>
      <c r="E371" s="162" t="s">
        <v>349</v>
      </c>
      <c r="F371" s="274" t="str">
        <f>IF(T400="","",T400)</f>
        <v/>
      </c>
      <c r="G371" s="68"/>
      <c r="H371" s="68"/>
      <c r="I371" s="68"/>
      <c r="J371" s="68"/>
      <c r="K371" s="68"/>
      <c r="L371" s="68"/>
      <c r="M371" s="69"/>
      <c r="O371" s="30"/>
      <c r="P371" s="749" t="str">
        <f>AK91&amp;"/"&amp;AL91</f>
        <v>/</v>
      </c>
      <c r="Q371" s="310">
        <f>AH91</f>
        <v>28</v>
      </c>
      <c r="R371" s="11">
        <f>AI91</f>
        <v>50</v>
      </c>
      <c r="S371" s="12" t="str">
        <f>IF(AQ91="","",AVERAGE(AQ91:AQ94))</f>
        <v/>
      </c>
      <c r="T371" s="12" t="str">
        <f>IF(AN91="","",AN91)</f>
        <v/>
      </c>
      <c r="U371" s="12" t="str">
        <f>IF(AO91="","",AO91)</f>
        <v/>
      </c>
      <c r="V371" s="13" t="str">
        <f t="shared" si="56"/>
        <v/>
      </c>
      <c r="W371" s="12" t="str">
        <f t="shared" si="57"/>
        <v/>
      </c>
      <c r="X371" s="15" t="str">
        <f t="shared" si="58"/>
        <v/>
      </c>
      <c r="Y371" s="32"/>
    </row>
    <row r="372" spans="1:25" ht="14.1" customHeight="1">
      <c r="A372" s="17">
        <v>12</v>
      </c>
      <c r="B372" s="67"/>
      <c r="C372" s="68"/>
      <c r="D372" s="3" t="s">
        <v>203</v>
      </c>
      <c r="E372" s="101" t="s">
        <v>350</v>
      </c>
      <c r="F372" s="68"/>
      <c r="G372" s="68"/>
      <c r="H372" s="68"/>
      <c r="I372" s="68"/>
      <c r="J372" s="68"/>
      <c r="K372" s="68"/>
      <c r="L372" s="68"/>
      <c r="M372" s="69"/>
      <c r="O372" s="30"/>
      <c r="P372" s="750"/>
      <c r="Q372" s="310">
        <f>AH101</f>
        <v>30</v>
      </c>
      <c r="R372" s="11">
        <f>AI101</f>
        <v>50</v>
      </c>
      <c r="S372" s="12" t="str">
        <f>IF(AQ101="","",AVERAGE(AQ101:AQ102))</f>
        <v/>
      </c>
      <c r="T372" s="12" t="str">
        <f>IF(AN101="","",AN101)</f>
        <v/>
      </c>
      <c r="U372" s="12" t="str">
        <f>IF(AO101="","",AO101)</f>
        <v/>
      </c>
      <c r="V372" s="13" t="str">
        <f t="shared" si="56"/>
        <v/>
      </c>
      <c r="W372" s="12" t="str">
        <f t="shared" si="57"/>
        <v/>
      </c>
      <c r="X372" s="15" t="str">
        <f t="shared" si="58"/>
        <v/>
      </c>
      <c r="Y372" s="32"/>
    </row>
    <row r="373" spans="1:25" ht="14.1" customHeight="1" thickBot="1">
      <c r="A373" s="17">
        <v>13</v>
      </c>
      <c r="B373" s="67"/>
      <c r="C373" s="146" t="s">
        <v>353</v>
      </c>
      <c r="D373" s="68"/>
      <c r="E373" s="68"/>
      <c r="F373" s="68"/>
      <c r="G373" s="68"/>
      <c r="H373" s="68"/>
      <c r="I373" s="68"/>
      <c r="J373" s="68"/>
      <c r="K373" s="68"/>
      <c r="L373" s="68"/>
      <c r="M373" s="69"/>
      <c r="O373" s="30"/>
      <c r="P373" s="750"/>
      <c r="Q373" s="309">
        <f>AH109</f>
        <v>32</v>
      </c>
      <c r="R373" s="11">
        <f>AI109</f>
        <v>50</v>
      </c>
      <c r="S373" s="12" t="str">
        <f>IF(AQ109="","",AVERAGE(AQ109:AQ110))</f>
        <v/>
      </c>
      <c r="T373" s="12" t="str">
        <f>IF(AN109="","",AN109)</f>
        <v/>
      </c>
      <c r="U373" s="12" t="str">
        <f>IF(AO109="","",AO109)</f>
        <v/>
      </c>
      <c r="V373" s="13" t="str">
        <f t="shared" si="56"/>
        <v/>
      </c>
      <c r="W373" s="12" t="str">
        <f t="shared" si="57"/>
        <v/>
      </c>
      <c r="X373" s="15" t="str">
        <f t="shared" si="58"/>
        <v/>
      </c>
      <c r="Y373" s="32"/>
    </row>
    <row r="374" spans="1:25" ht="14.1" customHeight="1">
      <c r="A374" s="17">
        <v>14</v>
      </c>
      <c r="B374" s="67"/>
      <c r="C374" s="739" t="s">
        <v>70</v>
      </c>
      <c r="D374" s="740" t="str">
        <f>Q405</f>
        <v>/</v>
      </c>
      <c r="E374" s="740" t="str">
        <f>R405</f>
        <v>/</v>
      </c>
      <c r="F374" s="741" t="str">
        <f>S405</f>
        <v>/</v>
      </c>
      <c r="G374"/>
      <c r="H374"/>
      <c r="I374"/>
      <c r="J374"/>
      <c r="K374"/>
      <c r="L374"/>
      <c r="M374" s="69"/>
      <c r="O374" s="30"/>
      <c r="P374" s="750"/>
      <c r="Q374" s="309">
        <f>AH117</f>
        <v>34</v>
      </c>
      <c r="R374" s="11">
        <f>AI117</f>
        <v>50</v>
      </c>
      <c r="S374" s="12" t="str">
        <f>IF(AQ117="","",AVERAGE(AQ117:AQ118))</f>
        <v/>
      </c>
      <c r="T374" s="12" t="str">
        <f>IF(AN117="","",AN117)</f>
        <v/>
      </c>
      <c r="U374" s="12" t="str">
        <f>IF(AO117="","",AO117)</f>
        <v/>
      </c>
      <c r="V374" s="13" t="str">
        <f t="shared" si="56"/>
        <v/>
      </c>
      <c r="W374" s="12" t="str">
        <f t="shared" si="57"/>
        <v/>
      </c>
      <c r="X374" s="15" t="str">
        <f t="shared" si="58"/>
        <v/>
      </c>
      <c r="Y374" s="32"/>
    </row>
    <row r="375" spans="1:25" ht="14.1" customHeight="1">
      <c r="A375" s="17">
        <v>15</v>
      </c>
      <c r="B375" s="67"/>
      <c r="C375" s="341" t="s">
        <v>24</v>
      </c>
      <c r="D375" s="338">
        <f>IF(Q406="","",Q406)</f>
        <v>28</v>
      </c>
      <c r="E375" s="338">
        <f>IF(R406="","",R406)</f>
        <v>28</v>
      </c>
      <c r="F375" s="360">
        <f>IF(S406="","",S406)</f>
        <v>28</v>
      </c>
      <c r="G375"/>
      <c r="H375"/>
      <c r="I375"/>
      <c r="J375"/>
      <c r="K375"/>
      <c r="L375"/>
      <c r="M375" s="69"/>
      <c r="O375" s="30"/>
      <c r="P375" s="751"/>
      <c r="Q375" s="309">
        <f>AH125</f>
        <v>38</v>
      </c>
      <c r="R375" s="11">
        <f>AI125</f>
        <v>50</v>
      </c>
      <c r="S375" s="12" t="str">
        <f>IF(AQ125="","",AQ125)</f>
        <v/>
      </c>
      <c r="T375" s="12" t="str">
        <f>IF(AN125="","",AN125)</f>
        <v/>
      </c>
      <c r="U375" s="12" t="str">
        <f>IF(AO125="","",AO125)</f>
        <v/>
      </c>
      <c r="V375" s="13" t="str">
        <f t="shared" si="56"/>
        <v/>
      </c>
      <c r="W375" s="12" t="str">
        <f t="shared" si="57"/>
        <v/>
      </c>
      <c r="X375" s="15" t="str">
        <f t="shared" si="58"/>
        <v/>
      </c>
      <c r="Y375" s="32"/>
    </row>
    <row r="376" spans="1:25" ht="14.1" customHeight="1">
      <c r="A376" s="17">
        <v>16</v>
      </c>
      <c r="B376" s="67"/>
      <c r="C376" s="426" t="s">
        <v>447</v>
      </c>
      <c r="D376" s="303" t="str">
        <f>IF(Q410="","",Q410)</f>
        <v/>
      </c>
      <c r="E376" s="303" t="str">
        <f>IF(R410="","",R410)</f>
        <v/>
      </c>
      <c r="F376" s="458" t="str">
        <f>IF(S410="","",S410)</f>
        <v/>
      </c>
      <c r="G376"/>
      <c r="H376"/>
      <c r="I376"/>
      <c r="J376"/>
      <c r="K376"/>
      <c r="L376"/>
      <c r="M376" s="69"/>
      <c r="O376" s="30"/>
      <c r="P376" s="113" t="s">
        <v>203</v>
      </c>
      <c r="Q376" s="27" t="s">
        <v>339</v>
      </c>
      <c r="Y376" s="32"/>
    </row>
    <row r="377" spans="1:25" ht="14.1" customHeight="1" thickBot="1">
      <c r="A377" s="17">
        <v>17</v>
      </c>
      <c r="B377" s="67"/>
      <c r="C377" s="426" t="s">
        <v>546</v>
      </c>
      <c r="D377" s="15" t="str">
        <f>IF(Q411="","",Q411)</f>
        <v/>
      </c>
      <c r="E377" s="15" t="str">
        <f>IF(R411="","",R411)</f>
        <v/>
      </c>
      <c r="F377" s="424" t="str">
        <f>IF(S411="","",S411)</f>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3" t="s">
        <v>217</v>
      </c>
      <c r="D378" s="447" t="str">
        <f>Q412</f>
        <v/>
      </c>
      <c r="E378" s="447" t="str">
        <f>R412</f>
        <v/>
      </c>
      <c r="F378" s="392" t="str">
        <f>S412</f>
        <v/>
      </c>
      <c r="G378"/>
      <c r="H378"/>
      <c r="I378"/>
      <c r="J378"/>
      <c r="K378"/>
      <c r="L378"/>
      <c r="M378" s="69"/>
      <c r="O378" s="136" t="s">
        <v>340</v>
      </c>
      <c r="P378" s="23"/>
      <c r="Q378" s="23"/>
      <c r="R378" s="23"/>
      <c r="S378" s="23"/>
      <c r="T378" s="23"/>
      <c r="U378" s="23"/>
      <c r="V378" s="23"/>
      <c r="W378" s="23"/>
      <c r="X378" s="23"/>
      <c r="Y378" s="24"/>
    </row>
    <row r="379" spans="1:25" ht="14.1" customHeight="1">
      <c r="A379" s="17">
        <v>19</v>
      </c>
      <c r="B379" s="67"/>
      <c r="C379"/>
      <c r="D379"/>
      <c r="E379"/>
      <c r="F379"/>
      <c r="G379"/>
      <c r="H379"/>
      <c r="I379"/>
      <c r="J379"/>
      <c r="K379"/>
      <c r="L379"/>
      <c r="M379" s="69"/>
      <c r="O379" s="30"/>
      <c r="P379" s="322" t="s">
        <v>94</v>
      </c>
      <c r="Q379" s="323" t="str">
        <f>AK10&amp;"/"&amp;AL10</f>
        <v>/</v>
      </c>
      <c r="R379" s="456" t="s">
        <v>172</v>
      </c>
      <c r="S379" s="461">
        <f>AH28</f>
        <v>28</v>
      </c>
      <c r="T379" s="24"/>
      <c r="U379" s="322" t="s">
        <v>94</v>
      </c>
      <c r="V379" s="323" t="str">
        <f>AK91&amp;"/"&amp;AL91</f>
        <v>/</v>
      </c>
      <c r="W379" s="324" t="s">
        <v>172</v>
      </c>
      <c r="X379" s="757">
        <f>AH91</f>
        <v>28</v>
      </c>
      <c r="Y379" s="24"/>
    </row>
    <row r="380" spans="1:25" ht="14.1" customHeight="1">
      <c r="A380" s="17">
        <v>20</v>
      </c>
      <c r="B380" s="67"/>
      <c r="M380" s="69"/>
      <c r="O380" s="320"/>
      <c r="P380" s="466"/>
      <c r="R380" s="162" t="s">
        <v>218</v>
      </c>
      <c r="S380" s="758">
        <f>AI28</f>
        <v>50</v>
      </c>
      <c r="T380" s="209"/>
      <c r="W380" s="162" t="s">
        <v>218</v>
      </c>
      <c r="X380" s="758">
        <f>AI91</f>
        <v>50</v>
      </c>
      <c r="Y380" s="32"/>
    </row>
    <row r="381" spans="1:25" ht="14.1" customHeight="1" thickBot="1">
      <c r="A381" s="17">
        <v>21</v>
      </c>
      <c r="B381" s="67"/>
      <c r="C381" s="68"/>
      <c r="D381" s="3" t="s">
        <v>203</v>
      </c>
      <c r="E381" s="439" t="s">
        <v>651</v>
      </c>
      <c r="F381" s="68"/>
      <c r="G381" s="68"/>
      <c r="H381" s="68"/>
      <c r="I381" s="68"/>
      <c r="J381" s="68"/>
      <c r="K381" s="68"/>
      <c r="L381" s="68"/>
      <c r="M381" s="69"/>
      <c r="O381" s="321"/>
      <c r="P381" s="325" t="s">
        <v>24</v>
      </c>
      <c r="Q381" s="756" t="s">
        <v>25</v>
      </c>
      <c r="R381" s="756" t="s">
        <v>26</v>
      </c>
      <c r="S381" s="756" t="s">
        <v>336</v>
      </c>
      <c r="T381" s="209" t="s">
        <v>337</v>
      </c>
      <c r="U381" s="330" t="s">
        <v>24</v>
      </c>
      <c r="V381" s="331" t="s">
        <v>25</v>
      </c>
      <c r="W381" s="331" t="s">
        <v>26</v>
      </c>
      <c r="X381" s="331" t="s">
        <v>336</v>
      </c>
      <c r="Y381" s="332" t="s">
        <v>337</v>
      </c>
    </row>
    <row r="382" spans="1:25" ht="14.1" customHeight="1">
      <c r="A382" s="17">
        <v>22</v>
      </c>
      <c r="B382" s="67"/>
      <c r="C382" s="68"/>
      <c r="D382" s="68"/>
      <c r="E382" s="68"/>
      <c r="F382" s="68"/>
      <c r="G382" s="68"/>
      <c r="H382" s="68"/>
      <c r="I382" s="68"/>
      <c r="J382" s="68"/>
      <c r="K382" s="68"/>
      <c r="L382" s="68"/>
      <c r="M382" s="69"/>
      <c r="O382" s="321"/>
      <c r="P382" s="329" t="str">
        <f>IF(AQ28="","",AQ28)</f>
        <v/>
      </c>
      <c r="Q382" s="275" t="str">
        <f>IF(AN28="","",AN28)</f>
        <v/>
      </c>
      <c r="R382" s="275" t="str">
        <f>IF(AO28="","",AO28)</f>
        <v/>
      </c>
      <c r="S382" s="238" t="str">
        <f>IF(R382="","",R382/$S$380)</f>
        <v/>
      </c>
      <c r="T382" s="239" t="str">
        <f>IF(OR(R382="",Q382=""),"",R382/(Q382/1000))</f>
        <v/>
      </c>
      <c r="U382" s="329" t="str">
        <f>IF(AQ91="","",AQ91)</f>
        <v/>
      </c>
      <c r="V382" s="275" t="str">
        <f>IF(AN91="","",AN91)</f>
        <v/>
      </c>
      <c r="W382" s="275" t="str">
        <f>IF(AO91="","",AO91)</f>
        <v/>
      </c>
      <c r="X382" s="238" t="str">
        <f>IF(W382="","",W382/$X$380)</f>
        <v/>
      </c>
      <c r="Y382" s="239" t="str">
        <f>IF(OR(W382="",V382=""),"",W382/(V382/1000))</f>
        <v/>
      </c>
    </row>
    <row r="383" spans="1:25" ht="14.1" customHeight="1">
      <c r="A383" s="17">
        <v>23</v>
      </c>
      <c r="B383" s="67"/>
      <c r="C383" s="146" t="s">
        <v>318</v>
      </c>
      <c r="D383" s="68"/>
      <c r="E383" s="68"/>
      <c r="F383" s="68"/>
      <c r="G383" s="68"/>
      <c r="H383" s="68"/>
      <c r="I383" s="68"/>
      <c r="J383" s="68"/>
      <c r="K383" s="68"/>
      <c r="L383" s="68"/>
      <c r="M383" s="69"/>
      <c r="O383" s="321"/>
      <c r="P383" s="326" t="str">
        <f>IF(AQ29="","",AQ29)</f>
        <v/>
      </c>
      <c r="Q383" s="12" t="str">
        <f>IF(AN29="","",AN29)</f>
        <v/>
      </c>
      <c r="R383" s="12" t="str">
        <f>IF(AO29="","",AO29)</f>
        <v/>
      </c>
      <c r="S383" s="13" t="str">
        <f>IF(R383="","",R383/$S$380)</f>
        <v/>
      </c>
      <c r="T383" s="241" t="str">
        <f>IF(OR(R383="",Q383=""),"",R383/(Q383/1000))</f>
        <v/>
      </c>
      <c r="U383" s="326" t="str">
        <f>IF(AQ92="","",AQ92)</f>
        <v/>
      </c>
      <c r="V383" s="12" t="str">
        <f>IF(AN92="","",AN92)</f>
        <v/>
      </c>
      <c r="W383" s="12" t="str">
        <f>IF(AO92="","",AO92)</f>
        <v/>
      </c>
      <c r="X383" s="13" t="str">
        <f>IF(W383="","",W383/$X$380)</f>
        <v/>
      </c>
      <c r="Y383" s="241" t="str">
        <f t="shared" ref="Y383:Y385" si="59">IF(OR(W383="",V383=""),"",W383/(V383/1000))</f>
        <v/>
      </c>
    </row>
    <row r="384" spans="1:25" ht="14.1" customHeight="1" thickBot="1">
      <c r="A384" s="17">
        <v>24</v>
      </c>
      <c r="B384" s="67"/>
      <c r="C384" s="68"/>
      <c r="D384" s="162" t="s">
        <v>172</v>
      </c>
      <c r="E384" s="140" t="str">
        <f>IF(Q448="","",Q448)</f>
        <v/>
      </c>
      <c r="F384" s="68"/>
      <c r="G384" s="68"/>
      <c r="H384" s="68" t="s">
        <v>319</v>
      </c>
      <c r="I384" s="68" t="s">
        <v>320</v>
      </c>
      <c r="J384" s="68" t="s">
        <v>289</v>
      </c>
      <c r="K384" s="68" t="s">
        <v>290</v>
      </c>
      <c r="L384" s="68"/>
      <c r="M384" s="69"/>
      <c r="O384" s="321"/>
      <c r="P384" s="326" t="str">
        <f>IF(AQ30="","",AQ30)</f>
        <v/>
      </c>
      <c r="Q384" s="12" t="str">
        <f>IF(AN30="","",AN30)</f>
        <v/>
      </c>
      <c r="R384" s="12" t="str">
        <f>IF(AO30="","",AO30)</f>
        <v/>
      </c>
      <c r="S384" s="13" t="str">
        <f>IF(R384="","",R384/$S$380)</f>
        <v/>
      </c>
      <c r="T384" s="241" t="str">
        <f>IF(OR(R384="",Q384=""),"",R384/(Q384/1000))</f>
        <v/>
      </c>
      <c r="U384" s="326" t="str">
        <f>IF(AQ93="","",AQ93)</f>
        <v/>
      </c>
      <c r="V384" s="12" t="str">
        <f>IF(AN93="","",AN93)</f>
        <v/>
      </c>
      <c r="W384" s="12" t="str">
        <f>IF(AO93="","",AO93)</f>
        <v/>
      </c>
      <c r="X384" s="13" t="str">
        <f>IF(W384="","",W384/$X$380)</f>
        <v/>
      </c>
      <c r="Y384" s="241" t="str">
        <f t="shared" si="59"/>
        <v/>
      </c>
    </row>
    <row r="385" spans="1:25" ht="14.1" customHeight="1" thickBot="1">
      <c r="A385" s="17">
        <v>25</v>
      </c>
      <c r="B385" s="67"/>
      <c r="C385" s="68"/>
      <c r="D385" s="162" t="s">
        <v>175</v>
      </c>
      <c r="E385" s="140" t="str">
        <f>IF(Q449="","",Q449)</f>
        <v/>
      </c>
      <c r="F385" s="68"/>
      <c r="G385" s="162" t="s">
        <v>197</v>
      </c>
      <c r="H385" s="484" t="str">
        <f>IF(T452="","",T452)</f>
        <v/>
      </c>
      <c r="I385" s="383" t="str">
        <f>IF(U452="","",U452)</f>
        <v/>
      </c>
      <c r="J385" s="486" t="str">
        <f>IF(V452="","",V452)</f>
        <v/>
      </c>
      <c r="K385" s="487" t="str">
        <f>IF(X452="","",X452)</f>
        <v/>
      </c>
      <c r="L385" s="68"/>
      <c r="M385" s="69"/>
      <c r="O385" s="321"/>
      <c r="P385" s="472" t="str">
        <f>IF(AQ31="","",AQ31)</f>
        <v/>
      </c>
      <c r="Q385" s="231" t="str">
        <f>IF(AN31="","",AN31)</f>
        <v/>
      </c>
      <c r="R385" s="231" t="str">
        <f>IF(AO31="","",AO31)</f>
        <v/>
      </c>
      <c r="S385" s="245" t="str">
        <f>IF(R385="","",R385/$S$380)</f>
        <v/>
      </c>
      <c r="T385" s="246" t="str">
        <f>IF(OR(R385="",Q385=""),"",R385/(Q385/1000))</f>
        <v/>
      </c>
      <c r="U385" s="472" t="str">
        <f>IF(AQ94="","",AQ94)</f>
        <v/>
      </c>
      <c r="V385" s="231" t="str">
        <f>IF(AN94="","",AN94)</f>
        <v/>
      </c>
      <c r="W385" s="231" t="str">
        <f>IF(AO94="","",AO94)</f>
        <v/>
      </c>
      <c r="X385" s="245" t="str">
        <f>IF(W385="","",W385/$X$380)</f>
        <v/>
      </c>
      <c r="Y385" s="246" t="str">
        <f t="shared" si="59"/>
        <v/>
      </c>
    </row>
    <row r="386" spans="1:25" ht="14.1" customHeight="1" thickBot="1">
      <c r="A386" s="17">
        <v>26</v>
      </c>
      <c r="B386" s="67"/>
      <c r="C386" s="68"/>
      <c r="D386" s="162" t="s">
        <v>50</v>
      </c>
      <c r="E386" s="140" t="str">
        <f>IF(Q450="","",Q450)</f>
        <v/>
      </c>
      <c r="F386" s="68"/>
      <c r="G386" s="162" t="s">
        <v>198</v>
      </c>
      <c r="H386" s="485" t="str">
        <f>IF(T453="","",T453)</f>
        <v/>
      </c>
      <c r="I386" s="388" t="str">
        <f>IF(U453="","",U453)</f>
        <v/>
      </c>
      <c r="J386" s="488" t="str">
        <f>IF(V453="","",V453)</f>
        <v/>
      </c>
      <c r="K386" s="438" t="str">
        <f>IF(X453="","",X453)</f>
        <v/>
      </c>
      <c r="L386" s="68"/>
      <c r="M386" s="69"/>
      <c r="O386" s="320" t="s">
        <v>209</v>
      </c>
      <c r="P386" s="467" t="str">
        <f t="shared" ref="P386:Y386" si="60">IF(OR(P382="",P383="",P384="",P385=""),"",AVERAGE(P382:P385))</f>
        <v/>
      </c>
      <c r="Q386" s="468" t="str">
        <f t="shared" si="60"/>
        <v/>
      </c>
      <c r="R386" s="469" t="str">
        <f t="shared" si="60"/>
        <v/>
      </c>
      <c r="S386" s="470" t="str">
        <f t="shared" si="60"/>
        <v/>
      </c>
      <c r="T386" s="471" t="str">
        <f t="shared" si="60"/>
        <v/>
      </c>
      <c r="U386" s="467" t="str">
        <f t="shared" si="60"/>
        <v/>
      </c>
      <c r="V386" s="468" t="str">
        <f t="shared" si="60"/>
        <v/>
      </c>
      <c r="W386" s="469" t="str">
        <f t="shared" si="60"/>
        <v/>
      </c>
      <c r="X386" s="470" t="str">
        <f t="shared" si="60"/>
        <v/>
      </c>
      <c r="Y386" s="471" t="str">
        <f t="shared" si="60"/>
        <v/>
      </c>
    </row>
    <row r="387" spans="1:25" ht="14.1" customHeight="1">
      <c r="A387" s="17">
        <v>27</v>
      </c>
      <c r="B387" s="67"/>
      <c r="C387" s="68"/>
      <c r="D387" s="162" t="s">
        <v>53</v>
      </c>
      <c r="E387" s="140" t="str">
        <f>IF(Q451="","",Q451)</f>
        <v/>
      </c>
      <c r="F387" s="68"/>
      <c r="G387" s="68"/>
      <c r="H387" s="68"/>
      <c r="I387" s="68"/>
      <c r="J387" s="68"/>
      <c r="K387" s="68"/>
      <c r="L387" s="68"/>
      <c r="M387" s="69"/>
      <c r="O387" s="320" t="s">
        <v>342</v>
      </c>
      <c r="P387" s="326" t="str">
        <f t="shared" ref="P387:Y387" si="61">IF(OR(P382="",P383="",P384="",P385=""),"",_xlfn.STDEV.S(P382:P385))</f>
        <v/>
      </c>
      <c r="Q387" s="12" t="str">
        <f t="shared" si="61"/>
        <v/>
      </c>
      <c r="R387" s="12" t="str">
        <f t="shared" si="61"/>
        <v/>
      </c>
      <c r="S387" s="13" t="str">
        <f t="shared" si="61"/>
        <v/>
      </c>
      <c r="T387" s="241" t="str">
        <f t="shared" si="61"/>
        <v/>
      </c>
      <c r="U387" s="326" t="str">
        <f t="shared" si="61"/>
        <v/>
      </c>
      <c r="V387" s="12" t="str">
        <f t="shared" si="61"/>
        <v/>
      </c>
      <c r="W387" s="12" t="str">
        <f t="shared" si="61"/>
        <v/>
      </c>
      <c r="X387" s="13" t="str">
        <f t="shared" si="61"/>
        <v/>
      </c>
      <c r="Y387" s="241" t="str">
        <f t="shared" si="61"/>
        <v/>
      </c>
    </row>
    <row r="388" spans="1:25" ht="14.1" customHeight="1" thickBot="1">
      <c r="A388" s="17">
        <v>28</v>
      </c>
      <c r="B388" s="67"/>
      <c r="C388" s="68"/>
      <c r="D388" s="3" t="s">
        <v>203</v>
      </c>
      <c r="E388" s="101" t="s">
        <v>321</v>
      </c>
      <c r="F388" s="68"/>
      <c r="G388" s="68"/>
      <c r="H388" s="68"/>
      <c r="I388" s="68"/>
      <c r="J388" s="68"/>
      <c r="K388" s="68"/>
      <c r="L388" s="68"/>
      <c r="M388" s="69"/>
      <c r="O388" s="320" t="s">
        <v>273</v>
      </c>
      <c r="P388" s="190" t="str">
        <f t="shared" ref="P388:Y388" si="62">IF(OR(P386="",P387=""),"",P387/P386)</f>
        <v/>
      </c>
      <c r="Q388" s="184" t="str">
        <f t="shared" si="62"/>
        <v/>
      </c>
      <c r="R388" s="184" t="str">
        <f t="shared" si="62"/>
        <v/>
      </c>
      <c r="S388" s="327" t="str">
        <f t="shared" si="62"/>
        <v/>
      </c>
      <c r="T388" s="328" t="str">
        <f t="shared" si="62"/>
        <v/>
      </c>
      <c r="U388" s="190" t="str">
        <f t="shared" si="62"/>
        <v/>
      </c>
      <c r="V388" s="184" t="str">
        <f t="shared" si="62"/>
        <v/>
      </c>
      <c r="W388" s="184" t="str">
        <f t="shared" si="62"/>
        <v/>
      </c>
      <c r="X388" s="327" t="str">
        <f t="shared" si="62"/>
        <v/>
      </c>
      <c r="Y388" s="328" t="str">
        <f t="shared" si="62"/>
        <v/>
      </c>
    </row>
    <row r="389" spans="1:25" ht="14.1" customHeight="1">
      <c r="A389" s="17">
        <v>29</v>
      </c>
      <c r="B389" s="67"/>
      <c r="C389" s="68"/>
      <c r="D389" s="68"/>
      <c r="E389" s="101" t="s">
        <v>322</v>
      </c>
      <c r="F389" s="68"/>
      <c r="G389" s="68"/>
      <c r="H389" s="68"/>
      <c r="I389" s="68"/>
      <c r="J389" s="68"/>
      <c r="K389" s="68"/>
      <c r="L389" s="68"/>
      <c r="M389" s="69"/>
      <c r="O389" s="320" t="s">
        <v>344</v>
      </c>
      <c r="P389" s="759"/>
      <c r="Q389" s="759"/>
      <c r="R389" s="317"/>
      <c r="S389" s="318" t="str">
        <f>IF(AB86="","",AB86)</f>
        <v/>
      </c>
      <c r="T389" s="319" t="str">
        <f>IF(AB87="","",AB87)</f>
        <v/>
      </c>
      <c r="U389" s="759"/>
      <c r="V389" s="759"/>
      <c r="W389" s="317"/>
      <c r="X389" s="318" t="str">
        <f>IF(AG86="","",AG86)</f>
        <v/>
      </c>
      <c r="Y389" s="319" t="str">
        <f>IF(AG87="","",AG87)</f>
        <v/>
      </c>
    </row>
    <row r="390" spans="1:25" ht="14.1" customHeight="1">
      <c r="A390" s="17">
        <v>30</v>
      </c>
      <c r="B390" s="67"/>
      <c r="C390" s="68"/>
      <c r="D390" s="68"/>
      <c r="E390" s="68"/>
      <c r="F390" s="68"/>
      <c r="G390" s="68"/>
      <c r="H390" s="68"/>
      <c r="I390" s="68"/>
      <c r="J390" s="68"/>
      <c r="K390" s="68"/>
      <c r="L390" s="68"/>
      <c r="M390" s="69"/>
      <c r="O390" s="30"/>
      <c r="P390" s="113" t="s">
        <v>203</v>
      </c>
      <c r="Q390" s="138" t="s">
        <v>345</v>
      </c>
      <c r="Y390" s="32"/>
    </row>
    <row r="391" spans="1:25" ht="14.1" customHeight="1">
      <c r="A391" s="17">
        <v>31</v>
      </c>
      <c r="B391" s="67"/>
      <c r="C391" s="146" t="s">
        <v>323</v>
      </c>
      <c r="D391" s="68"/>
      <c r="E391" s="68"/>
      <c r="F391" s="68"/>
      <c r="G391" s="68"/>
      <c r="H391" s="68"/>
      <c r="I391" s="68"/>
      <c r="J391" s="68"/>
      <c r="K391" s="68"/>
      <c r="L391" s="68"/>
      <c r="M391" s="69"/>
      <c r="O391" s="30"/>
      <c r="Q391" s="138" t="s">
        <v>346</v>
      </c>
      <c r="Y391" s="32"/>
    </row>
    <row r="392" spans="1:25" ht="14.1" customHeight="1" thickBot="1">
      <c r="A392" s="17">
        <v>32</v>
      </c>
      <c r="B392" s="67"/>
      <c r="C392" s="68"/>
      <c r="D392" s="495" t="s">
        <v>324</v>
      </c>
      <c r="E392" s="495"/>
      <c r="F392" s="335"/>
      <c r="G392" s="335"/>
      <c r="H392" s="495" t="s">
        <v>325</v>
      </c>
      <c r="I392" s="495"/>
      <c r="J392" s="68"/>
      <c r="K392" s="335"/>
      <c r="L392" s="313" t="s">
        <v>326</v>
      </c>
      <c r="M392" s="313"/>
      <c r="O392" s="40"/>
      <c r="P392" s="41"/>
      <c r="Q392" s="272" t="s">
        <v>347</v>
      </c>
      <c r="R392" s="41"/>
      <c r="S392" s="41"/>
      <c r="T392" s="41"/>
      <c r="U392" s="41"/>
      <c r="V392" s="41"/>
      <c r="W392" s="41"/>
      <c r="X392" s="41"/>
      <c r="Y392" s="42"/>
    </row>
    <row r="393" spans="1:25" ht="14.1" customHeight="1">
      <c r="A393" s="17">
        <v>33</v>
      </c>
      <c r="B393" s="67"/>
      <c r="C393" s="335"/>
      <c r="D393" s="162" t="s">
        <v>172</v>
      </c>
      <c r="E393" s="489" t="str">
        <f>IF(Q423="","",Q423)</f>
        <v/>
      </c>
      <c r="F393" s="335"/>
      <c r="G393" s="162" t="s">
        <v>70</v>
      </c>
      <c r="H393" s="341" t="str">
        <f>IF(Q438="","",Q438)</f>
        <v>Mo/Mo</v>
      </c>
      <c r="I393" s="296" t="str">
        <f>IF(R438="","",R438)</f>
        <v>Mo/Rh</v>
      </c>
      <c r="J393" s="342" t="str">
        <f>IF(S438="","",S438)</f>
        <v>W/Rh</v>
      </c>
      <c r="K393" s="335"/>
      <c r="L393" s="107" t="s">
        <v>253</v>
      </c>
      <c r="M393" s="260" t="s">
        <v>254</v>
      </c>
      <c r="O393" s="136" t="s">
        <v>348</v>
      </c>
      <c r="P393" s="23"/>
      <c r="Q393" s="23"/>
      <c r="R393" s="23"/>
      <c r="S393" s="23"/>
      <c r="T393" s="23"/>
      <c r="U393" s="23"/>
      <c r="V393" s="23"/>
      <c r="W393" s="23"/>
      <c r="X393" s="23"/>
      <c r="Y393" s="24"/>
    </row>
    <row r="394" spans="1:25" ht="14.1" customHeight="1" thickBot="1">
      <c r="A394" s="17">
        <v>34</v>
      </c>
      <c r="B394" s="67"/>
      <c r="C394" s="335"/>
      <c r="D394" s="162" t="s">
        <v>175</v>
      </c>
      <c r="E394" s="490" t="str">
        <f>IF(Q424="","",Q424)</f>
        <v/>
      </c>
      <c r="F394" s="335"/>
      <c r="G394" s="162" t="s">
        <v>172</v>
      </c>
      <c r="H394" s="341" t="str">
        <f>IF(Q439="","",Q439)</f>
        <v/>
      </c>
      <c r="I394" s="296" t="str">
        <f>IF(R439="","",R439)</f>
        <v/>
      </c>
      <c r="J394" s="342" t="str">
        <f>IF(S439="","",S439)</f>
        <v/>
      </c>
      <c r="K394" s="335"/>
      <c r="L394" s="162" t="s">
        <v>328</v>
      </c>
      <c r="M394" s="262" t="str">
        <f>IF(R431="","",R431)</f>
        <v/>
      </c>
      <c r="O394" s="30"/>
      <c r="P394" s="35" t="s">
        <v>94</v>
      </c>
      <c r="Q394" s="758" t="str">
        <f>AK10&amp;"/"&amp;AL10</f>
        <v>/</v>
      </c>
      <c r="R394" s="35" t="s">
        <v>172</v>
      </c>
      <c r="S394" s="758">
        <f>AH27</f>
        <v>28</v>
      </c>
      <c r="T394" s="752"/>
      <c r="Y394" s="32"/>
    </row>
    <row r="395" spans="1:25" ht="14.1" customHeight="1">
      <c r="A395" s="17">
        <v>35</v>
      </c>
      <c r="B395" s="67"/>
      <c r="C395" s="335"/>
      <c r="D395" s="162" t="s">
        <v>330</v>
      </c>
      <c r="E395" s="490" t="str">
        <f>IF(Q425="","",Q425)</f>
        <v/>
      </c>
      <c r="F395" s="335"/>
      <c r="G395" s="162" t="s">
        <v>175</v>
      </c>
      <c r="H395" s="341" t="str">
        <f>IF(Q440="","",Q440)</f>
        <v/>
      </c>
      <c r="I395" s="296" t="str">
        <f>IF(R440="","",R440)</f>
        <v/>
      </c>
      <c r="J395" s="342" t="str">
        <f>IF(S440="","",S440)</f>
        <v/>
      </c>
      <c r="K395" s="162" t="s">
        <v>186</v>
      </c>
      <c r="L395" s="204" t="str">
        <f>IF(Q433="","",Q433)</f>
        <v/>
      </c>
      <c r="M395" s="263" t="str">
        <f>IF(R433="","",R433)</f>
        <v/>
      </c>
      <c r="O395" s="30"/>
      <c r="P395" s="752" t="s">
        <v>71</v>
      </c>
      <c r="Q395" s="752" t="s">
        <v>24</v>
      </c>
      <c r="R395" s="752" t="s">
        <v>25</v>
      </c>
      <c r="S395" s="752" t="s">
        <v>26</v>
      </c>
      <c r="T395" s="752" t="s">
        <v>336</v>
      </c>
      <c r="U395" s="752" t="s">
        <v>337</v>
      </c>
      <c r="V395" s="4"/>
      <c r="W395" s="4"/>
      <c r="X395" s="4"/>
      <c r="Y395" s="32"/>
    </row>
    <row r="396" spans="1:25" ht="14.1" customHeight="1">
      <c r="A396" s="17">
        <v>36</v>
      </c>
      <c r="B396" s="67"/>
      <c r="C396" s="335"/>
      <c r="D396" s="162" t="s">
        <v>181</v>
      </c>
      <c r="E396" s="490" t="str">
        <f>IF(Q426="","",Q426)</f>
        <v/>
      </c>
      <c r="F396" s="335"/>
      <c r="G396" s="162" t="s">
        <v>186</v>
      </c>
      <c r="H396" s="341" t="str">
        <f>IF(Q441="","",Q441)</f>
        <v/>
      </c>
      <c r="I396" s="296" t="str">
        <f>IF(R441="","",R441)</f>
        <v/>
      </c>
      <c r="J396" s="342" t="str">
        <f>IF(S441="","",S441)</f>
        <v/>
      </c>
      <c r="K396" s="162" t="s">
        <v>188</v>
      </c>
      <c r="L396" s="206" t="str">
        <f>IF(Q434="","",Q434)</f>
        <v/>
      </c>
      <c r="M396" s="265" t="str">
        <f>IF(R434="","",R434)</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335"/>
      <c r="D397" s="162" t="s">
        <v>183</v>
      </c>
      <c r="E397" s="490" t="str">
        <f>IF(Q427="","",Q427)</f>
        <v/>
      </c>
      <c r="F397" s="335"/>
      <c r="G397" s="162" t="s">
        <v>188</v>
      </c>
      <c r="H397" s="391" t="str">
        <f>IF(Q442="","",Q442)</f>
        <v/>
      </c>
      <c r="I397" s="447" t="str">
        <f>IF(R442="","",R442)</f>
        <v/>
      </c>
      <c r="J397" s="392" t="str">
        <f>IF(S442="","",S442)</f>
        <v/>
      </c>
      <c r="K397" s="162" t="s">
        <v>190</v>
      </c>
      <c r="L397" s="207" t="str">
        <f>IF(Q435="","",Q435)</f>
        <v/>
      </c>
      <c r="M397" s="266" t="str">
        <f>IF(R435="","",R435)</f>
        <v/>
      </c>
      <c r="O397" s="30"/>
      <c r="P397" s="11">
        <f>IF(AI28="","",AI28)</f>
        <v>50</v>
      </c>
      <c r="Q397" s="12" t="str">
        <f>P386</f>
        <v/>
      </c>
      <c r="R397" s="106" t="str">
        <f>Q386</f>
        <v/>
      </c>
      <c r="S397" s="12" t="str">
        <f>R386</f>
        <v/>
      </c>
      <c r="T397" s="13" t="str">
        <f>S386</f>
        <v/>
      </c>
      <c r="U397" s="12" t="str">
        <f>T386</f>
        <v/>
      </c>
      <c r="V397" s="4"/>
      <c r="W397" s="4"/>
      <c r="X397" s="4"/>
      <c r="Y397" s="32"/>
    </row>
    <row r="398" spans="1:25" ht="14.1" customHeight="1" thickBot="1">
      <c r="A398" s="17">
        <v>38</v>
      </c>
      <c r="B398" s="67"/>
      <c r="C398" s="335"/>
      <c r="D398" s="162" t="s">
        <v>184</v>
      </c>
      <c r="E398" s="490" t="str">
        <f>IF(Q428="","",Q428)</f>
        <v/>
      </c>
      <c r="F398" s="335"/>
      <c r="G398" s="162" t="s">
        <v>190</v>
      </c>
      <c r="H398" s="581" t="str">
        <f>IF(Q443="","",Q443)</f>
        <v/>
      </c>
      <c r="I398" s="582" t="str">
        <f>IF(R443="","",R443)</f>
        <v/>
      </c>
      <c r="J398" s="583" t="str">
        <f>IF(S443="","",S443)</f>
        <v/>
      </c>
      <c r="K398" s="335"/>
      <c r="L398" s="162" t="s">
        <v>328</v>
      </c>
      <c r="M398" s="262" t="str">
        <f>IF(V431="","",V431)</f>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186</v>
      </c>
      <c r="E399" s="490" t="str">
        <f>IF(U423="","",U423)</f>
        <v/>
      </c>
      <c r="F399" s="335"/>
      <c r="G399" s="162"/>
      <c r="H399" s="453" t="str">
        <f>Q444</f>
        <v/>
      </c>
      <c r="I399" s="431" t="str">
        <f>R444</f>
        <v/>
      </c>
      <c r="J399" s="584" t="str">
        <f>S444</f>
        <v/>
      </c>
      <c r="K399" s="162" t="s">
        <v>186</v>
      </c>
      <c r="L399" s="204" t="str">
        <f>IF(U433="","",U433)</f>
        <v/>
      </c>
      <c r="M399" s="263" t="str">
        <f>IF(V433="","",V433)</f>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C400" s="68"/>
      <c r="D400" s="162" t="s">
        <v>188</v>
      </c>
      <c r="E400" s="490" t="str">
        <f>IF(U424="","",U424)</f>
        <v/>
      </c>
      <c r="F400" s="68"/>
      <c r="G400" s="68"/>
      <c r="H400" s="68"/>
      <c r="I400" s="107"/>
      <c r="J400" s="107"/>
      <c r="K400" s="162" t="s">
        <v>188</v>
      </c>
      <c r="L400" s="206" t="str">
        <f>IF(U434="","",U434)</f>
        <v/>
      </c>
      <c r="M400" s="265" t="str">
        <f>IF(V434="","",V434)</f>
        <v/>
      </c>
      <c r="O400" s="30"/>
      <c r="S400" s="35" t="s">
        <v>349</v>
      </c>
      <c r="T400" s="181" t="str">
        <f>IF(OR(T396="",T397="",T398="",T399=""),"",(MAX(T396:T399)-MIN(T396:T399))/(MAX(T396:T399)+MIN(T396:T399)))</f>
        <v/>
      </c>
      <c r="V400" s="4"/>
      <c r="W400" s="4"/>
      <c r="X400" s="4"/>
      <c r="Y400" s="32"/>
    </row>
    <row r="401" spans="1:25" ht="14.1" customHeight="1" thickBot="1">
      <c r="A401" s="17">
        <v>41</v>
      </c>
      <c r="B401" s="67"/>
      <c r="C401" s="68"/>
      <c r="D401" s="162" t="s">
        <v>190</v>
      </c>
      <c r="E401" s="491" t="str">
        <f>IF(U425="","",U425)</f>
        <v/>
      </c>
      <c r="F401" s="68"/>
      <c r="G401" s="68"/>
      <c r="H401" s="68"/>
      <c r="I401" s="68"/>
      <c r="J401" s="68"/>
      <c r="K401" s="162" t="s">
        <v>190</v>
      </c>
      <c r="L401" s="207" t="str">
        <f>IF(U435="","",U435)</f>
        <v/>
      </c>
      <c r="M401" s="266" t="str">
        <f>IF(V435="","",V435)</f>
        <v/>
      </c>
      <c r="O401" s="30"/>
      <c r="P401" s="113" t="s">
        <v>203</v>
      </c>
      <c r="Q401" s="138" t="s">
        <v>350</v>
      </c>
      <c r="Y401" s="32"/>
    </row>
    <row r="402" spans="1:25" ht="14.1" customHeight="1">
      <c r="A402" s="17">
        <v>42</v>
      </c>
      <c r="B402" s="67"/>
      <c r="C402" s="68"/>
      <c r="D402" s="68"/>
      <c r="E402" s="68"/>
      <c r="F402" s="68"/>
      <c r="G402" s="68"/>
      <c r="H402" s="68"/>
      <c r="I402" s="68"/>
      <c r="J402" s="68"/>
      <c r="K402" s="68"/>
      <c r="L402" s="68"/>
      <c r="M402" s="69"/>
      <c r="O402" s="273" t="str">
        <f>IF(R399="","",IF(R399/1000&gt;=3,1,2))</f>
        <v/>
      </c>
      <c r="P402" s="21" t="s">
        <v>351</v>
      </c>
      <c r="Y402" s="32"/>
    </row>
    <row r="403" spans="1:25" ht="14.1" customHeight="1" thickBot="1">
      <c r="A403" s="17">
        <v>43</v>
      </c>
      <c r="B403" s="67"/>
      <c r="C403" s="68"/>
      <c r="D403" s="3" t="s">
        <v>203</v>
      </c>
      <c r="E403" s="10" t="s">
        <v>366</v>
      </c>
      <c r="F403" s="68"/>
      <c r="G403" s="68"/>
      <c r="H403" s="68"/>
      <c r="I403" s="68"/>
      <c r="J403" s="68"/>
      <c r="K403" s="68"/>
      <c r="L403" s="68"/>
      <c r="M403" s="69"/>
      <c r="O403" s="40"/>
      <c r="P403" s="41"/>
      <c r="Q403" s="41"/>
      <c r="R403" s="41"/>
      <c r="S403" s="41"/>
      <c r="T403" s="41"/>
      <c r="U403" s="41"/>
      <c r="V403" s="41"/>
      <c r="W403" s="41"/>
      <c r="X403" s="41"/>
      <c r="Y403" s="42"/>
    </row>
    <row r="404" spans="1:25" ht="14.1" customHeight="1" thickBot="1">
      <c r="A404" s="17">
        <v>44</v>
      </c>
      <c r="B404" s="376"/>
      <c r="C404" s="377"/>
      <c r="D404" s="377"/>
      <c r="E404" s="377"/>
      <c r="F404" s="377"/>
      <c r="G404" s="377"/>
      <c r="H404" s="377"/>
      <c r="I404" s="377"/>
      <c r="J404" s="377"/>
      <c r="K404" s="377"/>
      <c r="L404" s="377"/>
      <c r="M404" s="378"/>
      <c r="O404" s="136" t="s">
        <v>353</v>
      </c>
      <c r="P404" s="23"/>
      <c r="Q404" s="690">
        <v>1</v>
      </c>
      <c r="R404" s="23" t="s">
        <v>515</v>
      </c>
      <c r="S404" s="23"/>
      <c r="T404" s="23"/>
      <c r="U404" s="23"/>
      <c r="V404" s="23"/>
      <c r="W404" s="23"/>
      <c r="X404" s="23"/>
      <c r="Y404" s="24"/>
    </row>
    <row r="405" spans="1:25" ht="14.1" customHeight="1">
      <c r="A405" s="17">
        <v>45</v>
      </c>
      <c r="B405" s="67"/>
      <c r="C405" s="75" t="s">
        <v>588</v>
      </c>
      <c r="H405" s="75" t="s">
        <v>595</v>
      </c>
      <c r="M405" s="69"/>
      <c r="O405" s="30"/>
      <c r="P405" s="686" t="s">
        <v>70</v>
      </c>
      <c r="Q405" s="687" t="str">
        <f>$P$358</f>
        <v>/</v>
      </c>
      <c r="R405" s="687" t="str">
        <f>$P$365</f>
        <v>/</v>
      </c>
      <c r="S405" s="687" t="str">
        <f>$P$371</f>
        <v>/</v>
      </c>
      <c r="T405"/>
      <c r="U405"/>
      <c r="V405"/>
      <c r="W405"/>
      <c r="X405"/>
      <c r="Y405"/>
    </row>
    <row r="406" spans="1:25" ht="14.1" customHeight="1" thickBot="1">
      <c r="A406" s="17">
        <v>46</v>
      </c>
      <c r="B406" s="67"/>
      <c r="D406" s="35" t="s">
        <v>594</v>
      </c>
      <c r="E406" s="35" t="s">
        <v>591</v>
      </c>
      <c r="F406" s="718">
        <f>IF(R297="","",R297)</f>
        <v>101.3</v>
      </c>
      <c r="M406" s="69"/>
      <c r="O406" s="30"/>
      <c r="P406" s="688" t="s">
        <v>268</v>
      </c>
      <c r="Q406" s="689">
        <f>AH28</f>
        <v>28</v>
      </c>
      <c r="R406" s="689">
        <f>AH57</f>
        <v>28</v>
      </c>
      <c r="S406" s="689">
        <f>AH91</f>
        <v>28</v>
      </c>
      <c r="T406"/>
      <c r="U406"/>
      <c r="V406"/>
      <c r="W406"/>
      <c r="X406"/>
      <c r="Y406"/>
    </row>
    <row r="407" spans="1:25" ht="14.1" customHeight="1" thickBot="1">
      <c r="A407" s="17">
        <v>47</v>
      </c>
      <c r="B407" s="67"/>
      <c r="E407" s="35" t="s">
        <v>592</v>
      </c>
      <c r="F407" s="381">
        <f>IF(R298="","",R298)</f>
        <v>108</v>
      </c>
      <c r="M407" s="69"/>
      <c r="O407" s="30"/>
      <c r="P407" s="688" t="s">
        <v>354</v>
      </c>
      <c r="Q407" s="689" t="s">
        <v>355</v>
      </c>
      <c r="R407" s="689"/>
      <c r="S407" s="689"/>
      <c r="T407"/>
      <c r="U407"/>
      <c r="V407"/>
      <c r="W407"/>
      <c r="X407"/>
      <c r="Y407"/>
    </row>
    <row r="408" spans="1:25" ht="14.1" customHeight="1" thickBot="1">
      <c r="A408" s="17">
        <v>48</v>
      </c>
      <c r="B408" s="67"/>
      <c r="D408" s="707" t="s">
        <v>590</v>
      </c>
      <c r="E408" s="707" t="s">
        <v>589</v>
      </c>
      <c r="F408" s="707" t="s">
        <v>290</v>
      </c>
      <c r="I408" s="707" t="s">
        <v>642</v>
      </c>
      <c r="J408" s="707" t="s">
        <v>614</v>
      </c>
      <c r="K408" s="707" t="s">
        <v>615</v>
      </c>
      <c r="L408" s="707" t="s">
        <v>290</v>
      </c>
      <c r="M408" s="69"/>
      <c r="O408" s="30"/>
      <c r="P408" s="688">
        <v>0</v>
      </c>
      <c r="Q408" s="762" t="str">
        <f>IF(AO28="","",AO28)</f>
        <v/>
      </c>
      <c r="R408" s="762" t="str">
        <f>IF(AO57="","",AO57)</f>
        <v/>
      </c>
      <c r="S408" s="762" t="str">
        <f>IF(AO91="","",AVERAGE(AO91:AO92))</f>
        <v/>
      </c>
      <c r="T408"/>
      <c r="U408"/>
      <c r="V408"/>
      <c r="W408"/>
      <c r="X408"/>
      <c r="Y408"/>
    </row>
    <row r="409" spans="1:25" ht="14.1" customHeight="1">
      <c r="A409" s="17">
        <v>49</v>
      </c>
      <c r="B409" s="67"/>
      <c r="C409" s="35" t="s">
        <v>605</v>
      </c>
      <c r="D409" s="708" t="str">
        <f>IF(P300="","",P300)</f>
        <v/>
      </c>
      <c r="E409" s="709" t="str">
        <f>IF(Q300="","",Q300)</f>
        <v/>
      </c>
      <c r="F409" s="710" t="str">
        <f>IF(R300="","",R300)</f>
        <v/>
      </c>
      <c r="H409" s="35" t="s">
        <v>605</v>
      </c>
      <c r="I409" s="708" t="str">
        <f>IF(U306="","",U306)</f>
        <v/>
      </c>
      <c r="J409" s="441" t="str">
        <f>IF(Q336="","",Q336)</f>
        <v/>
      </c>
      <c r="K409" s="441" t="str">
        <f>IF(Q337="","",Q337)</f>
        <v/>
      </c>
      <c r="L409" s="710" t="str">
        <f>IF(OR(R336="",R337=""),"",IF(AND(R336="Pass",R337="Pass"),"Pass","Fail"))</f>
        <v/>
      </c>
      <c r="M409" s="69"/>
      <c r="O409" s="30"/>
      <c r="P409" s="688">
        <v>0</v>
      </c>
      <c r="Q409" s="762" t="str">
        <f>IF(AO29="","",AO29)</f>
        <v/>
      </c>
      <c r="R409" s="762" t="str">
        <f>IF(AO58="","",AO58)</f>
        <v/>
      </c>
      <c r="S409" s="762" t="str">
        <f>IF(AO93="","",AVERAGE(AO93:AO94))</f>
        <v/>
      </c>
      <c r="T409"/>
      <c r="U409"/>
      <c r="V409"/>
      <c r="W409"/>
      <c r="X409"/>
      <c r="Y409"/>
    </row>
    <row r="410" spans="1:25" ht="14.1" customHeight="1">
      <c r="A410" s="17">
        <v>50</v>
      </c>
      <c r="B410" s="67"/>
      <c r="C410" s="35" t="s">
        <v>606</v>
      </c>
      <c r="D410" s="341" t="str">
        <f>IF(P301="","",P301)</f>
        <v/>
      </c>
      <c r="E410" s="296" t="str">
        <f>IF(Q301="","",Q301)</f>
        <v/>
      </c>
      <c r="F410" s="342" t="str">
        <f>IF(R301="","",R301)</f>
        <v/>
      </c>
      <c r="H410" s="35" t="s">
        <v>606</v>
      </c>
      <c r="I410" s="341" t="str">
        <f>IF(U314="","",U314)</f>
        <v/>
      </c>
      <c r="J410" s="303" t="str">
        <f>IF(T336="","",T336)</f>
        <v/>
      </c>
      <c r="K410" s="303" t="str">
        <f>IF(T337="","",T337)</f>
        <v/>
      </c>
      <c r="L410" s="342" t="str">
        <f>IF(OR(U336="",U337=""),"",IF(AND(U336="Pass",U337="Pass"),"Pass","Fail"))</f>
        <v/>
      </c>
      <c r="M410" s="69"/>
      <c r="O410" s="30"/>
      <c r="P410" s="688" t="s">
        <v>356</v>
      </c>
      <c r="Q410" s="762" t="str">
        <f>IF('HVL Processing'!G19="","",'HVL Processing'!G19)</f>
        <v/>
      </c>
      <c r="R410" s="762" t="str">
        <f>IF('HVL Processing'!O3="","",'HVL Processing'!O3)</f>
        <v/>
      </c>
      <c r="S410" s="762" t="str">
        <f>IF('HVL Processing'!W3="","",'HVL Processing'!W3)</f>
        <v/>
      </c>
      <c r="T410"/>
      <c r="U410"/>
      <c r="V410"/>
      <c r="W410"/>
      <c r="X410"/>
      <c r="Y410"/>
    </row>
    <row r="411" spans="1:25" ht="14.1" customHeight="1" thickBot="1">
      <c r="A411" s="17">
        <v>51</v>
      </c>
      <c r="B411" s="67"/>
      <c r="C411" s="35" t="s">
        <v>607</v>
      </c>
      <c r="D411" s="391" t="str">
        <f>IF(P302="","",P302)</f>
        <v/>
      </c>
      <c r="E411" s="447" t="str">
        <f>IF(Q302="","",Q302)</f>
        <v/>
      </c>
      <c r="F411" s="392" t="str">
        <f>IF(R302="","",R302)</f>
        <v/>
      </c>
      <c r="H411" s="35" t="s">
        <v>607</v>
      </c>
      <c r="I411" s="391" t="str">
        <f>IF(U321="","",U321)</f>
        <v/>
      </c>
      <c r="J411" s="448" t="str">
        <f>IF(W336="","",W336)</f>
        <v/>
      </c>
      <c r="K411" s="448" t="str">
        <f>IF(W337="","",W337)</f>
        <v/>
      </c>
      <c r="L411" s="392" t="str">
        <f>IF(OR(X336="",X337=""),"",IF(AND(X336="Pass",X337="Pass"),"Pass","Fail"))</f>
        <v/>
      </c>
      <c r="M411" s="69"/>
      <c r="O411" s="30"/>
      <c r="P411" s="688" t="s">
        <v>357</v>
      </c>
      <c r="Q411" s="761" t="str">
        <f>IF(OR(Q408="",Q409=""),"",ABS(Q409-Q408)/Q408)</f>
        <v/>
      </c>
      <c r="R411" s="761" t="str">
        <f t="shared" ref="R411:S411" si="63">IF(OR(R408="",R409=""),"",ABS(R409-R408)/R408)</f>
        <v/>
      </c>
      <c r="S411" s="761" t="str">
        <f t="shared" si="63"/>
        <v/>
      </c>
      <c r="T411"/>
      <c r="U411"/>
      <c r="V411"/>
      <c r="W411"/>
      <c r="X411"/>
      <c r="Y411"/>
    </row>
    <row r="412" spans="1:25" ht="14.1" customHeight="1" thickBot="1">
      <c r="A412" s="17">
        <v>52</v>
      </c>
      <c r="B412" s="67"/>
      <c r="D412" s="113" t="str">
        <f>P303</f>
        <v>Criteria:</v>
      </c>
      <c r="E412" s="138" t="str">
        <f>Q303</f>
        <v>x/y measurements within +/- 2% of actual phantom dimensions</v>
      </c>
      <c r="M412" s="69"/>
      <c r="O412" s="30"/>
      <c r="P412" s="391" t="s">
        <v>217</v>
      </c>
      <c r="Q412" s="447" t="str">
        <f t="shared" ref="Q412:R412" si="64">IF(Q410="","",IF(Q410&gt;=0.28,"Pass","Fail"))</f>
        <v/>
      </c>
      <c r="R412" s="447" t="str">
        <f t="shared" si="64"/>
        <v/>
      </c>
      <c r="S412" s="447" t="str">
        <f>IF(S410="","",IF(S410&gt;=0.28,"Pass","Fail"))</f>
        <v/>
      </c>
      <c r="T412"/>
      <c r="U412"/>
      <c r="V412"/>
      <c r="W412"/>
      <c r="X412"/>
      <c r="Y412"/>
    </row>
    <row r="413" spans="1:25" ht="14.1" customHeight="1">
      <c r="A413" s="17">
        <v>53</v>
      </c>
      <c r="B413" s="67"/>
      <c r="E413" s="138" t="str">
        <f>Q340</f>
        <v>ASF(a) is &lt; 0.9 for all positions. ASF(b) is &lt; 0.6 for all positions</v>
      </c>
      <c r="M413" s="69"/>
      <c r="O413" s="30"/>
      <c r="P413" s="626"/>
      <c r="Q413" s="626" t="s">
        <v>576</v>
      </c>
      <c r="R413" s="626" t="s">
        <v>576</v>
      </c>
      <c r="S413" s="626" t="s">
        <v>576</v>
      </c>
      <c r="T413" s="626" t="s">
        <v>576</v>
      </c>
      <c r="U413" s="626" t="s">
        <v>576</v>
      </c>
      <c r="V413" s="626" t="s">
        <v>576</v>
      </c>
      <c r="W413" s="306" t="s">
        <v>576</v>
      </c>
      <c r="X413" s="306" t="s">
        <v>576</v>
      </c>
      <c r="Y413" s="32"/>
    </row>
    <row r="414" spans="1:25" ht="14.1" customHeight="1">
      <c r="A414" s="17">
        <v>54</v>
      </c>
      <c r="B414" s="67"/>
      <c r="M414" s="69"/>
      <c r="O414" s="30"/>
      <c r="P414" s="626"/>
      <c r="Q414" s="626"/>
      <c r="R414" s="626"/>
      <c r="S414" s="626"/>
      <c r="T414" s="626"/>
      <c r="U414" s="626"/>
      <c r="V414" s="626"/>
      <c r="W414" s="307"/>
      <c r="X414" s="307"/>
      <c r="Y414" s="32"/>
    </row>
    <row r="415" spans="1:25" ht="14.1" customHeight="1">
      <c r="A415" s="17">
        <v>55</v>
      </c>
      <c r="B415" s="67"/>
      <c r="C415" s="75" t="s">
        <v>617</v>
      </c>
      <c r="M415" s="69"/>
      <c r="O415" s="30"/>
      <c r="P415" s="626"/>
      <c r="Q415" s="626"/>
      <c r="R415" s="626"/>
      <c r="S415" s="626"/>
      <c r="T415" s="626"/>
      <c r="U415" s="626"/>
      <c r="V415" s="626"/>
      <c r="W415" s="308"/>
      <c r="X415" s="308"/>
      <c r="Y415" s="32"/>
    </row>
    <row r="416" spans="1:25" ht="14.1" customHeight="1" thickBot="1">
      <c r="A416" s="17">
        <v>56</v>
      </c>
      <c r="B416" s="67"/>
      <c r="D416" s="707" t="s">
        <v>618</v>
      </c>
      <c r="E416" s="707" t="s">
        <v>619</v>
      </c>
      <c r="F416" s="707" t="s">
        <v>620</v>
      </c>
      <c r="G416" s="707" t="s">
        <v>621</v>
      </c>
      <c r="M416" s="69"/>
      <c r="O416" s="30"/>
      <c r="P416" s="626"/>
      <c r="Q416" s="626"/>
      <c r="R416" s="626"/>
      <c r="S416" s="626"/>
      <c r="T416" s="626"/>
      <c r="U416" s="626"/>
      <c r="V416" s="626"/>
      <c r="W416" s="308"/>
      <c r="X416" s="308"/>
      <c r="Y416" s="32"/>
    </row>
    <row r="417" spans="1:25" ht="14.1" customHeight="1">
      <c r="A417" s="17">
        <v>57</v>
      </c>
      <c r="B417" s="67"/>
      <c r="C417" s="162" t="s">
        <v>186</v>
      </c>
      <c r="D417" s="708" t="str">
        <f>IF(P344="","",P344)</f>
        <v/>
      </c>
      <c r="E417" s="709" t="str">
        <f>IF(Q344="","",Q344)</f>
        <v/>
      </c>
      <c r="F417" s="709" t="str">
        <f>IF(R344="","",R344)</f>
        <v/>
      </c>
      <c r="G417" s="710" t="str">
        <f>IF(S344="","",S344)</f>
        <v/>
      </c>
      <c r="M417" s="69"/>
      <c r="O417" s="30"/>
      <c r="P417" s="626"/>
      <c r="Q417" s="626"/>
      <c r="R417" s="626"/>
      <c r="S417" s="626"/>
      <c r="T417" s="626"/>
      <c r="U417" s="626"/>
      <c r="V417" s="626"/>
      <c r="W417" s="759"/>
      <c r="X417" s="759"/>
      <c r="Y417" s="234"/>
    </row>
    <row r="418" spans="1:25" ht="14.1" customHeight="1" thickBot="1">
      <c r="A418" s="17">
        <v>58</v>
      </c>
      <c r="B418" s="67"/>
      <c r="C418" s="162" t="s">
        <v>188</v>
      </c>
      <c r="D418" s="341" t="str">
        <f>IF(P345="","",P345)</f>
        <v/>
      </c>
      <c r="E418" s="296" t="str">
        <f>IF(Q345="","",Q345)</f>
        <v/>
      </c>
      <c r="F418" s="296" t="str">
        <f>IF(R345="","",R345)</f>
        <v/>
      </c>
      <c r="G418" s="342" t="str">
        <f>IF(S345="","",S345)</f>
        <v/>
      </c>
      <c r="M418" s="69"/>
      <c r="O418" s="40"/>
      <c r="P418" s="113" t="s">
        <v>203</v>
      </c>
      <c r="Q418" s="191" t="s">
        <v>651</v>
      </c>
      <c r="R418" s="4"/>
      <c r="S418" s="4"/>
      <c r="T418" s="4"/>
      <c r="U418" s="4"/>
      <c r="V418" s="4"/>
      <c r="W418" s="4"/>
      <c r="X418" s="4"/>
      <c r="Y418" s="42"/>
    </row>
    <row r="419" spans="1:25" ht="14.1" customHeight="1">
      <c r="A419" s="17">
        <v>59</v>
      </c>
      <c r="B419" s="67"/>
      <c r="C419" s="162" t="s">
        <v>190</v>
      </c>
      <c r="D419" s="341" t="str">
        <f>IF(P346="","",P346)</f>
        <v/>
      </c>
      <c r="E419" s="296" t="str">
        <f>IF(Q346="","",Q346)</f>
        <v/>
      </c>
      <c r="F419" s="296" t="str">
        <f>IF(R346="","",R346)</f>
        <v/>
      </c>
      <c r="G419" s="342" t="str">
        <f>IF(S346="","",S346)</f>
        <v/>
      </c>
      <c r="M419" s="69"/>
      <c r="O419" s="136" t="s">
        <v>323</v>
      </c>
      <c r="P419" s="23"/>
      <c r="Q419" s="23"/>
      <c r="R419" s="23"/>
      <c r="S419" s="23"/>
      <c r="T419" s="23"/>
      <c r="U419" s="23"/>
      <c r="V419" s="23"/>
      <c r="W419" s="23"/>
      <c r="X419" s="23"/>
      <c r="Y419" s="24"/>
    </row>
    <row r="420" spans="1:25" ht="14.1" customHeight="1" thickBot="1">
      <c r="A420" s="17">
        <v>60</v>
      </c>
      <c r="B420" s="67"/>
      <c r="C420" s="162" t="s">
        <v>217</v>
      </c>
      <c r="D420" s="391" t="str">
        <f>IF(P347="","",P347)</f>
        <v/>
      </c>
      <c r="E420" s="447" t="str">
        <f>IF(Q347="","",Q347)</f>
        <v/>
      </c>
      <c r="F420" s="447" t="str">
        <f>IF(R347="","",R347)</f>
        <v/>
      </c>
      <c r="G420" s="392" t="str">
        <f>IF(S347="","",S347)</f>
        <v/>
      </c>
      <c r="M420" s="69"/>
      <c r="O420" s="278" t="s">
        <v>324</v>
      </c>
      <c r="P420" s="35" t="s">
        <v>43</v>
      </c>
      <c r="Q420" s="264"/>
      <c r="R420" s="35" t="s">
        <v>338</v>
      </c>
      <c r="S420" s="264"/>
      <c r="U420" s="35" t="s">
        <v>358</v>
      </c>
      <c r="V420" s="264"/>
      <c r="Y420" s="32"/>
    </row>
    <row r="421" spans="1:25" ht="14.1" customHeight="1">
      <c r="A421" s="17">
        <v>61</v>
      </c>
      <c r="B421" s="67"/>
      <c r="D421" s="113" t="str">
        <f>P340</f>
        <v>Criteria:</v>
      </c>
      <c r="E421" s="138" t="str">
        <f>Q340</f>
        <v>ASF(a) is &lt; 0.9 for all positions. ASF(b) is &lt; 0.6 for all positions</v>
      </c>
      <c r="M421" s="69"/>
      <c r="O421" s="30"/>
      <c r="Y421" s="32"/>
    </row>
    <row r="422" spans="1:25" ht="14.1" customHeight="1">
      <c r="A422" s="17">
        <v>62</v>
      </c>
      <c r="B422" s="67"/>
      <c r="M422" s="69"/>
      <c r="O422" s="30"/>
      <c r="P422" s="35"/>
      <c r="R422" s="21" t="s">
        <v>320</v>
      </c>
      <c r="V422" s="21" t="s">
        <v>320</v>
      </c>
      <c r="Y422" s="32"/>
    </row>
    <row r="423" spans="1:25" ht="14.1" customHeight="1">
      <c r="A423" s="17">
        <v>63</v>
      </c>
      <c r="B423" s="67"/>
      <c r="M423" s="69"/>
      <c r="O423" s="30"/>
      <c r="P423" s="35" t="s">
        <v>172</v>
      </c>
      <c r="Q423" s="145"/>
      <c r="R423" s="122" t="str">
        <f>IF(AB91="","",AB91)</f>
        <v/>
      </c>
      <c r="T423" s="35" t="s">
        <v>186</v>
      </c>
      <c r="U423" s="145"/>
      <c r="V423" s="122" t="str">
        <f>IF(AB97="","",AB97)</f>
        <v/>
      </c>
      <c r="Y423" s="32"/>
    </row>
    <row r="424" spans="1:25" ht="14.1" customHeight="1">
      <c r="A424" s="17">
        <v>64</v>
      </c>
      <c r="B424" s="67"/>
      <c r="M424" s="69"/>
      <c r="O424" s="30"/>
      <c r="P424" s="35" t="s">
        <v>175</v>
      </c>
      <c r="Q424" s="145"/>
      <c r="R424" s="122" t="str">
        <f>IF(AB92="","",AB92)</f>
        <v/>
      </c>
      <c r="T424" s="35" t="s">
        <v>188</v>
      </c>
      <c r="U424" s="145"/>
      <c r="V424" s="122" t="str">
        <f>IF(AB98="","",AB98)</f>
        <v/>
      </c>
      <c r="Y424" s="32"/>
    </row>
    <row r="425" spans="1:25" ht="14.1" customHeight="1" thickBot="1">
      <c r="A425" s="17">
        <v>65</v>
      </c>
      <c r="B425" s="67"/>
      <c r="M425" s="69"/>
      <c r="O425" s="30"/>
      <c r="P425" s="35" t="s">
        <v>330</v>
      </c>
      <c r="Q425" s="145"/>
      <c r="R425" s="122" t="str">
        <f>IF(AB93="","",AB93)</f>
        <v/>
      </c>
      <c r="T425" s="35" t="s">
        <v>190</v>
      </c>
      <c r="U425" s="145"/>
      <c r="V425" s="122" t="str">
        <f>IF(AB99="","",AB99)</f>
        <v/>
      </c>
      <c r="Y425" s="32"/>
    </row>
    <row r="426" spans="1:25" ht="14.1" customHeight="1" thickBot="1">
      <c r="A426" s="17">
        <v>66</v>
      </c>
      <c r="B426" s="67"/>
      <c r="M426" s="69"/>
      <c r="O426" s="30"/>
      <c r="P426" s="35" t="s">
        <v>181</v>
      </c>
      <c r="Q426" s="145"/>
      <c r="R426" s="122" t="str">
        <f>IF(AB94="","",AB94)</f>
        <v/>
      </c>
      <c r="T426" s="35" t="s">
        <v>217</v>
      </c>
      <c r="U426" s="144" t="str">
        <f>IF(OR(U423="",U424="",U425=""),"",IF(AND(U423&gt;=5,U424&gt;=4,U425&gt;=4),"Pass","Fail"))</f>
        <v/>
      </c>
      <c r="Y426" s="32"/>
    </row>
    <row r="427" spans="1:25" ht="14.1" customHeight="1">
      <c r="A427" s="17">
        <v>67</v>
      </c>
      <c r="B427" s="67"/>
      <c r="M427" s="69"/>
      <c r="O427" s="30"/>
      <c r="P427" s="35" t="s">
        <v>183</v>
      </c>
      <c r="Q427" s="145"/>
      <c r="R427" s="122" t="str">
        <f>IF(AB95="","",AB95)</f>
        <v/>
      </c>
      <c r="T427" s="113" t="s">
        <v>203</v>
      </c>
      <c r="U427" s="138" t="s">
        <v>359</v>
      </c>
      <c r="Y427" s="32"/>
    </row>
    <row r="428" spans="1:25" ht="14.1" customHeight="1">
      <c r="A428" s="17">
        <v>68</v>
      </c>
      <c r="B428" s="67"/>
      <c r="M428" s="69"/>
      <c r="O428" s="30"/>
      <c r="P428" s="35" t="s">
        <v>184</v>
      </c>
      <c r="Q428" s="16" t="str">
        <f>IF(OR(Q426="",Q427=""),"",Q427-Q426)</f>
        <v/>
      </c>
      <c r="R428" s="122" t="str">
        <f>IF(AB96="","",AB96)</f>
        <v/>
      </c>
      <c r="Y428" s="32"/>
    </row>
    <row r="429" spans="1:25" ht="14.1" customHeight="1">
      <c r="A429" s="17">
        <v>69</v>
      </c>
      <c r="B429" s="67"/>
      <c r="C429" s="68"/>
      <c r="D429" s="68"/>
      <c r="E429" s="68"/>
      <c r="F429" s="68"/>
      <c r="G429" s="68"/>
      <c r="H429" s="68"/>
      <c r="I429" s="68"/>
      <c r="J429" s="68"/>
      <c r="K429" s="68"/>
      <c r="L429" s="68"/>
      <c r="M429" s="69"/>
      <c r="O429" s="30"/>
      <c r="Y429" s="32"/>
    </row>
    <row r="430" spans="1:25" ht="14.1" customHeight="1" thickBot="1">
      <c r="A430" s="17">
        <v>70</v>
      </c>
      <c r="B430" s="80"/>
      <c r="C430" s="684"/>
      <c r="D430" s="685"/>
      <c r="E430" s="679"/>
      <c r="F430" s="679"/>
      <c r="G430" s="679"/>
      <c r="H430" s="679"/>
      <c r="I430" s="679"/>
      <c r="J430" s="679"/>
      <c r="K430" s="679"/>
      <c r="L430" s="81"/>
      <c r="M430" s="82"/>
      <c r="O430" s="278" t="s">
        <v>360</v>
      </c>
      <c r="Y430" s="32"/>
    </row>
    <row r="431" spans="1:25" ht="14.1" customHeight="1" thickTop="1">
      <c r="A431" s="17">
        <v>71</v>
      </c>
      <c r="C431" s="109" t="s">
        <v>10</v>
      </c>
      <c r="D431" s="379" t="str">
        <f>IF($P$7="","",$P$7)</f>
        <v/>
      </c>
      <c r="E431" s="27"/>
      <c r="F431" s="27"/>
      <c r="G431" s="27"/>
      <c r="H431" s="27"/>
      <c r="I431" s="27"/>
      <c r="J431" s="27"/>
      <c r="K431" s="27"/>
      <c r="L431" s="109" t="s">
        <v>11</v>
      </c>
      <c r="M431" s="380" t="str">
        <f>IF($X$7="","",$X$7)</f>
        <v>Eugene Mah</v>
      </c>
      <c r="O431" s="30"/>
      <c r="Q431" s="35" t="s">
        <v>328</v>
      </c>
      <c r="R431" s="264"/>
      <c r="U431" s="35" t="s">
        <v>328</v>
      </c>
      <c r="V431" s="264"/>
      <c r="Y431" s="32"/>
    </row>
    <row r="432" spans="1:25" ht="14.1" customHeight="1">
      <c r="A432" s="17">
        <v>72</v>
      </c>
      <c r="C432" s="109" t="s">
        <v>120</v>
      </c>
      <c r="D432" s="380" t="str">
        <f>IF($R$14="","",$R$14)</f>
        <v/>
      </c>
      <c r="E432" s="27"/>
      <c r="F432" s="27"/>
      <c r="G432" s="27"/>
      <c r="H432" s="27"/>
      <c r="I432" s="27"/>
      <c r="J432" s="27"/>
      <c r="K432" s="27"/>
      <c r="L432" s="109" t="s">
        <v>36</v>
      </c>
      <c r="M432" s="380" t="str">
        <f>IF($R$13="","",$R$13)</f>
        <v/>
      </c>
      <c r="O432" s="30"/>
      <c r="Q432" s="752" t="s">
        <v>253</v>
      </c>
      <c r="R432" s="752" t="s">
        <v>254</v>
      </c>
      <c r="U432" s="752" t="s">
        <v>253</v>
      </c>
      <c r="V432" s="752" t="s">
        <v>254</v>
      </c>
      <c r="Y432" s="32"/>
    </row>
    <row r="433" spans="1:25" ht="14.1" customHeight="1">
      <c r="A433" s="17">
        <v>1</v>
      </c>
      <c r="C433" s="68"/>
      <c r="D433" s="68"/>
      <c r="E433" s="68"/>
      <c r="F433" s="68"/>
      <c r="G433" s="68"/>
      <c r="H433" s="68"/>
      <c r="I433" s="68"/>
      <c r="J433" s="68"/>
      <c r="K433" s="68"/>
      <c r="L433" s="68"/>
      <c r="M433" s="575" t="str">
        <f>$H$2</f>
        <v>Medical University of South Carolina</v>
      </c>
      <c r="O433" s="161"/>
      <c r="P433" s="35" t="s">
        <v>186</v>
      </c>
      <c r="Q433" s="145"/>
      <c r="R433" s="145"/>
      <c r="T433" s="35" t="s">
        <v>186</v>
      </c>
      <c r="U433" s="145"/>
      <c r="V433" s="145"/>
      <c r="Y433" s="32"/>
    </row>
    <row r="434" spans="1:25" ht="14.1" customHeight="1" thickBot="1">
      <c r="A434" s="17">
        <v>2</v>
      </c>
      <c r="C434" s="81"/>
      <c r="D434" s="81"/>
      <c r="E434" s="81"/>
      <c r="F434" s="81"/>
      <c r="G434" s="81"/>
      <c r="H434" s="576" t="s">
        <v>72</v>
      </c>
      <c r="I434" s="81"/>
      <c r="J434" s="81"/>
      <c r="K434" s="81"/>
      <c r="L434" s="81"/>
      <c r="M434" s="577" t="str">
        <f>$H$5</f>
        <v>Mammography System Compliance Inspection</v>
      </c>
      <c r="O434" s="161"/>
      <c r="P434" s="35" t="s">
        <v>188</v>
      </c>
      <c r="Q434" s="145"/>
      <c r="R434" s="145"/>
      <c r="T434" s="35" t="s">
        <v>188</v>
      </c>
      <c r="U434" s="145"/>
      <c r="V434" s="145"/>
      <c r="Y434" s="32"/>
    </row>
    <row r="435" spans="1:25" ht="14.1" customHeight="1" thickTop="1">
      <c r="A435" s="17">
        <v>3</v>
      </c>
      <c r="O435" s="161"/>
      <c r="P435" s="35" t="s">
        <v>190</v>
      </c>
      <c r="Q435" s="145"/>
      <c r="R435" s="145"/>
      <c r="T435" s="35" t="s">
        <v>190</v>
      </c>
      <c r="U435" s="145"/>
      <c r="V435" s="145"/>
      <c r="Y435" s="32"/>
    </row>
    <row r="436" spans="1:25" ht="14.1" customHeight="1">
      <c r="A436" s="17">
        <v>4</v>
      </c>
      <c r="O436" s="30"/>
      <c r="Y436" s="32"/>
    </row>
    <row r="437" spans="1:25" ht="14.1" customHeight="1">
      <c r="A437" s="17">
        <v>5</v>
      </c>
      <c r="O437" s="278" t="s">
        <v>361</v>
      </c>
      <c r="Q437" s="4"/>
      <c r="R437" s="35" t="s">
        <v>362</v>
      </c>
      <c r="S437" s="760">
        <f>Q265</f>
        <v>0</v>
      </c>
      <c r="Y437" s="32"/>
    </row>
    <row r="438" spans="1:25" ht="14.1" customHeight="1">
      <c r="A438" s="17">
        <v>6</v>
      </c>
      <c r="O438" s="30"/>
      <c r="P438" s="35" t="s">
        <v>70</v>
      </c>
      <c r="Q438" s="279" t="s">
        <v>236</v>
      </c>
      <c r="R438" s="279" t="s">
        <v>261</v>
      </c>
      <c r="S438" s="279" t="s">
        <v>237</v>
      </c>
      <c r="T438" s="35" t="s">
        <v>320</v>
      </c>
      <c r="U438" s="35" t="s">
        <v>70</v>
      </c>
      <c r="V438" s="279" t="s">
        <v>236</v>
      </c>
      <c r="W438" s="279" t="s">
        <v>261</v>
      </c>
      <c r="X438" s="279" t="s">
        <v>237</v>
      </c>
      <c r="Y438" s="32"/>
    </row>
    <row r="439" spans="1:25" ht="14.1" customHeight="1">
      <c r="A439" s="17">
        <v>7</v>
      </c>
      <c r="O439" s="30"/>
      <c r="P439" s="35" t="s">
        <v>268</v>
      </c>
      <c r="Q439" s="280"/>
      <c r="R439" s="281"/>
      <c r="S439" s="282"/>
      <c r="T439" s="4"/>
      <c r="U439" s="35" t="s">
        <v>268</v>
      </c>
      <c r="V439" s="283" t="str">
        <f>IF(AB101="","",AB101)</f>
        <v/>
      </c>
      <c r="W439" s="284" t="str">
        <f>IF(AB106="","",AB106)</f>
        <v/>
      </c>
      <c r="X439" s="285" t="str">
        <f>IF(AB111="","",AB111)</f>
        <v/>
      </c>
      <c r="Y439" s="32"/>
    </row>
    <row r="440" spans="1:25" ht="14.1" customHeight="1">
      <c r="A440" s="17">
        <v>8</v>
      </c>
      <c r="O440" s="30"/>
      <c r="P440" s="35" t="s">
        <v>71</v>
      </c>
      <c r="Q440" s="286"/>
      <c r="R440" s="287"/>
      <c r="S440" s="288"/>
      <c r="T440" s="4"/>
      <c r="U440" s="35" t="s">
        <v>71</v>
      </c>
      <c r="V440" s="289" t="str">
        <f>IF(AB102="","",AB102)</f>
        <v/>
      </c>
      <c r="W440" s="290" t="str">
        <f>IF(AB107="","",AB107)</f>
        <v/>
      </c>
      <c r="X440" s="291" t="str">
        <f>IF(AB112="","",AB112)</f>
        <v/>
      </c>
      <c r="Y440" s="32"/>
    </row>
    <row r="441" spans="1:25" ht="14.1" customHeight="1">
      <c r="A441" s="17">
        <v>9</v>
      </c>
      <c r="O441" s="30"/>
      <c r="P441" s="35" t="s">
        <v>363</v>
      </c>
      <c r="Q441" s="286"/>
      <c r="R441" s="287"/>
      <c r="S441" s="288"/>
      <c r="T441" s="4"/>
      <c r="U441" s="35" t="s">
        <v>363</v>
      </c>
      <c r="V441" s="289" t="str">
        <f>IF(AB103="","",AB103)</f>
        <v/>
      </c>
      <c r="W441" s="290" t="str">
        <f>IF(AB108="","",AB108)</f>
        <v/>
      </c>
      <c r="X441" s="291" t="str">
        <f>IF(AB113="","",AB113)</f>
        <v/>
      </c>
      <c r="Y441" s="32"/>
    </row>
    <row r="442" spans="1:25" ht="14.1" customHeight="1">
      <c r="A442" s="17">
        <v>10</v>
      </c>
      <c r="O442" s="30"/>
      <c r="P442" s="35" t="s">
        <v>364</v>
      </c>
      <c r="Q442" s="286"/>
      <c r="R442" s="287"/>
      <c r="S442" s="288"/>
      <c r="T442" s="4"/>
      <c r="U442" s="35" t="s">
        <v>364</v>
      </c>
      <c r="V442" s="289" t="str">
        <f>IF(AB104="","",AB104)</f>
        <v/>
      </c>
      <c r="W442" s="290" t="str">
        <f>IF(AB109="","",AB109)</f>
        <v/>
      </c>
      <c r="X442" s="291" t="str">
        <f>IF(AB114="","",AB114)</f>
        <v/>
      </c>
      <c r="Y442" s="32"/>
    </row>
    <row r="443" spans="1:25" ht="14.1" customHeight="1">
      <c r="A443" s="17">
        <v>11</v>
      </c>
      <c r="O443" s="30"/>
      <c r="P443" s="35" t="s">
        <v>365</v>
      </c>
      <c r="Q443" s="286"/>
      <c r="R443" s="287"/>
      <c r="S443" s="288"/>
      <c r="T443" s="4"/>
      <c r="U443" s="35" t="s">
        <v>365</v>
      </c>
      <c r="V443" s="289" t="str">
        <f>IF(AB105="","",AB105)</f>
        <v/>
      </c>
      <c r="W443" s="290" t="str">
        <f>IF(AB110="","",AB110)</f>
        <v/>
      </c>
      <c r="X443" s="291" t="str">
        <f>IF(AB115="","",AB115)</f>
        <v/>
      </c>
      <c r="Y443" s="32"/>
    </row>
    <row r="444" spans="1:25" ht="14.1" customHeight="1">
      <c r="A444" s="17">
        <v>12</v>
      </c>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O445" s="40"/>
      <c r="P445" s="293" t="s">
        <v>203</v>
      </c>
      <c r="Q445" s="294" t="s">
        <v>366</v>
      </c>
      <c r="R445" s="192"/>
      <c r="S445" s="192"/>
      <c r="T445" s="41"/>
      <c r="U445" s="41"/>
      <c r="V445" s="41"/>
      <c r="W445" s="41"/>
      <c r="X445" s="41"/>
      <c r="Y445" s="42"/>
    </row>
    <row r="446" spans="1:25" ht="14.1" customHeight="1">
      <c r="A446" s="17">
        <v>14</v>
      </c>
      <c r="O446" s="139" t="s">
        <v>367</v>
      </c>
      <c r="Y446" s="32"/>
    </row>
    <row r="447" spans="1:25" ht="14.1" customHeight="1">
      <c r="A447" s="17">
        <v>15</v>
      </c>
      <c r="O447" s="30"/>
      <c r="T447" s="21" t="s">
        <v>368</v>
      </c>
      <c r="U447" s="21" t="s">
        <v>369</v>
      </c>
      <c r="Y447" s="32"/>
    </row>
    <row r="448" spans="1:25" ht="14.1" customHeight="1">
      <c r="A448" s="17">
        <v>16</v>
      </c>
      <c r="O448" s="30"/>
      <c r="P448" s="35" t="s">
        <v>172</v>
      </c>
      <c r="Q448" s="137"/>
      <c r="R448" s="35"/>
      <c r="S448" s="35" t="s">
        <v>370</v>
      </c>
      <c r="T448" s="145"/>
      <c r="U448" s="145"/>
      <c r="Y448" s="32"/>
    </row>
    <row r="449" spans="1:25" ht="14.1" customHeight="1">
      <c r="A449" s="17">
        <v>17</v>
      </c>
      <c r="O449" s="30"/>
      <c r="P449" s="35" t="s">
        <v>175</v>
      </c>
      <c r="Q449" s="137"/>
      <c r="R449" s="35"/>
      <c r="S449" s="35" t="s">
        <v>371</v>
      </c>
      <c r="T449" s="145"/>
      <c r="U449" s="145"/>
      <c r="Y449" s="32"/>
    </row>
    <row r="450" spans="1:25" ht="14.1" customHeight="1">
      <c r="A450" s="17">
        <v>18</v>
      </c>
      <c r="O450" s="30"/>
      <c r="P450" s="35" t="s">
        <v>50</v>
      </c>
      <c r="Q450" s="264"/>
      <c r="Y450" s="32"/>
    </row>
    <row r="451" spans="1:25" ht="14.1" customHeight="1">
      <c r="A451" s="17">
        <v>19</v>
      </c>
      <c r="O451" s="30"/>
      <c r="P451" s="35" t="s">
        <v>53</v>
      </c>
      <c r="Q451" s="264"/>
      <c r="T451" s="752" t="s">
        <v>319</v>
      </c>
      <c r="U451" s="752" t="s">
        <v>320</v>
      </c>
      <c r="V451" s="752" t="s">
        <v>289</v>
      </c>
      <c r="W451" s="752" t="s">
        <v>372</v>
      </c>
      <c r="X451" s="752" t="s">
        <v>290</v>
      </c>
      <c r="Y451" s="32"/>
    </row>
    <row r="452" spans="1:25" ht="14.1" customHeight="1">
      <c r="A452" s="17">
        <v>20</v>
      </c>
      <c r="O452" s="30"/>
      <c r="S452" s="21" t="s">
        <v>197</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O453" s="30"/>
      <c r="S453" s="21" t="s">
        <v>198</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O454" s="30"/>
      <c r="P454" s="113" t="s">
        <v>203</v>
      </c>
      <c r="Q454" s="101" t="s">
        <v>373</v>
      </c>
      <c r="R454" s="68"/>
      <c r="S454" s="68"/>
      <c r="T454" s="68"/>
      <c r="U454" s="68"/>
      <c r="V454" s="68"/>
      <c r="W454" s="68"/>
      <c r="X454" s="68"/>
      <c r="Y454" s="32"/>
    </row>
    <row r="455" spans="1:25" ht="14.1" customHeight="1">
      <c r="A455" s="17">
        <v>23</v>
      </c>
      <c r="O455" s="30"/>
      <c r="Q455" s="138" t="s">
        <v>374</v>
      </c>
      <c r="Y455" s="32"/>
    </row>
    <row r="456" spans="1:25" ht="14.1" customHeight="1" thickBot="1">
      <c r="A456" s="17">
        <v>24</v>
      </c>
      <c r="O456" s="40"/>
      <c r="P456" s="41"/>
      <c r="Q456" s="41"/>
      <c r="R456" s="41"/>
      <c r="S456" s="41"/>
      <c r="T456" s="41"/>
      <c r="U456" s="41"/>
      <c r="V456" s="41"/>
      <c r="W456" s="41"/>
      <c r="X456" s="41"/>
      <c r="Y456" s="42"/>
    </row>
    <row r="457" spans="1:25" ht="14.1" customHeight="1">
      <c r="A457" s="17">
        <v>25</v>
      </c>
      <c r="O457" s="493"/>
      <c r="P457" s="334"/>
    </row>
    <row r="458" spans="1:25" ht="14.1" customHeight="1">
      <c r="A458" s="17">
        <v>26</v>
      </c>
      <c r="O458" s="627"/>
      <c r="P458" s="627"/>
      <c r="Q458" s="627"/>
      <c r="R458" s="627"/>
      <c r="S458" s="627"/>
      <c r="T458" s="628" t="s">
        <v>553</v>
      </c>
      <c r="U458" s="627"/>
      <c r="V458" s="627"/>
      <c r="W458" s="627"/>
      <c r="X458" s="627"/>
      <c r="Y458" s="627"/>
    </row>
    <row r="459" spans="1:25" ht="14.1" customHeight="1" thickBot="1">
      <c r="A459" s="17">
        <v>27</v>
      </c>
      <c r="O459" s="627"/>
      <c r="P459" s="629" t="s">
        <v>554</v>
      </c>
      <c r="Q459" s="627"/>
      <c r="R459" s="627"/>
      <c r="S459" s="627"/>
      <c r="T459" s="627"/>
      <c r="U459" s="627"/>
      <c r="V459" s="627"/>
      <c r="W459" s="627"/>
      <c r="X459" s="627"/>
      <c r="Y459" s="627"/>
    </row>
    <row r="460" spans="1:25" ht="14.1" customHeight="1" thickTop="1">
      <c r="A460" s="17">
        <v>28</v>
      </c>
      <c r="O460" s="630"/>
      <c r="P460" s="631"/>
      <c r="Q460" s="631"/>
      <c r="R460" s="632"/>
      <c r="S460" s="633" t="s">
        <v>555</v>
      </c>
      <c r="T460" s="631"/>
      <c r="U460" s="631"/>
      <c r="V460" s="631"/>
      <c r="W460" s="631"/>
      <c r="X460" s="631"/>
      <c r="Y460" s="634"/>
    </row>
    <row r="461" spans="1:25" ht="14.1" customHeight="1">
      <c r="A461" s="17">
        <v>29</v>
      </c>
      <c r="O461" s="635"/>
      <c r="P461" s="636" t="s">
        <v>223</v>
      </c>
      <c r="Q461" s="637"/>
      <c r="R461" s="638"/>
      <c r="S461" s="639" t="str">
        <f>IF(OR(AD720=0,AD720=""),"",AD720)</f>
        <v/>
      </c>
      <c r="T461" s="640"/>
      <c r="U461" s="640"/>
      <c r="V461" s="640"/>
      <c r="W461" s="640"/>
      <c r="X461" s="640"/>
      <c r="Y461" s="641"/>
    </row>
    <row r="462" spans="1:25" ht="14.1" customHeight="1">
      <c r="A462" s="17">
        <v>30</v>
      </c>
      <c r="O462" s="642"/>
      <c r="P462" s="643" t="s">
        <v>556</v>
      </c>
      <c r="Q462" s="644"/>
      <c r="R462" s="645">
        <f>LEN(Q461)</f>
        <v>0</v>
      </c>
      <c r="S462" s="646"/>
      <c r="T462" s="647">
        <f>LEN(S461)</f>
        <v>0</v>
      </c>
      <c r="U462" s="648"/>
      <c r="V462" s="649"/>
      <c r="W462" s="649"/>
      <c r="X462" s="649"/>
      <c r="Y462" s="650"/>
    </row>
    <row r="463" spans="1:25" ht="14.1" customHeight="1">
      <c r="A463" s="17">
        <v>31</v>
      </c>
      <c r="O463" s="642"/>
      <c r="P463" s="636" t="s">
        <v>557</v>
      </c>
      <c r="Q463" s="637"/>
      <c r="R463" s="638"/>
      <c r="S463" s="639" t="str">
        <f>IF(OR(AD722=0,AD722=""),"",AD722)</f>
        <v/>
      </c>
      <c r="T463" s="640"/>
      <c r="U463" s="640"/>
      <c r="V463" s="640"/>
      <c r="W463" s="640"/>
      <c r="X463" s="640"/>
      <c r="Y463" s="641"/>
    </row>
    <row r="464" spans="1:25" ht="14.1" customHeight="1">
      <c r="A464" s="17">
        <v>32</v>
      </c>
      <c r="O464" s="642"/>
      <c r="P464" s="643" t="s">
        <v>556</v>
      </c>
      <c r="Q464" s="644"/>
      <c r="R464" s="645">
        <f>LEN(Q463)</f>
        <v>0</v>
      </c>
      <c r="S464" s="646"/>
      <c r="T464" s="647">
        <f>LEN(S463)</f>
        <v>0</v>
      </c>
      <c r="U464" s="648"/>
      <c r="V464" s="640"/>
      <c r="W464" s="640"/>
      <c r="X464" s="640"/>
      <c r="Y464" s="641"/>
    </row>
    <row r="465" spans="1:25" ht="14.1" customHeight="1">
      <c r="A465" s="17">
        <v>33</v>
      </c>
      <c r="O465" s="651"/>
      <c r="P465" s="636" t="s">
        <v>557</v>
      </c>
      <c r="Q465" s="637"/>
      <c r="R465" s="638"/>
      <c r="S465" s="639" t="str">
        <f>IF(OR(AD724=0,AD724=""),"",AD724)</f>
        <v/>
      </c>
      <c r="T465" s="649"/>
      <c r="U465" s="649"/>
      <c r="V465" s="649"/>
      <c r="W465" s="649"/>
      <c r="X465" s="649"/>
      <c r="Y465" s="650"/>
    </row>
    <row r="466" spans="1:25" ht="14.1" customHeight="1">
      <c r="A466" s="17">
        <v>34</v>
      </c>
      <c r="O466" s="642"/>
      <c r="P466" s="643" t="s">
        <v>556</v>
      </c>
      <c r="Q466" s="644"/>
      <c r="R466" s="645">
        <f>LEN(Q465)</f>
        <v>0</v>
      </c>
      <c r="S466" s="646"/>
      <c r="T466" s="647">
        <f>LEN(S465)</f>
        <v>0</v>
      </c>
      <c r="U466" s="648"/>
      <c r="V466" s="640"/>
      <c r="W466" s="640"/>
      <c r="X466" s="640"/>
      <c r="Y466" s="641"/>
    </row>
    <row r="467" spans="1:25" ht="14.1" customHeight="1">
      <c r="A467" s="17">
        <v>35</v>
      </c>
      <c r="O467" s="642"/>
      <c r="P467" s="636" t="s">
        <v>557</v>
      </c>
      <c r="Q467" s="637"/>
      <c r="R467" s="638"/>
      <c r="S467" s="639" t="str">
        <f>IF(OR(AD726=0,AD726=""),"",AD726)</f>
        <v/>
      </c>
      <c r="T467" s="640"/>
      <c r="U467" s="640"/>
      <c r="V467" s="640"/>
      <c r="W467" s="640"/>
      <c r="X467" s="640"/>
      <c r="Y467" s="641"/>
    </row>
    <row r="468" spans="1:25" ht="14.1" customHeight="1">
      <c r="A468" s="17">
        <v>36</v>
      </c>
      <c r="O468" s="651"/>
      <c r="P468" s="643" t="s">
        <v>556</v>
      </c>
      <c r="Q468" s="644"/>
      <c r="R468" s="645">
        <f>LEN(Q467)</f>
        <v>0</v>
      </c>
      <c r="S468" s="646"/>
      <c r="T468" s="647">
        <f>LEN(S467)</f>
        <v>0</v>
      </c>
      <c r="U468" s="648"/>
      <c r="V468" s="649"/>
      <c r="W468" s="649"/>
      <c r="X468" s="649"/>
      <c r="Y468" s="650"/>
    </row>
    <row r="469" spans="1:25" ht="14.1" customHeight="1">
      <c r="A469" s="17">
        <v>37</v>
      </c>
      <c r="O469" s="642"/>
      <c r="P469" s="636" t="s">
        <v>557</v>
      </c>
      <c r="Q469" s="637"/>
      <c r="R469" s="638"/>
      <c r="S469" s="639" t="str">
        <f>IF(OR(AD728=0,AD728=""),"",AD728)</f>
        <v/>
      </c>
      <c r="T469" s="640"/>
      <c r="U469" s="640"/>
      <c r="V469" s="640"/>
      <c r="W469" s="640"/>
      <c r="X469" s="640"/>
      <c r="Y469" s="641"/>
    </row>
    <row r="470" spans="1:25" ht="14.1" customHeight="1">
      <c r="A470" s="17">
        <v>38</v>
      </c>
      <c r="O470" s="642"/>
      <c r="P470" s="643" t="s">
        <v>556</v>
      </c>
      <c r="Q470" s="644"/>
      <c r="R470" s="645">
        <f>LEN(Q469)</f>
        <v>0</v>
      </c>
      <c r="S470" s="646"/>
      <c r="T470" s="647">
        <f>LEN(S469)</f>
        <v>0</v>
      </c>
      <c r="U470" s="648"/>
      <c r="V470" s="640"/>
      <c r="W470" s="640"/>
      <c r="X470" s="640"/>
      <c r="Y470" s="641"/>
    </row>
    <row r="471" spans="1:25" ht="14.1" customHeight="1">
      <c r="A471" s="17">
        <v>39</v>
      </c>
      <c r="O471" s="651"/>
      <c r="P471" s="636" t="s">
        <v>557</v>
      </c>
      <c r="Q471" s="637"/>
      <c r="R471" s="638"/>
      <c r="S471" s="639" t="str">
        <f>IF(OR(AD730=0,AD730=""),"",AD730)</f>
        <v/>
      </c>
      <c r="T471" s="649"/>
      <c r="U471" s="649"/>
      <c r="V471" s="649"/>
      <c r="W471" s="649"/>
      <c r="X471" s="649"/>
      <c r="Y471" s="650"/>
    </row>
    <row r="472" spans="1:25" ht="14.1" customHeight="1">
      <c r="A472" s="17">
        <v>40</v>
      </c>
      <c r="O472" s="642"/>
      <c r="P472" s="643" t="s">
        <v>556</v>
      </c>
      <c r="Q472" s="652"/>
      <c r="R472" s="653">
        <f>LEN(Q471)</f>
        <v>0</v>
      </c>
      <c r="S472" s="654"/>
      <c r="T472" s="655">
        <f>LEN(S471)</f>
        <v>0</v>
      </c>
      <c r="U472" s="656"/>
      <c r="V472" s="657"/>
      <c r="W472" s="657"/>
      <c r="X472" s="657"/>
      <c r="Y472" s="641"/>
    </row>
    <row r="473" spans="1:25" ht="14.1" customHeight="1">
      <c r="A473" s="17">
        <v>41</v>
      </c>
      <c r="O473" s="642"/>
      <c r="P473" s="636" t="s">
        <v>557</v>
      </c>
      <c r="Q473" s="637"/>
      <c r="R473" s="638"/>
      <c r="S473" s="639" t="str">
        <f>IF(OR(AD732=0,AD732=""),"",AD732)</f>
        <v/>
      </c>
      <c r="T473" s="649"/>
      <c r="U473" s="649"/>
      <c r="V473" s="649"/>
      <c r="W473" s="649"/>
      <c r="X473" s="649"/>
      <c r="Y473" s="641"/>
    </row>
    <row r="474" spans="1:25" ht="14.1" customHeight="1">
      <c r="A474" s="17">
        <v>42</v>
      </c>
      <c r="O474" s="651"/>
      <c r="P474" s="643" t="s">
        <v>556</v>
      </c>
      <c r="Q474" s="652"/>
      <c r="R474" s="653">
        <f>LEN(Q473)</f>
        <v>0</v>
      </c>
      <c r="S474" s="654"/>
      <c r="T474" s="655">
        <f>LEN(S473)</f>
        <v>0</v>
      </c>
      <c r="U474" s="656"/>
      <c r="V474" s="657"/>
      <c r="W474" s="657"/>
      <c r="X474" s="657"/>
      <c r="Y474" s="650"/>
    </row>
    <row r="475" spans="1:25" ht="14.1" customHeight="1">
      <c r="A475" s="17">
        <v>43</v>
      </c>
      <c r="O475" s="642"/>
      <c r="P475" s="636" t="s">
        <v>557</v>
      </c>
      <c r="Q475" s="637"/>
      <c r="R475" s="638"/>
      <c r="S475" s="639" t="str">
        <f>IF(OR(AD734=0,AD734=""),"",AD734)</f>
        <v/>
      </c>
      <c r="T475" s="649"/>
      <c r="U475" s="649"/>
      <c r="V475" s="649"/>
      <c r="W475" s="649"/>
      <c r="X475" s="649"/>
      <c r="Y475" s="641"/>
    </row>
    <row r="476" spans="1:25" ht="14.1" customHeight="1">
      <c r="A476" s="17">
        <v>44</v>
      </c>
      <c r="O476" s="642"/>
      <c r="P476" s="643" t="s">
        <v>556</v>
      </c>
      <c r="Q476" s="652"/>
      <c r="R476" s="653">
        <f>LEN(Q475)</f>
        <v>0</v>
      </c>
      <c r="S476" s="654"/>
      <c r="T476" s="655">
        <f>LEN(S475)</f>
        <v>0</v>
      </c>
      <c r="U476" s="656"/>
      <c r="V476" s="657"/>
      <c r="W476" s="657"/>
      <c r="X476" s="657"/>
      <c r="Y476" s="641"/>
    </row>
    <row r="477" spans="1:25" ht="14.1" customHeight="1">
      <c r="A477" s="17">
        <v>45</v>
      </c>
      <c r="O477" s="651"/>
      <c r="P477" s="636"/>
      <c r="Q477" s="660"/>
      <c r="R477" s="661"/>
      <c r="S477" s="662"/>
      <c r="T477" s="663"/>
      <c r="U477" s="663"/>
      <c r="V477" s="663"/>
      <c r="W477" s="663"/>
      <c r="X477" s="663"/>
      <c r="Y477" s="650"/>
    </row>
    <row r="478" spans="1:25" ht="14.1" customHeight="1">
      <c r="A478" s="17">
        <v>46</v>
      </c>
      <c r="C478" s="658" t="s">
        <v>223</v>
      </c>
      <c r="D478" s="578" t="str">
        <f>IF(Q461="","",IF(LEN(Q461)&lt;=135,Q461,IF(LEN(Q461)&lt;=260,LEFT(Q461,SEARCH(" ",Q461,125)),LEFT(Q461,SEARCH(" ",Q461,130)))))</f>
        <v/>
      </c>
      <c r="E478" s="659"/>
      <c r="F478" s="659"/>
      <c r="G478" s="659"/>
      <c r="H478" s="659"/>
      <c r="I478" s="659"/>
      <c r="J478" s="659"/>
      <c r="K478" s="659"/>
      <c r="L478" s="659"/>
      <c r="O478" s="642"/>
      <c r="P478" s="643"/>
      <c r="Q478" s="666"/>
      <c r="R478" s="667"/>
      <c r="S478" s="667"/>
      <c r="T478" s="667"/>
      <c r="U478" s="668"/>
      <c r="V478" s="669"/>
      <c r="W478" s="669"/>
      <c r="X478" s="669"/>
      <c r="Y478" s="641"/>
    </row>
    <row r="479" spans="1:25" ht="14.1" customHeight="1">
      <c r="A479" s="17">
        <v>47</v>
      </c>
      <c r="C479" s="664"/>
      <c r="D479" s="579" t="str">
        <f>IF(LEN(Q461)&lt;=135,"",IF(LEN(Q461)&lt;=260,RIGHT(Q461,LEN(Q461)-SEARCH(" ",Q461,125)),MID(Q461,SEARCH(" ",Q461,130),IF(LEN(Q461)&lt;=265,LEN(Q461),SEARCH(" ",Q461,255)-SEARCH(" ",Q461,130)))))</f>
        <v/>
      </c>
      <c r="E479" s="665"/>
      <c r="F479" s="665"/>
      <c r="G479" s="665"/>
      <c r="H479" s="665"/>
      <c r="I479" s="665"/>
      <c r="J479" s="665"/>
      <c r="K479" s="665"/>
      <c r="L479" s="665"/>
      <c r="O479" s="642"/>
      <c r="P479" s="670"/>
      <c r="Q479" s="671"/>
      <c r="R479" s="672"/>
      <c r="S479" s="673"/>
      <c r="T479" s="657"/>
      <c r="U479" s="657"/>
      <c r="V479" s="657"/>
      <c r="W479" s="657"/>
      <c r="X479" s="657"/>
      <c r="Y479" s="641"/>
    </row>
    <row r="480" spans="1:25" ht="14.1" customHeight="1">
      <c r="A480" s="17">
        <v>48</v>
      </c>
      <c r="C480" s="664"/>
      <c r="D480" s="579" t="str">
        <f>IF(LEN(Q461)&lt;=265,"",RIGHT(Q461,LEN(Q461)-SEARCH(" ",Q461,255)))</f>
        <v/>
      </c>
      <c r="E480" s="665"/>
      <c r="F480" s="665"/>
      <c r="G480" s="665"/>
      <c r="H480" s="665"/>
      <c r="I480" s="665"/>
      <c r="J480" s="665"/>
      <c r="K480" s="665"/>
      <c r="L480" s="665"/>
      <c r="O480" s="651"/>
      <c r="P480" s="675"/>
      <c r="Q480" s="675"/>
      <c r="R480" s="661"/>
      <c r="S480" s="663"/>
      <c r="T480" s="663"/>
      <c r="U480" s="663"/>
      <c r="V480" s="663"/>
      <c r="W480" s="663"/>
      <c r="X480" s="663"/>
      <c r="Y480" s="650"/>
    </row>
    <row r="481" spans="1:25" ht="14.1" customHeight="1">
      <c r="A481" s="17">
        <v>49</v>
      </c>
      <c r="C481" s="674"/>
      <c r="D481" s="579" t="str">
        <f>IF(Q463="","",IF(LEN(Q463)&lt;=135,Q463,IF(LEN(Q463)&lt;=260,LEFT(Q463,SEARCH(" ",Q463,125)),LEFT(Q463,SEARCH(" ",Q463,130)))))</f>
        <v/>
      </c>
      <c r="E481" s="665"/>
      <c r="F481" s="665"/>
      <c r="G481" s="665"/>
      <c r="H481" s="665"/>
      <c r="I481" s="665"/>
      <c r="J481" s="665"/>
      <c r="K481" s="665"/>
      <c r="L481" s="665"/>
      <c r="O481" s="642"/>
      <c r="P481" s="675"/>
      <c r="Q481" s="675"/>
      <c r="R481" s="661"/>
      <c r="S481" s="669"/>
      <c r="T481" s="669"/>
      <c r="U481" s="669"/>
      <c r="V481" s="669"/>
      <c r="W481" s="669"/>
      <c r="X481" s="669"/>
      <c r="Y481" s="641"/>
    </row>
    <row r="482" spans="1:25" ht="14.1" customHeight="1">
      <c r="A482" s="17">
        <v>50</v>
      </c>
      <c r="C482" s="674"/>
      <c r="D482" s="579" t="str">
        <f>IF(LEN(Q463)&lt;=135,"",IF(LEN(Q463)&lt;=260,RIGHT(Q463,LEN(Q463)-SEARCH(" ",Q463,125)),MID(Q463,SEARCH(" ",Q463,130),IF(LEN(Q463)&lt;=265,LEN(Q463),SEARCH(" ",Q463,255)-SEARCH(" ",Q463,130)))))</f>
        <v/>
      </c>
      <c r="E482" s="665"/>
      <c r="F482" s="665"/>
      <c r="G482" s="665"/>
      <c r="H482" s="665"/>
      <c r="I482" s="665"/>
      <c r="J482" s="665"/>
      <c r="K482" s="665"/>
      <c r="L482" s="665"/>
      <c r="O482" s="642"/>
      <c r="P482" s="675"/>
      <c r="Q482" s="675"/>
      <c r="R482" s="661"/>
      <c r="S482" s="669"/>
      <c r="T482" s="669"/>
      <c r="U482" s="669"/>
      <c r="V482" s="669"/>
      <c r="W482" s="669"/>
      <c r="X482" s="669"/>
      <c r="Y482" s="641"/>
    </row>
    <row r="483" spans="1:25" ht="14.1" customHeight="1">
      <c r="A483" s="17">
        <v>51</v>
      </c>
      <c r="C483" s="674"/>
      <c r="D483" s="579" t="str">
        <f>IF(LEN(Q463)&lt;=265,"",RIGHT(Q463,LEN(Q463)-SEARCH(" ",Q463,255)))</f>
        <v/>
      </c>
      <c r="E483" s="665"/>
      <c r="F483" s="665"/>
      <c r="G483" s="665"/>
      <c r="H483" s="665"/>
      <c r="I483" s="665"/>
      <c r="J483" s="665"/>
      <c r="K483" s="665"/>
      <c r="L483" s="665"/>
      <c r="O483" s="651"/>
      <c r="P483" s="675"/>
      <c r="Q483" s="675"/>
      <c r="R483" s="661"/>
      <c r="S483" s="677"/>
      <c r="T483" s="663"/>
      <c r="U483" s="663"/>
      <c r="V483" s="669"/>
      <c r="W483" s="669"/>
      <c r="X483" s="669"/>
      <c r="Y483" s="650"/>
    </row>
    <row r="484" spans="1:25" ht="14.1" customHeight="1">
      <c r="A484" s="17">
        <v>52</v>
      </c>
      <c r="C484" s="676"/>
      <c r="D484" s="579" t="str">
        <f>IF(Q465="","",IF(LEN(Q465)&lt;=135,Q465,IF(LEN(Q465)&lt;=260,LEFT(Q465,SEARCH(" ",Q465,125)),LEFT(Q465,SEARCH(" ",Q465,130)))))</f>
        <v/>
      </c>
      <c r="E484" s="665"/>
      <c r="F484" s="665"/>
      <c r="G484" s="665"/>
      <c r="H484" s="665"/>
      <c r="I484" s="665"/>
      <c r="J484" s="665"/>
      <c r="K484" s="665"/>
      <c r="L484" s="665"/>
      <c r="O484" s="642"/>
      <c r="P484" s="675"/>
      <c r="Q484" s="675"/>
      <c r="R484" s="661"/>
      <c r="S484" s="669"/>
      <c r="T484" s="661"/>
      <c r="U484" s="669"/>
      <c r="V484" s="661"/>
      <c r="W484" s="669"/>
      <c r="X484" s="669"/>
      <c r="Y484" s="641"/>
    </row>
    <row r="485" spans="1:25" ht="14.1" customHeight="1">
      <c r="A485" s="17">
        <v>53</v>
      </c>
      <c r="C485" s="676"/>
      <c r="D485" s="579" t="str">
        <f>IF(LEN(Q465)&lt;=135,"",IF(LEN(Q465)&lt;=260,RIGHT(Q465,LEN(Q465)-SEARCH(" ",Q465,125)),MID(Q465,SEARCH(" ",Q465,130),IF(LEN(Q465)&lt;=265,LEN(Q465),SEARCH(" ",Q465,255)-SEARCH(" ",Q465,130)))))</f>
        <v/>
      </c>
      <c r="E485" s="665"/>
      <c r="F485" s="665"/>
      <c r="G485" s="665"/>
      <c r="H485" s="665"/>
      <c r="I485" s="665"/>
      <c r="J485" s="665"/>
      <c r="K485" s="665"/>
      <c r="L485" s="665"/>
      <c r="O485" s="642"/>
      <c r="P485" s="675"/>
      <c r="Q485" s="675"/>
      <c r="R485" s="661"/>
      <c r="S485" s="669"/>
      <c r="T485" s="661"/>
      <c r="U485" s="669"/>
      <c r="V485" s="661"/>
      <c r="W485" s="669"/>
      <c r="X485" s="669"/>
      <c r="Y485" s="641"/>
    </row>
    <row r="486" spans="1:25" ht="14.1" customHeight="1">
      <c r="A486" s="17">
        <v>54</v>
      </c>
      <c r="C486" s="676"/>
      <c r="D486" s="579" t="str">
        <f>IF(LEN(Q465)&lt;=265,"",RIGHT(Q465,LEN(Q465)-SEARCH(" ",Q465,255)))</f>
        <v/>
      </c>
      <c r="E486" s="665"/>
      <c r="F486" s="665"/>
      <c r="G486" s="665"/>
      <c r="H486" s="665"/>
      <c r="I486" s="665"/>
      <c r="J486" s="665"/>
      <c r="K486" s="665"/>
      <c r="L486" s="665"/>
      <c r="O486" s="651"/>
      <c r="P486" s="675"/>
      <c r="Q486" s="675"/>
      <c r="R486" s="661"/>
      <c r="S486" s="669"/>
      <c r="T486" s="661"/>
      <c r="U486" s="669"/>
      <c r="V486" s="661"/>
      <c r="W486" s="669"/>
      <c r="X486" s="669"/>
      <c r="Y486" s="650"/>
    </row>
    <row r="487" spans="1:25" ht="14.1" customHeight="1" thickBot="1">
      <c r="A487" s="17">
        <v>55</v>
      </c>
      <c r="C487" s="636"/>
      <c r="D487" s="579" t="str">
        <f>IF(Q467="","",IF(LEN(Q467)&lt;=135,Q467,IF(LEN(Q467)&lt;=260,LEFT(Q467,SEARCH(" ",Q467,125)),LEFT(Q467,SEARCH(" ",Q467,130)))))</f>
        <v/>
      </c>
      <c r="E487" s="665"/>
      <c r="F487" s="665"/>
      <c r="G487" s="665"/>
      <c r="H487" s="665"/>
      <c r="I487" s="665"/>
      <c r="J487" s="665"/>
      <c r="K487" s="665"/>
      <c r="L487" s="665"/>
      <c r="O487" s="678"/>
      <c r="P487" s="679"/>
      <c r="Q487" s="680"/>
      <c r="R487" s="681"/>
      <c r="S487" s="679"/>
      <c r="T487" s="679"/>
      <c r="U487" s="679"/>
      <c r="V487" s="679"/>
      <c r="W487" s="679"/>
      <c r="X487" s="679"/>
      <c r="Y487" s="682"/>
    </row>
    <row r="488" spans="1:25" ht="14.1" customHeight="1" thickTop="1">
      <c r="A488" s="17">
        <v>56</v>
      </c>
      <c r="C488" s="664"/>
      <c r="D488" s="579" t="str">
        <f>IF(LEN(Q467)&lt;=135,"",IF(LEN(Q467)&lt;=260,RIGHT(Q467,LEN(Q467)-SEARCH(" ",Q467,125)),MID(Q467,SEARCH(" ",Q467,130),IF(LEN(Q467)&lt;=265,LEN(Q467),SEARCH(" ",Q467,255)-SEARCH(" ",Q467,130)))))</f>
        <v/>
      </c>
      <c r="E488" s="665"/>
      <c r="F488" s="665"/>
      <c r="G488" s="665"/>
      <c r="H488" s="665"/>
      <c r="I488" s="665"/>
      <c r="J488" s="665"/>
      <c r="K488" s="665"/>
      <c r="L488" s="665"/>
    </row>
    <row r="489" spans="1:25" ht="14.1" customHeight="1">
      <c r="A489" s="17">
        <v>57</v>
      </c>
      <c r="C489" s="664"/>
      <c r="D489" s="579" t="str">
        <f>IF(LEN(Q467)&lt;=265,"",RIGHT(Q467,LEN(Q467)-SEARCH(" ",Q467,255)))</f>
        <v/>
      </c>
      <c r="E489" s="665"/>
      <c r="F489" s="665"/>
      <c r="G489" s="665"/>
      <c r="H489" s="665"/>
      <c r="I489" s="665"/>
      <c r="J489" s="665"/>
      <c r="K489" s="665"/>
      <c r="L489" s="665"/>
    </row>
    <row r="490" spans="1:25" ht="14.1" customHeight="1">
      <c r="A490" s="17">
        <v>58</v>
      </c>
      <c r="C490" s="636"/>
      <c r="D490" s="579" t="str">
        <f>IF(Q469="","",IF(LEN(Q469)&lt;=135,Q469,IF(LEN(Q469)&lt;=260,LEFT(Q469,SEARCH(" ",Q469,125)),LEFT(Q469,SEARCH(" ",Q469,130)))))</f>
        <v/>
      </c>
      <c r="E490" s="665"/>
      <c r="F490" s="665"/>
      <c r="G490" s="665"/>
      <c r="H490" s="665"/>
      <c r="I490" s="665"/>
      <c r="J490" s="665"/>
      <c r="K490" s="665"/>
      <c r="L490" s="665"/>
    </row>
    <row r="491" spans="1:25" ht="14.1" customHeight="1">
      <c r="A491" s="17">
        <v>59</v>
      </c>
      <c r="C491" s="664"/>
      <c r="D491" s="579" t="str">
        <f>IF(LEN(Q469)&lt;=135,"",IF(LEN(Q469)&lt;=260,RIGHT(Q469,LEN(Q469)-SEARCH(" ",Q469,125)),MID(Q469,SEARCH(" ",Q469,130),IF(LEN(Q469)&lt;=265,LEN(Q469),SEARCH(" ",Q469,255)-SEARCH(" ",Q469,130)))))</f>
        <v/>
      </c>
      <c r="E491" s="665"/>
      <c r="F491" s="665"/>
      <c r="G491" s="665"/>
      <c r="H491" s="665"/>
      <c r="I491" s="665"/>
      <c r="J491" s="665"/>
      <c r="K491" s="665"/>
      <c r="L491" s="665"/>
    </row>
    <row r="492" spans="1:25" ht="14.1" customHeight="1">
      <c r="A492" s="17">
        <v>60</v>
      </c>
      <c r="C492" s="664"/>
      <c r="D492" s="579" t="str">
        <f>IF(LEN(Q469)&lt;=265,"",RIGHT(Q469,LEN(Q469)-SEARCH(" ",Q469,255)))</f>
        <v/>
      </c>
      <c r="E492" s="665"/>
      <c r="F492" s="665"/>
      <c r="G492" s="665"/>
      <c r="H492" s="665"/>
      <c r="I492" s="665"/>
      <c r="J492" s="665"/>
      <c r="K492" s="665"/>
      <c r="L492" s="665"/>
    </row>
    <row r="493" spans="1:25" ht="14.1" customHeight="1">
      <c r="A493" s="17">
        <v>61</v>
      </c>
      <c r="C493" s="636"/>
      <c r="D493" s="579" t="str">
        <f>IF(Q471="","",IF(LEN(Q471)&lt;=135,Q471,IF(LEN(Q471)&lt;=260,LEFT(Q471,SEARCH(" ",Q471,125)),LEFT(Q471,SEARCH(" ",Q471,130)))))</f>
        <v/>
      </c>
      <c r="E493" s="665"/>
      <c r="F493" s="665"/>
      <c r="G493" s="665"/>
      <c r="H493" s="665"/>
      <c r="I493" s="665"/>
      <c r="J493" s="665"/>
      <c r="K493" s="665"/>
      <c r="L493" s="665"/>
    </row>
    <row r="494" spans="1:25" ht="14.1" customHeight="1">
      <c r="A494" s="17">
        <v>62</v>
      </c>
      <c r="C494" s="664"/>
      <c r="D494" s="579" t="str">
        <f>IF(LEN(Q471)&lt;=135,"",IF(LEN(Q471)&lt;=260,RIGHT(Q471,LEN(Q471)-SEARCH(" ",Q471,125)),MID(Q471,SEARCH(" ",Q471,130),IF(LEN(Q471)&lt;=265,LEN(Q471),SEARCH(" ",Q471,255)-SEARCH(" ",Q471,130)))))</f>
        <v/>
      </c>
      <c r="E494" s="665"/>
      <c r="F494" s="665"/>
      <c r="G494" s="665"/>
      <c r="H494" s="665"/>
      <c r="I494" s="665"/>
      <c r="J494" s="665"/>
      <c r="K494" s="665"/>
      <c r="L494" s="665"/>
    </row>
    <row r="495" spans="1:25" ht="14.1" customHeight="1">
      <c r="A495" s="17">
        <v>63</v>
      </c>
      <c r="C495" s="664"/>
      <c r="D495" s="579" t="str">
        <f>IF(LEN(Q471)&lt;=265,"",RIGHT(Q471,LEN(Q471)-SEARCH(" ",Q471,255)))</f>
        <v/>
      </c>
      <c r="E495" s="665"/>
      <c r="F495" s="665"/>
      <c r="G495" s="665"/>
      <c r="H495" s="665"/>
      <c r="I495" s="665"/>
      <c r="J495" s="665"/>
      <c r="K495" s="665"/>
      <c r="L495" s="496"/>
    </row>
    <row r="496" spans="1:25" ht="14.1" customHeight="1">
      <c r="A496" s="17">
        <v>64</v>
      </c>
      <c r="C496" s="636"/>
      <c r="D496" s="579" t="str">
        <f>IF(Q473="","",IF(LEN(Q473)&lt;=135,Q473,IF(LEN(Q473)&lt;=260,LEFT(Q473,SEARCH(" ",Q473,125)),LEFT(Q473,SEARCH(" ",Q473,130)))))</f>
        <v/>
      </c>
      <c r="E496" s="665"/>
      <c r="F496" s="665"/>
      <c r="G496" s="665"/>
      <c r="H496" s="665"/>
      <c r="I496" s="665"/>
      <c r="J496" s="665"/>
      <c r="K496" s="665"/>
      <c r="L496" s="496"/>
    </row>
    <row r="497" spans="1:13" ht="14.1" customHeight="1">
      <c r="A497" s="17">
        <v>65</v>
      </c>
      <c r="C497" s="68"/>
      <c r="D497" s="579" t="str">
        <f>IF(LEN(Q473)&lt;=135,"",IF(LEN(Q473)&lt;=260,RIGHT(Q473,LEN(Q473)-SEARCH(" ",Q473,125)),MID(Q473,SEARCH(" ",Q473,130),IF(LEN(Q473)&lt;=265,LEN(Q473),SEARCH(" ",Q473,255)-SEARCH(" ",Q473,130)))))</f>
        <v/>
      </c>
      <c r="E497" s="496"/>
      <c r="F497" s="496"/>
      <c r="G497" s="496"/>
      <c r="H497" s="496"/>
      <c r="I497" s="496"/>
      <c r="J497" s="496"/>
      <c r="K497" s="496"/>
      <c r="L497" s="496"/>
    </row>
    <row r="498" spans="1:13" ht="14.1" customHeight="1">
      <c r="A498" s="17">
        <v>66</v>
      </c>
      <c r="C498" s="68"/>
      <c r="D498" s="579" t="str">
        <f>IF(LEN(Q473)&lt;=265,"",RIGHT(Q473,LEN(Q473)-SEARCH(" ",Q473,255)))</f>
        <v/>
      </c>
      <c r="E498" s="496"/>
      <c r="F498" s="496"/>
      <c r="G498" s="496"/>
      <c r="H498" s="496"/>
      <c r="I498" s="496"/>
      <c r="J498" s="496"/>
      <c r="K498" s="496"/>
      <c r="L498" s="496"/>
    </row>
    <row r="499" spans="1:13" ht="14.1" customHeight="1">
      <c r="A499" s="17">
        <v>67</v>
      </c>
      <c r="C499" s="68"/>
      <c r="D499" s="579" t="str">
        <f>IF(Q475="","",IF(LEN(Q475)&lt;=135,Q475,IF(LEN(Q475)&lt;=260,LEFT(Q475,SEARCH(" ",Q475,125)),LEFT(Q475,SEARCH(" ",Q475,130)))))</f>
        <v/>
      </c>
      <c r="E499" s="496"/>
      <c r="F499" s="496"/>
      <c r="G499" s="496"/>
      <c r="H499" s="496"/>
      <c r="I499" s="496"/>
      <c r="J499" s="496"/>
      <c r="K499" s="496"/>
      <c r="L499" s="496"/>
    </row>
    <row r="500" spans="1:13" ht="14.1" customHeight="1">
      <c r="A500" s="17">
        <v>68</v>
      </c>
      <c r="C500" s="664"/>
      <c r="D500" s="579" t="str">
        <f>IF(LEN(Q475)&lt;=135,"",IF(LEN(Q475)&lt;=260,RIGHT(Q475,LEN(Q475)-SEARCH(" ",Q475,125)),MID(Q475,SEARCH(" ",Q475,130),IF(LEN(Q475)&lt;=265,LEN(Q475),SEARCH(" ",Q475,255)-SEARCH(" ",Q475,130)))))</f>
        <v/>
      </c>
      <c r="E500" s="665"/>
      <c r="F500" s="665"/>
      <c r="G500" s="665"/>
      <c r="H500" s="665"/>
      <c r="I500" s="665"/>
      <c r="J500" s="665"/>
      <c r="K500" s="665"/>
      <c r="L500" s="683"/>
    </row>
    <row r="501" spans="1:13" ht="14.1" customHeight="1">
      <c r="A501" s="17">
        <v>69</v>
      </c>
      <c r="C501" s="68"/>
      <c r="D501" s="579" t="str">
        <f>IF(LEN(Q475)&lt;=265,"",RIGHT(Q475,LEN(Q475)-SEARCH(" ",Q475,255)))</f>
        <v/>
      </c>
      <c r="E501" s="496"/>
      <c r="F501" s="496"/>
      <c r="G501" s="496"/>
      <c r="H501" s="496"/>
      <c r="I501" s="496"/>
      <c r="J501" s="496"/>
      <c r="K501" s="496"/>
      <c r="L501" s="496"/>
    </row>
    <row r="502" spans="1:13" ht="14.1" customHeight="1">
      <c r="A502" s="17">
        <v>70</v>
      </c>
    </row>
    <row r="503" spans="1:13" ht="14.1" customHeight="1">
      <c r="A503" s="17">
        <v>71</v>
      </c>
      <c r="C503" s="109" t="s">
        <v>10</v>
      </c>
      <c r="D503" s="379" t="str">
        <f>IF($P$7="","",$P$7)</f>
        <v/>
      </c>
      <c r="E503" s="27"/>
      <c r="F503" s="27"/>
      <c r="G503" s="27"/>
      <c r="H503" s="27"/>
      <c r="I503" s="27"/>
      <c r="J503" s="27"/>
      <c r="K503" s="27"/>
      <c r="L503" s="109" t="s">
        <v>11</v>
      </c>
      <c r="M503" s="380" t="str">
        <f>IF($X$7="","",$X$7)</f>
        <v>Eugene Mah</v>
      </c>
    </row>
    <row r="504" spans="1:13" ht="14.1" customHeight="1">
      <c r="A504" s="17">
        <v>72</v>
      </c>
      <c r="C504" s="109" t="s">
        <v>120</v>
      </c>
      <c r="D504" s="380" t="str">
        <f>IF($R$14="","",$R$14)</f>
        <v/>
      </c>
      <c r="E504" s="27"/>
      <c r="F504" s="27"/>
      <c r="G504" s="27"/>
      <c r="H504" s="27"/>
      <c r="I504" s="27"/>
      <c r="J504" s="27"/>
      <c r="K504" s="27"/>
      <c r="L504" s="109" t="s">
        <v>36</v>
      </c>
      <c r="M504" s="380" t="str">
        <f>IF($R$13="","",$R$13)</f>
        <v/>
      </c>
    </row>
  </sheetData>
  <mergeCells count="55">
    <mergeCell ref="U197:W197"/>
    <mergeCell ref="U251:W251"/>
    <mergeCell ref="Q197:S19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61" priority="81" stopIfTrue="1" operator="equal">
      <formula>"Fail"</formula>
    </cfRule>
  </conditionalFormatting>
  <conditionalFormatting sqref="Q379">
    <cfRule type="cellIs" dxfId="60" priority="83" stopIfTrue="1" operator="equal">
      <formula>"Fail"</formula>
    </cfRule>
  </conditionalFormatting>
  <conditionalFormatting sqref="Q394">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79">
    <cfRule type="cellIs" dxfId="57" priority="82" stopIfTrue="1" operator="equal">
      <formula>"Pass"</formula>
    </cfRule>
  </conditionalFormatting>
  <conditionalFormatting sqref="Q394">
    <cfRule type="cellIs" dxfId="56" priority="84" stopIfTrue="1" operator="equal">
      <formula>"Pass"</formula>
    </cfRule>
  </conditionalFormatting>
  <conditionalFormatting sqref="X358:X363 X365:X369 X371:X375">
    <cfRule type="cellIs" dxfId="55" priority="72" operator="lessThan">
      <formula>0.05</formula>
    </cfRule>
    <cfRule type="cellIs" dxfId="54" priority="75" operator="greaterThan">
      <formula>0.05</formula>
    </cfRule>
  </conditionalFormatting>
  <conditionalFormatting sqref="U224:U226">
    <cfRule type="cellIs" dxfId="53" priority="73" operator="lessThan">
      <formula>0.1</formula>
    </cfRule>
    <cfRule type="cellIs" dxfId="52" priority="74" operator="greaterThan">
      <formula>0.1</formula>
    </cfRule>
  </conditionalFormatting>
  <conditionalFormatting sqref="T453">
    <cfRule type="cellIs" dxfId="51" priority="70" operator="lessThan">
      <formula>2</formula>
    </cfRule>
    <cfRule type="cellIs" dxfId="50" priority="71" operator="greaterThan">
      <formula>2</formula>
    </cfRule>
  </conditionalFormatting>
  <conditionalFormatting sqref="T452">
    <cfRule type="cellIs" dxfId="49" priority="68" operator="lessThan">
      <formula>40</formula>
    </cfRule>
    <cfRule type="cellIs" dxfId="48" priority="69" operator="greaterThan">
      <formula>40</formula>
    </cfRule>
  </conditionalFormatting>
  <conditionalFormatting sqref="V452:V45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88:S388">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79">
    <cfRule type="cellIs" dxfId="26" priority="36" stopIfTrue="1" operator="equal">
      <formula>"Fail"</formula>
    </cfRule>
  </conditionalFormatting>
  <conditionalFormatting sqref="V379">
    <cfRule type="cellIs" dxfId="25" priority="35" stopIfTrue="1" operator="equal">
      <formula>"Pass"</formula>
    </cfRule>
  </conditionalFormatting>
  <conditionalFormatting sqref="U388:X388">
    <cfRule type="cellIs" dxfId="24" priority="33" operator="greaterThan">
      <formula>0.02</formula>
    </cfRule>
    <cfRule type="cellIs" dxfId="23" priority="34" operator="lessThan">
      <formula>0.02</formula>
    </cfRule>
  </conditionalFormatting>
  <conditionalFormatting sqref="T386">
    <cfRule type="cellIs" dxfId="22" priority="31" operator="lessThan">
      <formula>7</formula>
    </cfRule>
    <cfRule type="cellIs" dxfId="21" priority="32" operator="greaterThan">
      <formula>7</formula>
    </cfRule>
  </conditionalFormatting>
  <conditionalFormatting sqref="Y386">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64">
    <cfRule type="cellIs" dxfId="9" priority="10" operator="lessThan">
      <formula>0.05</formula>
    </cfRule>
    <cfRule type="cellIs" dxfId="8" priority="11" operator="greaterThan">
      <formula>0.05</formula>
    </cfRule>
  </conditionalFormatting>
  <conditionalFormatting sqref="X370">
    <cfRule type="cellIs" dxfId="7" priority="8" operator="lessThan">
      <formula>0.05</formula>
    </cfRule>
    <cfRule type="cellIs" dxfId="6" priority="9" operator="greaterThan">
      <formula>0.05</formula>
    </cfRule>
  </conditionalFormatting>
  <conditionalFormatting sqref="R336:R337 U336:U337 X336:X337">
    <cfRule type="containsText" dxfId="5" priority="6" operator="containsText" text="Fail">
      <formula>NOT(ISERROR(SEARCH("Fail",R336)))</formula>
    </cfRule>
  </conditionalFormatting>
  <conditionalFormatting sqref="R336:R337 U336:U337 X336:X337">
    <cfRule type="containsText" dxfId="4" priority="5" operator="containsText" text="Pass">
      <formula>NOT(ISERROR(SEARCH("Pass",R336)))</formula>
    </cfRule>
  </conditionalFormatting>
  <conditionalFormatting sqref="R300:R302">
    <cfRule type="containsText" dxfId="3" priority="3" operator="containsText" text="Fail">
      <formula>NOT(ISERROR(SEARCH("Fail",R300)))</formula>
    </cfRule>
    <cfRule type="containsText" dxfId="2" priority="4" operator="containsText" text="Pass">
      <formula>NOT(ISERROR(SEARCH("Pass",R300)))</formula>
    </cfRule>
  </conditionalFormatting>
  <conditionalFormatting sqref="V282:V284">
    <cfRule type="containsText" dxfId="1" priority="1" operator="containsText" text="Pass">
      <formula>NOT(ISERROR(SEARCH("Pass",V282)))</formula>
    </cfRule>
    <cfRule type="containsText" dxfId="0" priority="2" operator="containsText" text="Fail">
      <formula>NOT(ISERROR(SEARCH("Fail",V282)))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64"/>
  </cols>
  <sheetData>
    <row r="1" spans="1:23">
      <c r="A1" s="763">
        <f>Sheet1!AH10</f>
        <v>24</v>
      </c>
      <c r="B1" s="764" t="s">
        <v>24</v>
      </c>
      <c r="I1" s="763">
        <f>Sheet1!AH57</f>
        <v>28</v>
      </c>
      <c r="J1" s="764" t="s">
        <v>24</v>
      </c>
      <c r="Q1" s="763">
        <f>Sheet1!AH91</f>
        <v>28</v>
      </c>
      <c r="R1" s="764" t="s">
        <v>24</v>
      </c>
    </row>
    <row r="2" spans="1:23" ht="15" thickBot="1">
      <c r="A2" s="764" t="s">
        <v>577</v>
      </c>
      <c r="B2" s="764" t="s">
        <v>578</v>
      </c>
      <c r="C2" s="764" t="s">
        <v>579</v>
      </c>
      <c r="D2" s="764" t="s">
        <v>580</v>
      </c>
      <c r="E2" s="764" t="s">
        <v>24</v>
      </c>
      <c r="G2" s="764" t="str">
        <f>IF(E3&lt;&gt;"","HVL @ "&amp;ROUND(E3,2)&amp;" kVp","HVL @ "&amp;A1&amp;" kVp")</f>
        <v>HVL @ 24 kVp</v>
      </c>
      <c r="I2" s="764" t="s">
        <v>577</v>
      </c>
      <c r="J2" s="764" t="s">
        <v>578</v>
      </c>
      <c r="K2" s="764" t="s">
        <v>579</v>
      </c>
      <c r="L2" s="764" t="s">
        <v>580</v>
      </c>
      <c r="M2" s="764" t="s">
        <v>24</v>
      </c>
      <c r="O2" s="764" t="str">
        <f>IF(M3&lt;&gt;"","HVL @ "&amp;ROUND(M3,2)&amp;" kVp","HVL @ "&amp;I1&amp;" kVp")</f>
        <v>HVL @ 28 kVp</v>
      </c>
      <c r="Q2" s="764" t="s">
        <v>577</v>
      </c>
      <c r="R2" s="764" t="s">
        <v>578</v>
      </c>
      <c r="S2" s="764" t="s">
        <v>579</v>
      </c>
      <c r="T2" s="764" t="s">
        <v>580</v>
      </c>
      <c r="U2" s="764" t="s">
        <v>24</v>
      </c>
      <c r="W2" s="764" t="str">
        <f>IF(U3&lt;&gt;"","HVL @ "&amp;ROUND(U3,2)&amp;" kVp","HVL @ "&amp;Q1&amp;" kVp")</f>
        <v>HVL @ 28 kVp</v>
      </c>
    </row>
    <row r="3" spans="1:23" ht="15" thickBot="1">
      <c r="A3" s="765">
        <f>Sheet1!AJ10</f>
        <v>0</v>
      </c>
      <c r="B3" s="765" t="str">
        <f>IF(MIN(Sheet1!AO10:AO11)=0,"",AVERAGE(Sheet1!AO10:AO11))</f>
        <v/>
      </c>
      <c r="C3" s="765" t="str">
        <f>IF(B3="","",ABS(B3-B3/2))</f>
        <v/>
      </c>
      <c r="D3" s="765" t="str">
        <f>IF(OR(B3="",B4=""),"",IF(ABS(B3-B3/2)=SMALL(C3:C6,1),A3,IF(ABS(B4-B3/2)=SMALL(C3:C6,1),A4,IF(ABS(B5-B3/2)=SMALL(C3:C6,1),A5,IF(ABS(B6-B3/2)=SMALL(C3:C6,1),A6,"")))))</f>
        <v/>
      </c>
      <c r="E3" s="765" t="str">
        <f>IF(OR(Sheet1!AM10="",Sheet1!AM11=""),"",AVERAGE(Sheet1!AM10:AM11))</f>
        <v/>
      </c>
      <c r="G3" s="766" t="str">
        <f>IF(OR(MIN(D3:D4)=0,MIN(D7:D8)=0),"",TREND(D3:D4,E7:E8,LN(B3/2)))</f>
        <v/>
      </c>
      <c r="I3" s="765">
        <f>Sheet1!AJ57</f>
        <v>0</v>
      </c>
      <c r="J3" s="765" t="str">
        <f>IF(MIN(Sheet1!AO57:AO58)=0,"",AVERAGE(Sheet1!AO57:AO58))</f>
        <v/>
      </c>
      <c r="K3" s="765" t="str">
        <f>IF(J3="","",ABS(J3-J3/2))</f>
        <v/>
      </c>
      <c r="L3" s="765" t="str">
        <f>IF(OR(J3="",J4=""),"",IF(ABS(J3-J3/2)=SMALL(K3:K6,1),I3,IF(ABS(J4-J3/2)=SMALL(K3:K6,1),I4,IF(ABS(J5-J3/2)=SMALL(K3:K6,1),I5,IF(ABS(J6-J3/2)=SMALL(K3:K6,1),I6,"")))))</f>
        <v/>
      </c>
      <c r="M3" s="765" t="str">
        <f>IF(OR(Sheet1!AM57="",Sheet1!AM58=""),"",AVERAGE(Sheet1!AM57:AM58))</f>
        <v/>
      </c>
      <c r="O3" s="766" t="str">
        <f>IF(OR(MIN(L3:L4)=0,MIN(L7:L8)=0),"",TREND(L3:L4,M7:M8,LN(J3/2)))</f>
        <v/>
      </c>
      <c r="Q3" s="765">
        <f>Sheet1!AJ91</f>
        <v>0</v>
      </c>
      <c r="R3" s="765" t="str">
        <f>IF(MIN(Sheet1!AO91:AO94)=0,"",AVERAGE(Sheet1!AO91:AO94))</f>
        <v/>
      </c>
      <c r="S3" s="765" t="str">
        <f>IF(R3="","",ABS(R3-R3/2))</f>
        <v/>
      </c>
      <c r="T3" s="765" t="str">
        <f>IF(OR(R3="",R4="",R5=""),"",IF(ABS(R3-R3/2)=SMALL(S3:S6,1),Q3,IF(ABS(R4-R3/2)=SMALL(S3:S6,1),Q4,IF(ABS(R5-R3/2)=SMALL(S3:S6,1),Q5,IF(ABS(R6-R3/2)=SMALL(S3:S6,1),Q6,"")))))</f>
        <v/>
      </c>
      <c r="U3" s="765" t="str">
        <f>IF(OR(Sheet1!AM57="",Sheet1!AM58=""),"",AVERAGE(Sheet1!AM57:AM58))</f>
        <v/>
      </c>
      <c r="W3" s="766" t="str">
        <f>IF(OR(MIN(T3:T4)=0,MIN(T7:T8)=0),"",TREND(T3:T4,U7:U8,LN(R3/2)))</f>
        <v/>
      </c>
    </row>
    <row r="4" spans="1:23">
      <c r="A4" s="765">
        <f>Sheet1!AJ12</f>
        <v>0.3</v>
      </c>
      <c r="B4" s="765" t="str">
        <f>IF(MIN(Sheet1!AO12:AO13)=0,"",AVERAGE(Sheet1!AO12:AO13))</f>
        <v/>
      </c>
      <c r="C4" s="765" t="str">
        <f>IF(B4="","",ABS(B4-B3/2))</f>
        <v/>
      </c>
      <c r="D4" s="765" t="str">
        <f>IF(OR(B3="",B4=""),"",IF(ABS(B3-B3/2)=SMALL(C3:C6,2),A3,IF(ABS(B4-B3/2)=SMALL(C3:C6,2),A4,IF(ABS(B5-B3/2)=SMALL(C3:C6,2),A5,IF(ABS(B6-B3/2)=SMALL(C3:C6,2),A6,"")))))</f>
        <v/>
      </c>
      <c r="I4" s="765">
        <f>Sheet1!AJ59</f>
        <v>0.4</v>
      </c>
      <c r="J4" s="765" t="str">
        <f>IF(MIN(Sheet1!AO59:AO60)=0,"",AVERAGE(Sheet1!AO59:AO60))</f>
        <v/>
      </c>
      <c r="K4" s="765" t="str">
        <f>IF(J4="","",ABS(J4-J3/2))</f>
        <v/>
      </c>
      <c r="L4" s="765" t="str">
        <f>IF(OR(J3="",J4=""),"",IF(ABS(J3-J3/2)=SMALL(K3:K6,2),I3,IF(ABS(J4-J3/2)=SMALL(K3:K6,2),I4,IF(ABS(J5-J3/2)=SMALL(K3:K6,2),I5,IF(ABS(J6-J3/2)=SMALL(K3:K6,2),I6,"")))))</f>
        <v/>
      </c>
      <c r="Q4" s="765">
        <f>Sheet1!AJ95</f>
        <v>0.5</v>
      </c>
      <c r="R4" s="765" t="str">
        <f>IF(MIN(Sheet1!AO95:AO96)=0,"",AVERAGE(Sheet1!AO95:AO96))</f>
        <v/>
      </c>
      <c r="S4" s="765" t="str">
        <f>IF(R4="","",ABS(R4-R3/2))</f>
        <v/>
      </c>
      <c r="T4" s="765" t="str">
        <f>IF(OR(R3="",R4=""),"",IF(ABS(R3-R3/2)=SMALL(S3:S6,2),Q3,IF(ABS(R4-R3/2)=SMALL(S3:S6,2),Q4,IF(ABS(R5-R3/2)=SMALL(S3:S6,2),Q5,IF(ABS(R6-R3/2)=SMALL(S3:S6,2),Q6,"")))))</f>
        <v/>
      </c>
    </row>
    <row r="5" spans="1:23">
      <c r="A5" s="765" t="str">
        <f>IF(AND(Sheet1!AM14="",Sheet1!AM16=""),"",IF(Sheet1!AM14&lt;&gt;"",Sheet1!AJ14,Sheet1!AJ16))</f>
        <v/>
      </c>
      <c r="B5" s="765" t="str">
        <f>IF(AND(Sheet1!AM14="",Sheet1!AM16=""),"",IF(Sheet1!AM14&lt;&gt;"",AVERAGE(Sheet1!AO14:AO15),AVERAGE(Sheet1!AO16:AO17)))</f>
        <v/>
      </c>
      <c r="C5" s="765" t="str">
        <f>IF(B5="","",ABS(B5-B3/2))</f>
        <v/>
      </c>
      <c r="I5" s="765" t="str">
        <f>IF(AND(Sheet1!AM61="",Sheet1!AM63=""),"",IF(Sheet1!AM61&lt;&gt;"",Sheet1!AJ61,Sheet1!AJ63))</f>
        <v/>
      </c>
      <c r="J5" s="765" t="str">
        <f>IF(AND(Sheet1!AM61="",Sheet1!AM63=""),"",IF(Sheet1!AM61&lt;&gt;"",AVERAGE(Sheet1!AO61:AO62),AVERAGE(Sheet1!AO63:AO64)))</f>
        <v/>
      </c>
      <c r="K5" s="765" t="str">
        <f>IF(J5="","",ABS(J5-J3/2))</f>
        <v/>
      </c>
      <c r="Q5" s="765" t="str">
        <f>IF(AND(Sheet1!AM97="",Sheet1!AM99=""),"",IF(Sheet1!AM97&lt;&gt;"",Sheet1!AJ97,Sheet1!AJ99))</f>
        <v/>
      </c>
      <c r="R5" s="765" t="str">
        <f>IF(AND(Sheet1!AM97="",Sheet1!AM99=""),"",IF(Sheet1!AM97&lt;&gt;"",AVERAGE(Sheet1!AO97:AO98),AVERAGE(Sheet1!AO99:AO100)))</f>
        <v/>
      </c>
      <c r="S5" s="765" t="str">
        <f>IF(R5="","",ABS(R5-R3/2))</f>
        <v/>
      </c>
    </row>
    <row r="6" spans="1:23">
      <c r="A6" s="765" t="str">
        <f>IF(OR(Sheet1!AM16="",AND(Sheet1!AM14="",Sheet1!AM16&lt;&gt;"")),"",Sheet1!AJ16)</f>
        <v/>
      </c>
      <c r="B6" s="765" t="str">
        <f>IF(OR(Sheet1!AM16="",AND(Sheet1!AM14="",Sheet1!AM16&lt;&gt;"")),"",AVERAGE(Sheet1!AO16:AO17))</f>
        <v/>
      </c>
      <c r="C6" s="765" t="str">
        <f>IF(B6="","",ABS(B6-B3/2))</f>
        <v/>
      </c>
      <c r="D6" s="764" t="s">
        <v>581</v>
      </c>
      <c r="E6" s="764" t="s">
        <v>582</v>
      </c>
      <c r="I6" s="765" t="str">
        <f>IF(OR(Sheet1!AM63="",AND(Sheet1!AM61="",Sheet1!AM63&lt;&gt;"")),"",Sheet1!AJ63)</f>
        <v/>
      </c>
      <c r="J6" s="765" t="str">
        <f>IF(OR(Sheet1!AM63="",AND(Sheet1!AM61="",Sheet1!AM63&lt;&gt;"")),"",AVERAGE(Sheet1!AO63:AO64))</f>
        <v/>
      </c>
      <c r="K6" s="765" t="str">
        <f>IF(J6="","",ABS(J6-J3/2))</f>
        <v/>
      </c>
      <c r="L6" s="764" t="s">
        <v>581</v>
      </c>
      <c r="M6" s="764" t="s">
        <v>582</v>
      </c>
      <c r="Q6" s="765" t="str">
        <f>IF(OR(Sheet1!AM99="",AND(Sheet1!AM97="",Sheet1!AM99&lt;&gt;"")),"",Sheet1!AJ99)</f>
        <v/>
      </c>
      <c r="R6" s="765" t="str">
        <f>IF(OR(Sheet1!AM99="",AND(Sheet1!AM97="",Sheet1!AM99&lt;&gt;"")),"",AVERAGE(Sheet1!AO99:AO100))</f>
        <v/>
      </c>
      <c r="S6" s="765" t="str">
        <f>IF(R6="","",ABS(R6-R3/2))</f>
        <v/>
      </c>
      <c r="T6" s="764" t="s">
        <v>581</v>
      </c>
      <c r="U6" s="764" t="s">
        <v>582</v>
      </c>
    </row>
    <row r="7" spans="1:23">
      <c r="A7" s="765" t="str">
        <f>G3</f>
        <v/>
      </c>
      <c r="B7" s="765" t="str">
        <f>IF(G3="","",EXP(TREND(E7:E8,D3:D4,A7)))</f>
        <v/>
      </c>
      <c r="D7" s="765" t="str">
        <f>IF(OR(B3="",B4=""),"",IF(A3=D3,B3,IF(A4=D3,B4,IF(A5=D3,B5,IF(A6=D3,B6)))))</f>
        <v/>
      </c>
      <c r="E7" s="765" t="str">
        <f>IF(D7="","",LN(D7))</f>
        <v/>
      </c>
      <c r="I7" s="765" t="str">
        <f>O3</f>
        <v/>
      </c>
      <c r="J7" s="765" t="str">
        <f>IF(O3="","",EXP(TREND(M7:M8,L3:L4,I7)))</f>
        <v/>
      </c>
      <c r="L7" s="765" t="str">
        <f>IF(OR(J3="",J4=""),"",IF(I3=L3,J3,IF(I4=L3,J4,IF(I5=L3,J5,IF(I6=L3,J6)))))</f>
        <v/>
      </c>
      <c r="M7" s="765" t="str">
        <f>IF(L7="","",LN(L7))</f>
        <v/>
      </c>
      <c r="Q7" s="765" t="str">
        <f>W3</f>
        <v/>
      </c>
      <c r="R7" s="765" t="str">
        <f>IF(W3="","",EXP(TREND(U7:U8,T3:T4,Q7)))</f>
        <v/>
      </c>
      <c r="T7" s="765" t="str">
        <f>IF(OR(R3="",R4=""),"",IF(Q3=T3,R3,IF(Q4=T3,R4,IF(Q5=T3,R5,IF(Q6=T3,R6)))))</f>
        <v/>
      </c>
      <c r="U7" s="765" t="str">
        <f>IF(T7="","",LN(T7))</f>
        <v/>
      </c>
    </row>
    <row r="8" spans="1:23">
      <c r="D8" s="765" t="str">
        <f>IF(OR(B3="",B4=""),"",IF(A3=D4,B3,IF(A4=D4,B4,IF(A5=D4,B5,IF(A6=D4,B6)))))</f>
        <v/>
      </c>
      <c r="E8" s="765" t="str">
        <f>IF(D8="","",LN(D8))</f>
        <v/>
      </c>
      <c r="L8" s="765" t="str">
        <f>IF(OR(J3="",J4=""),"",IF(I3=L4,J3,IF(I4=L4,J4,IF(I5=L4,J5,IF(I6=L4,J6)))))</f>
        <v/>
      </c>
      <c r="M8" s="765" t="str">
        <f>IF(L8="","",LN(L8))</f>
        <v/>
      </c>
      <c r="T8" s="765" t="str">
        <f>IF(OR(R3="",R4=""),"",IF(Q3=T4,R3,IF(Q4=T4,R4,IF(Q5=T4,R5,IF(Q6=T4,R6)))))</f>
        <v/>
      </c>
      <c r="U8" s="765" t="str">
        <f>IF(T8="","",LN(T8))</f>
        <v/>
      </c>
    </row>
    <row r="9" spans="1:23">
      <c r="A9" s="763">
        <f>Sheet1!AH18</f>
        <v>25</v>
      </c>
      <c r="B9" s="764" t="s">
        <v>24</v>
      </c>
      <c r="I9" s="763">
        <f>Sheet1!AH65</f>
        <v>30</v>
      </c>
      <c r="J9" s="764" t="s">
        <v>24</v>
      </c>
      <c r="Q9" s="763">
        <f>Sheet1!AH101</f>
        <v>30</v>
      </c>
      <c r="R9" s="764" t="s">
        <v>24</v>
      </c>
    </row>
    <row r="10" spans="1:23" ht="15" thickBot="1">
      <c r="A10" s="764" t="s">
        <v>577</v>
      </c>
      <c r="B10" s="764" t="s">
        <v>578</v>
      </c>
      <c r="C10" s="764" t="s">
        <v>579</v>
      </c>
      <c r="D10" s="764" t="s">
        <v>580</v>
      </c>
      <c r="E10" s="764" t="s">
        <v>24</v>
      </c>
      <c r="G10" s="764" t="str">
        <f>IF(E11&lt;&gt;"","HVL @ "&amp;ROUND(E11,2)&amp;" kVp","HVL @ "&amp;A9&amp;" kVp")</f>
        <v>HVL @ 25 kVp</v>
      </c>
      <c r="I10" s="764" t="s">
        <v>577</v>
      </c>
      <c r="J10" s="764" t="s">
        <v>578</v>
      </c>
      <c r="K10" s="764" t="s">
        <v>579</v>
      </c>
      <c r="L10" s="764" t="s">
        <v>580</v>
      </c>
      <c r="M10" s="764" t="s">
        <v>24</v>
      </c>
      <c r="O10" s="764" t="str">
        <f>IF(M11&lt;&gt;"","HVL @ "&amp;ROUND(M11,2)&amp;" kVp","HVL @ "&amp;I9&amp;" kVp")</f>
        <v>HVL @ 30 kVp</v>
      </c>
      <c r="Q10" s="764" t="s">
        <v>577</v>
      </c>
      <c r="R10" s="764" t="s">
        <v>578</v>
      </c>
      <c r="S10" s="764" t="s">
        <v>579</v>
      </c>
      <c r="T10" s="764" t="s">
        <v>580</v>
      </c>
      <c r="U10" s="764" t="s">
        <v>24</v>
      </c>
      <c r="W10" s="764" t="str">
        <f>IF(U11&lt;&gt;"","HVL @ "&amp;ROUND(U11,2)&amp;" kVp","HVL @ "&amp;Q9&amp;" kVp")</f>
        <v>HVL @ 30 kVp</v>
      </c>
    </row>
    <row r="11" spans="1:23" ht="15" thickBot="1">
      <c r="A11" s="765">
        <f>Sheet1!AJ18</f>
        <v>0</v>
      </c>
      <c r="B11" s="765" t="str">
        <f>IF(MIN(Sheet1!AO18:AO19)=0,"",AVERAGE(Sheet1!AO18:AO19))</f>
        <v/>
      </c>
      <c r="C11" s="765" t="str">
        <f>IF(B11="","",ABS(B11-B11/2))</f>
        <v/>
      </c>
      <c r="D11" s="765" t="str">
        <f>IF(OR(B11="",B12=""),"",IF(ABS(B11-B11/2)=SMALL(C11:C14,1),A11,IF(ABS(B12-B11/2)=SMALL(C11:C14,1),A12,IF(ABS(B13-B11/2)=SMALL(C11:C14,1),A13,IF(ABS(B14-B11/2)=SMALL(C11:C14,1),A14,"")))))</f>
        <v/>
      </c>
      <c r="E11" s="765" t="str">
        <f>IF(OR(Sheet1!AM18="",Sheet1!AM19=""),"",AVERAGE(Sheet1!AM18:AM19))</f>
        <v/>
      </c>
      <c r="G11" s="766" t="str">
        <f>IF(OR(MIN(D11:D12)=0,MIN(D15:D16)=0),"",TREND(D11:D12,E15:E16,LN(B11/2)))</f>
        <v/>
      </c>
      <c r="I11" s="765">
        <f>Sheet1!AJ65</f>
        <v>0</v>
      </c>
      <c r="J11" s="765" t="str">
        <f>IF(MIN(Sheet1!AO65:AO66)=0,"",AVERAGE(Sheet1!AO65:AO66))</f>
        <v/>
      </c>
      <c r="K11" s="765" t="str">
        <f>IF(J11="","",ABS(J11-J11/2))</f>
        <v/>
      </c>
      <c r="L11" s="765" t="str">
        <f>IF(OR(J11="",J12=""),"",IF(ABS(J11-J11/2)=SMALL(K11:K14,1),I11,IF(ABS(J12-J11/2)=SMALL(K11:K14,1),I12,IF(ABS(J13-J11/2)=SMALL(K11:K14,1),I13,IF(ABS(J14-J11/2)=SMALL(K11:K14,1),I14,"")))))</f>
        <v/>
      </c>
      <c r="M11" s="765" t="str">
        <f>IF(OR(Sheet1!AM65="",Sheet1!AM66=""),"",AVERAGE(Sheet1!AM65:AM66))</f>
        <v/>
      </c>
      <c r="O11" s="766" t="str">
        <f>IF(OR(MIN(L11:L12)=0,MIN(L15:L16)=0),"",TREND(L11:L12,M15:M16,LN(J11/2)))</f>
        <v/>
      </c>
      <c r="Q11" s="765">
        <f>Sheet1!AJ101</f>
        <v>0</v>
      </c>
      <c r="R11" s="765" t="str">
        <f>IF(MIN(Sheet1!AO101:AO102)=0,"",AVERAGE(Sheet1!AO101:AO102))</f>
        <v/>
      </c>
      <c r="S11" s="765" t="str">
        <f>IF(R11="","",ABS(R11-R11/2))</f>
        <v/>
      </c>
      <c r="T11" s="765" t="str">
        <f>IF(OR(R11="",R12=""),"",IF(ABS(R11-R11/2)=SMALL(S11:S14,1),Q11,IF(ABS(R12-R11/2)=SMALL(S11:S14,1),Q12,IF(ABS(R13-R11/2)=SMALL(S11:S14,1),Q13,IF(ABS(R14-R11/2)=SMALL(S11:S14,1),Q14,"")))))</f>
        <v/>
      </c>
      <c r="U11" s="765" t="str">
        <f>IF(OR(Sheet1!AM65="",Sheet1!AM66=""),"",AVERAGE(Sheet1!AM65:AM66))</f>
        <v/>
      </c>
      <c r="W11" s="766" t="str">
        <f>IF(OR(MIN(T11:T12)=0,MIN(T15:T16)=0),"",TREND(T11:T12,U15:U16,LN(R11/2)))</f>
        <v/>
      </c>
    </row>
    <row r="12" spans="1:23">
      <c r="A12" s="765">
        <f>Sheet1!AJ20</f>
        <v>0.3</v>
      </c>
      <c r="B12" s="765" t="str">
        <f>IF(MIN(Sheet1!AO20:AO21)=0,"",AVERAGE(Sheet1!AO20:AO21))</f>
        <v/>
      </c>
      <c r="C12" s="765" t="str">
        <f>IF(B12="","",ABS(B12-B11/2))</f>
        <v/>
      </c>
      <c r="D12" s="765" t="str">
        <f>IF(OR(B11="",B12=""),"",IF(ABS(B11-B11/2)=SMALL(C11:C14,2),A11,IF(ABS(B12-B11/2)=SMALL(C11:C14,2),A12,IF(ABS(B13-B11/2)=SMALL(C11:C14,2),A13,IF(ABS(B14-B11/2)=SMALL(C11:C14,2),A14,"")))))</f>
        <v/>
      </c>
      <c r="I12" s="765">
        <f>Sheet1!AJ67</f>
        <v>0.4</v>
      </c>
      <c r="J12" s="765" t="str">
        <f>IF(MIN(Sheet1!AO67:AO68)=0,"",AVERAGE(Sheet1!AO67:AO68))</f>
        <v/>
      </c>
      <c r="K12" s="765" t="str">
        <f>IF(J12="","",ABS(J12-J11/2))</f>
        <v/>
      </c>
      <c r="L12" s="765" t="str">
        <f>IF(OR(J11="",J12=""),"",IF(ABS(J11-J11/2)=SMALL(K11:K14,2),I11,IF(ABS(J12-J11/2)=SMALL(K11:K14,2),I12,IF(ABS(J13-J11/2)=SMALL(K11:K14,2),I13,IF(ABS(J14-J11/2)=SMALL(K11:K14,2),I14,"")))))</f>
        <v/>
      </c>
      <c r="Q12" s="765">
        <f>Sheet1!AJ103</f>
        <v>0.5</v>
      </c>
      <c r="R12" s="765" t="str">
        <f>IF(MIN(Sheet1!AO103:AO104)=0,"",AVERAGE(Sheet1!AO103:AO104))</f>
        <v/>
      </c>
      <c r="S12" s="765" t="str">
        <f>IF(R12="","",ABS(R12-R11/2))</f>
        <v/>
      </c>
      <c r="T12" s="765" t="str">
        <f>IF(OR(R11="",R12=""),"",IF(ABS(R11-R11/2)=SMALL(S11:S14,2),Q11,IF(ABS(R12-R11/2)=SMALL(S11:S14,2),Q12,IF(ABS(R13-R11/2)=SMALL(S11:S14,2),Q13,IF(ABS(R14-R11/2)=SMALL(S11:S14,2),Q14,"")))))</f>
        <v/>
      </c>
    </row>
    <row r="13" spans="1:23">
      <c r="A13" s="765" t="str">
        <f>IF(AND(Sheet1!AM22="",Sheet1!AM24=""),"",IF(Sheet1!AM22&lt;&gt;"",Sheet1!AJ22,Sheet1!AJ24))</f>
        <v/>
      </c>
      <c r="B13" s="765" t="str">
        <f>IF(AND(Sheet1!AM22="",Sheet1!AM24=""),"",IF(Sheet1!AM22&lt;&gt;"",AVERAGE(Sheet1!AO22:AO23),AVERAGE(Sheet1!AO24:AO25)))</f>
        <v/>
      </c>
      <c r="C13" s="765" t="str">
        <f>IF(B13="","",ABS(B13-B11/2))</f>
        <v/>
      </c>
      <c r="I13" s="765" t="str">
        <f>IF(AND(Sheet1!AM69="",Sheet1!AM71=""),"",IF(Sheet1!AM69&lt;&gt;"",Sheet1!AJ69,Sheet1!AJ71))</f>
        <v/>
      </c>
      <c r="J13" s="765" t="str">
        <f>IF(AND(Sheet1!AM69="",Sheet1!AM71=""),"",IF(Sheet1!AM69&lt;&gt;"",AVERAGE(Sheet1!AO69:AO70),AVERAGE(Sheet1!AO71:AO72)))</f>
        <v/>
      </c>
      <c r="K13" s="765" t="str">
        <f>IF(J13="","",ABS(J13-J11/2))</f>
        <v/>
      </c>
      <c r="Q13" s="765" t="str">
        <f>IF(AND(Sheet1!AM105="",Sheet1!AM107=""),"",IF(Sheet1!AM105&lt;&gt;"",Sheet1!AJ105,Sheet1!AJ107))</f>
        <v/>
      </c>
      <c r="R13" s="765" t="str">
        <f>IF(AND(Sheet1!AM105="",Sheet1!AM107=""),"",IF(Sheet1!AM105&lt;&gt;"",AVERAGE(Sheet1!AO105:AO106),AVERAGE(Sheet1!AO107:AO108)))</f>
        <v/>
      </c>
      <c r="S13" s="765" t="str">
        <f>IF(R13="","",ABS(R13-R11/2))</f>
        <v/>
      </c>
    </row>
    <row r="14" spans="1:23">
      <c r="A14" s="765" t="str">
        <f>IF(OR(Sheet1!AM24="",AND(Sheet1!AM22="",Sheet1!AM24&lt;&gt;"")),"",Sheet1!AJ24)</f>
        <v/>
      </c>
      <c r="B14" s="765" t="str">
        <f>IF(OR(Sheet1!AM24="",AND(Sheet1!AM22="",Sheet1!AM24&lt;&gt;"")),"",AVERAGE(Sheet1!AO24:AO25))</f>
        <v/>
      </c>
      <c r="C14" s="765" t="str">
        <f>IF(B14="","",ABS(B14-B11/2))</f>
        <v/>
      </c>
      <c r="D14" s="764" t="s">
        <v>581</v>
      </c>
      <c r="E14" s="764" t="s">
        <v>582</v>
      </c>
      <c r="I14" s="765" t="str">
        <f>IF(OR(Sheet1!AM71="",AND(Sheet1!AM69="",Sheet1!AM71&lt;&gt;"")),"",Sheet1!AJ71)</f>
        <v/>
      </c>
      <c r="J14" s="765" t="str">
        <f>IF(OR(Sheet1!AM71="",AND(Sheet1!AM69="",Sheet1!AM71&lt;&gt;"")),"",AVERAGE(Sheet1!AO71:AO72))</f>
        <v/>
      </c>
      <c r="K14" s="765" t="str">
        <f>IF(J14="","",ABS(J14-J11/2))</f>
        <v/>
      </c>
      <c r="L14" s="764" t="s">
        <v>581</v>
      </c>
      <c r="M14" s="764" t="s">
        <v>582</v>
      </c>
      <c r="Q14" s="765" t="str">
        <f>IF(OR(Sheet1!AM107="",AND(Sheet1!AM105="",Sheet1!AM107&lt;&gt;"")),"",Sheet1!AJ107)</f>
        <v/>
      </c>
      <c r="R14" s="765" t="str">
        <f>IF(OR(Sheet1!AM107="",AND(Sheet1!AM105="",Sheet1!AM107&lt;&gt;"")),"",AVERAGE(Sheet1!AO107:AO108))</f>
        <v/>
      </c>
      <c r="S14" s="765" t="str">
        <f>IF(R14="","",ABS(R14-R11/2))</f>
        <v/>
      </c>
      <c r="T14" s="764" t="s">
        <v>581</v>
      </c>
      <c r="U14" s="764" t="s">
        <v>582</v>
      </c>
    </row>
    <row r="15" spans="1:23">
      <c r="A15" s="765" t="str">
        <f>G11</f>
        <v/>
      </c>
      <c r="B15" s="765" t="str">
        <f>IF(G11="","",EXP(TREND(E15:E16,D11:D12,A15)))</f>
        <v/>
      </c>
      <c r="D15" s="765" t="str">
        <f>IF(OR(B11="",B12=""),"",IF(A11=D11,B11,IF(A12=D11,B12,IF(A13=D11,B13,IF(A14=D11,B14)))))</f>
        <v/>
      </c>
      <c r="E15" s="765" t="str">
        <f>IF(D15="","",LN(D15))</f>
        <v/>
      </c>
      <c r="I15" s="765" t="str">
        <f>O11</f>
        <v/>
      </c>
      <c r="J15" s="765" t="str">
        <f>IF(O11="","",EXP(TREND(M15:M16,L11:L12,I15)))</f>
        <v/>
      </c>
      <c r="L15" s="765" t="str">
        <f>IF(OR(J11="",J12=""),"",IF(I11=L11,J11,IF(I12=L11,J12,IF(I13=L11,J13,IF(I14=L11,J14)))))</f>
        <v/>
      </c>
      <c r="M15" s="765" t="str">
        <f>IF(L15="","",LN(L15))</f>
        <v/>
      </c>
      <c r="Q15" s="765" t="str">
        <f>W11</f>
        <v/>
      </c>
      <c r="R15" s="765" t="str">
        <f>IF(W11="","",EXP(TREND(U15:U16,T11:T12,Q15)))</f>
        <v/>
      </c>
      <c r="T15" s="765" t="str">
        <f>IF(OR(R11="",R12=""),"",IF(Q11=T11,R11,IF(Q12=T11,R12,IF(Q13=T11,R13,IF(Q14=T11,R14)))))</f>
        <v/>
      </c>
      <c r="U15" s="765" t="str">
        <f>IF(T15="","",LN(T15))</f>
        <v/>
      </c>
    </row>
    <row r="16" spans="1:23">
      <c r="D16" s="765" t="str">
        <f>IF(OR(B11="",B12=""),"",IF(A11=D12,B11,IF(A12=D12,B12,IF(A13=D12,B13,IF(A14=D12,B14)))))</f>
        <v/>
      </c>
      <c r="E16" s="765" t="str">
        <f>IF(D16="","",LN(D16))</f>
        <v/>
      </c>
      <c r="L16" s="765" t="str">
        <f>IF(OR(J11="",J12=""),"",IF(I11=L12,J11,IF(I12=L12,J12,IF(I13=L12,J13,IF(I14=L12,J14)))))</f>
        <v/>
      </c>
      <c r="M16" s="765" t="str">
        <f>IF(L16="","",LN(L16))</f>
        <v/>
      </c>
      <c r="T16" s="765" t="str">
        <f>IF(OR(R11="",R12=""),"",IF(Q11=T12,R11,IF(Q12=T12,R12,IF(Q13=T12,R13,IF(Q14=T12,R14)))))</f>
        <v/>
      </c>
      <c r="U16" s="765" t="str">
        <f>IF(T16="","",LN(T16))</f>
        <v/>
      </c>
    </row>
    <row r="17" spans="1:23">
      <c r="A17" s="763">
        <f>Sheet1!AH28</f>
        <v>28</v>
      </c>
      <c r="B17" s="764" t="s">
        <v>24</v>
      </c>
      <c r="I17" s="763">
        <f>Sheet1!AH73</f>
        <v>32</v>
      </c>
      <c r="J17" s="764" t="s">
        <v>24</v>
      </c>
      <c r="Q17" s="763">
        <f>Sheet1!AH109</f>
        <v>32</v>
      </c>
      <c r="R17" s="764" t="s">
        <v>24</v>
      </c>
    </row>
    <row r="18" spans="1:23" ht="15" thickBot="1">
      <c r="A18" s="764" t="s">
        <v>577</v>
      </c>
      <c r="B18" s="764" t="s">
        <v>578</v>
      </c>
      <c r="C18" s="764" t="s">
        <v>579</v>
      </c>
      <c r="D18" s="764" t="s">
        <v>580</v>
      </c>
      <c r="E18" s="764" t="s">
        <v>24</v>
      </c>
      <c r="G18" s="764" t="str">
        <f>IF(E19&lt;&gt;"","HVL @ "&amp;ROUND(E19,2)&amp;" kVp","HVL @ "&amp;A17&amp;" kVp")</f>
        <v>HVL @ 28 kVp</v>
      </c>
      <c r="I18" s="764" t="s">
        <v>577</v>
      </c>
      <c r="J18" s="764" t="s">
        <v>578</v>
      </c>
      <c r="K18" s="764" t="s">
        <v>579</v>
      </c>
      <c r="L18" s="764" t="s">
        <v>580</v>
      </c>
      <c r="M18" s="764" t="s">
        <v>24</v>
      </c>
      <c r="O18" s="764" t="str">
        <f>IF(M19&lt;&gt;"","HVL @ "&amp;ROUND(M19,2)&amp;" kVp","HVL @ "&amp;I17&amp;" kVp")</f>
        <v>HVL @ 32 kVp</v>
      </c>
      <c r="Q18" s="764" t="s">
        <v>577</v>
      </c>
      <c r="R18" s="764" t="s">
        <v>578</v>
      </c>
      <c r="S18" s="764" t="s">
        <v>579</v>
      </c>
      <c r="T18" s="764" t="s">
        <v>580</v>
      </c>
      <c r="U18" s="764" t="s">
        <v>24</v>
      </c>
      <c r="W18" s="764" t="str">
        <f>IF(U19&lt;&gt;"","HVL @ "&amp;ROUND(U19,2)&amp;" kVp","HVL @ "&amp;Q17&amp;" kVp")</f>
        <v>HVL @ 32 kVp</v>
      </c>
    </row>
    <row r="19" spans="1:23" ht="15" thickBot="1">
      <c r="A19" s="765">
        <f>Sheet1!AJ28</f>
        <v>0</v>
      </c>
      <c r="B19" s="765" t="str">
        <f>IF(MIN(Sheet1!AO28:AO31)=0,"",AVERAGE(Sheet1!AO28:AO31))</f>
        <v/>
      </c>
      <c r="C19" s="765" t="str">
        <f>IF(B19="","",ABS(B19-B19/2))</f>
        <v/>
      </c>
      <c r="D19" s="765" t="str">
        <f>IF(OR(B19="",B20=""),"",IF(ABS(B19-B19/2)=SMALL(C19:C22,1),A19,IF(ABS(B20-B19/2)=SMALL(C19:C22,1),A20,IF(ABS(B21-B19/2)=SMALL(C19:C22,1),A21,IF(ABS(B22-B19/2)=SMALL(C19:C22,1),A22,"")))))</f>
        <v/>
      </c>
      <c r="E19" s="765" t="str">
        <f>IF(OR(Sheet1!AM26="",Sheet1!AM27=""),"",AVERAGE(Sheet1!AM26:AM27))</f>
        <v/>
      </c>
      <c r="G19" s="766" t="str">
        <f>IF(OR(MIN(D19:D20)=0,MIN(D23:D24)=0),"",TREND(D19:D20,E23:E24,LN(B19/2)))</f>
        <v/>
      </c>
      <c r="I19" s="765">
        <f>Sheet1!AJ73</f>
        <v>0</v>
      </c>
      <c r="J19" s="765" t="str">
        <f>IF(MIN(Sheet1!AO73:AO74)=0,"",AVERAGE(Sheet1!AO73:AO74))</f>
        <v/>
      </c>
      <c r="K19" s="765" t="str">
        <f>IF(J19="","",ABS(J19-J19/2))</f>
        <v/>
      </c>
      <c r="L19" s="765" t="str">
        <f>IF(OR(J19="",J20=""),"",IF(ABS(J19-J19/2)=SMALL(K19:K22,1),I19,IF(ABS(J20-J19/2)=SMALL(K19:K22,1),I20,IF(ABS(J21-J19/2)=SMALL(K19:K22,1),I21,IF(ABS(J22-J19/2)=SMALL(K19:K22,1),I22,"")))))</f>
        <v/>
      </c>
      <c r="M19" s="765" t="str">
        <f>IF(OR(Sheet1!AM73="",Sheet1!AM74=""),"",AVERAGE(Sheet1!AM73:AM74))</f>
        <v/>
      </c>
      <c r="O19" s="766" t="str">
        <f>IF(OR(MIN(L19:L20)=0,MIN(L23:L24)=0),"",TREND(L19:L20,M23:M24,LN(J19/2)))</f>
        <v/>
      </c>
      <c r="Q19" s="765">
        <f>Sheet1!AJ109</f>
        <v>0</v>
      </c>
      <c r="R19" s="765" t="str">
        <f>IF(MIN(Sheet1!AO109:AO110)=0,"",AVERAGE(Sheet1!AO109:AO110))</f>
        <v/>
      </c>
      <c r="S19" s="765" t="str">
        <f>IF(R19="","",ABS(R19-R19/2))</f>
        <v/>
      </c>
      <c r="T19" s="765" t="str">
        <f>IF(OR(R19="",R20=""),"",IF(ABS(R19-R19/2)=SMALL(S19:S22,1),Q19,IF(ABS(R20-R19/2)=SMALL(S19:S22,1),Q20,IF(ABS(R21-R19/2)=SMALL(S19:S22,1),Q21,IF(ABS(R22-R19/2)=SMALL(S19:S22,1),Q22,"")))))</f>
        <v/>
      </c>
      <c r="U19" s="765" t="str">
        <f>IF(OR(Sheet1!AM73="",Sheet1!AM74=""),"",AVERAGE(Sheet1!AM73:AM74))</f>
        <v/>
      </c>
      <c r="W19" s="766" t="str">
        <f>IF(OR(MIN(T19:T20)=0,MIN(T23:T24)=0),"",TREND(T19:T20,U23:U24,LN(R19/2)))</f>
        <v/>
      </c>
    </row>
    <row r="20" spans="1:23">
      <c r="A20" s="765">
        <f>Sheet1!AJ32</f>
        <v>0.3</v>
      </c>
      <c r="B20" s="765" t="str">
        <f>IF(MIN(Sheet1!AO32:AO33)=0,"",AVERAGE(Sheet1!AO32:AO33))</f>
        <v/>
      </c>
      <c r="C20" s="765" t="str">
        <f>IF(B20="","",ABS(B20-B19/2))</f>
        <v/>
      </c>
      <c r="D20" s="765" t="str">
        <f>IF(OR(B19="",B20=""),"",IF(ABS(B19-B19/2)=SMALL(C19:C22,2),A19,IF(ABS(B20-B19/2)=SMALL(C19:C22,2),A20,IF(ABS(B21-B19/2)=SMALL(C19:C22,2),A21,IF(ABS(B22-B19/2)=SMALL(C19:C22,2),A22,"")))))</f>
        <v/>
      </c>
      <c r="I20" s="765">
        <f>Sheet1!AJ75</f>
        <v>0.4</v>
      </c>
      <c r="J20" s="765" t="str">
        <f>IF(MIN(Sheet1!AO75:AO76)=0,"",AVERAGE(Sheet1!AO75:AO76))</f>
        <v/>
      </c>
      <c r="K20" s="765" t="str">
        <f>IF(J20="","",ABS(J20-J19/2))</f>
        <v/>
      </c>
      <c r="L20" s="765" t="str">
        <f>IF(OR(J19="",J20=""),"",IF(ABS(J19-J19/2)=SMALL(K19:K22,2),I19,IF(ABS(J20-J19/2)=SMALL(K19:K22,2),I20,IF(ABS(J21-J19/2)=SMALL(K19:K22,2),I21,IF(ABS(J22-J19/2)=SMALL(K19:K22,2),I22,"")))))</f>
        <v/>
      </c>
      <c r="Q20" s="765">
        <f>Sheet1!AJ111</f>
        <v>0.5</v>
      </c>
      <c r="R20" s="765" t="str">
        <f>IF(MIN(Sheet1!AO111:AO112)=0,"",AVERAGE(Sheet1!AO111:AO112))</f>
        <v/>
      </c>
      <c r="S20" s="765" t="str">
        <f>IF(R20="","",ABS(R20-R19/2))</f>
        <v/>
      </c>
      <c r="T20" s="765" t="str">
        <f>IF(OR(R19="",R20=""),"",IF(ABS(R19-R19/2)=SMALL(S19:S22,2),Q19,IF(ABS(R20-R19/2)=SMALL(S19:S22,2),Q20,IF(ABS(R21-R19/2)=SMALL(S19:S22,2),Q21,IF(ABS(R22-R19/2)=SMALL(S19:S22,2),Q22,"")))))</f>
        <v/>
      </c>
    </row>
    <row r="21" spans="1:23">
      <c r="A21" s="765" t="str">
        <f>IF(AND(Sheet1!AM34="",Sheet1!AM36=""),"",IF(Sheet1!AM34&lt;&gt;"",Sheet1!AJ34,Sheet1!AJ36))</f>
        <v/>
      </c>
      <c r="B21" s="765" t="str">
        <f>IF(AND(Sheet1!AM34="",Sheet1!AM36=""),"",IF(Sheet1!AM34&lt;&gt;"",AVERAGE(Sheet1!AO34:AO35),AVERAGE(Sheet1!AO36:AO37)))</f>
        <v/>
      </c>
      <c r="C21" s="765" t="str">
        <f>IF(B21="","",ABS(B21-B19/2))</f>
        <v/>
      </c>
      <c r="I21" s="765" t="str">
        <f>IF(AND(Sheet1!AM77="",Sheet1!AM79=""),"",IF(Sheet1!AM77&lt;&gt;"",Sheet1!AJ77,Sheet1!AJ79))</f>
        <v/>
      </c>
      <c r="J21" s="765" t="str">
        <f>IF(AND(Sheet1!AM77="",Sheet1!AM79=""),"",IF(Sheet1!AM77&lt;&gt;"",AVERAGE(Sheet1!AO77:AO78),AVERAGE(Sheet1!AO79:AO80)))</f>
        <v/>
      </c>
      <c r="K21" s="765" t="str">
        <f>IF(J21="","",ABS(J21-J19/2))</f>
        <v/>
      </c>
      <c r="Q21" s="765" t="str">
        <f>IF(AND(Sheet1!AM113="",Sheet1!AM115=""),"",IF(Sheet1!AM113&lt;&gt;"",Sheet1!AJ113,Sheet1!AJ115))</f>
        <v/>
      </c>
      <c r="R21" s="765" t="str">
        <f>IF(AND(Sheet1!AM113="",Sheet1!AM115=""),"",IF(Sheet1!AM113&lt;&gt;"",AVERAGE(Sheet1!AO113:AO114),AVERAGE(Sheet1!AO115:AO116)))</f>
        <v/>
      </c>
      <c r="S21" s="765" t="str">
        <f>IF(R21="","",ABS(R21-R19/2))</f>
        <v/>
      </c>
    </row>
    <row r="22" spans="1:23">
      <c r="A22" s="765" t="str">
        <f>IF(OR(Sheet1!AM36="",AND(Sheet1!AM34="",Sheet1!AM36&lt;&gt;"")),"",Sheet1!AJ36)</f>
        <v/>
      </c>
      <c r="B22" s="765" t="str">
        <f>IF(OR(Sheet1!AM36="",AND(Sheet1!AM34="",Sheet1!AM36&lt;&gt;"")),"",AVERAGE(Sheet1!AO36:AO37))</f>
        <v/>
      </c>
      <c r="C22" s="765" t="str">
        <f>IF(B22="","",ABS(B22-B19/2))</f>
        <v/>
      </c>
      <c r="D22" s="764" t="s">
        <v>581</v>
      </c>
      <c r="E22" s="764" t="s">
        <v>582</v>
      </c>
      <c r="I22" s="765" t="str">
        <f>IF(OR(Sheet1!AM79="",AND(Sheet1!AM77="",Sheet1!AM79&lt;&gt;"")),"",Sheet1!AJ79)</f>
        <v/>
      </c>
      <c r="J22" s="765" t="str">
        <f>IF(OR(Sheet1!AM79="",AND(Sheet1!AM77="",Sheet1!AM79&lt;&gt;"")),"",AVERAGE(Sheet1!AO79:AO80))</f>
        <v/>
      </c>
      <c r="K22" s="765" t="str">
        <f>IF(J22="","",ABS(J22-J19/2))</f>
        <v/>
      </c>
      <c r="L22" s="764" t="s">
        <v>581</v>
      </c>
      <c r="M22" s="764" t="s">
        <v>582</v>
      </c>
      <c r="Q22" s="765" t="str">
        <f>IF(OR(Sheet1!AM115="",AND(Sheet1!AM113="",Sheet1!AM115&lt;&gt;"")),"",Sheet1!AJ115)</f>
        <v/>
      </c>
      <c r="R22" s="765" t="str">
        <f>IF(OR(Sheet1!AM115="",AND(Sheet1!AM113="",Sheet1!AM115&lt;&gt;"")),"",AVERAGE(Sheet1!AO115:AO116))</f>
        <v/>
      </c>
      <c r="S22" s="765" t="str">
        <f>IF(R22="","",ABS(R22-R19/2))</f>
        <v/>
      </c>
      <c r="T22" s="764" t="s">
        <v>581</v>
      </c>
      <c r="U22" s="764" t="s">
        <v>582</v>
      </c>
    </row>
    <row r="23" spans="1:23">
      <c r="A23" s="765" t="str">
        <f>G19</f>
        <v/>
      </c>
      <c r="B23" s="765" t="str">
        <f>IF(G19="","",EXP(TREND(E23:E24,D19:D20,A23)))</f>
        <v/>
      </c>
      <c r="D23" s="765" t="str">
        <f>IF(OR(B19="",B20=""),"",IF(A19=D19,B19,IF(A20=D19,B20,IF(A21=D19,B21,IF(A22=D19,B22)))))</f>
        <v/>
      </c>
      <c r="E23" s="765" t="str">
        <f>IF(D23="","",LN(D23))</f>
        <v/>
      </c>
      <c r="I23" s="765" t="str">
        <f>O19</f>
        <v/>
      </c>
      <c r="J23" s="765" t="str">
        <f>IF(O19="","",EXP(TREND(M23:M24,L19:L20,I23)))</f>
        <v/>
      </c>
      <c r="L23" s="765" t="str">
        <f>IF(OR(J19="",J20=""),"",IF(I19=L19,J19,IF(I20=L19,J20,IF(I21=L19,J21,IF(I22=L19,J22)))))</f>
        <v/>
      </c>
      <c r="M23" s="765" t="str">
        <f>IF(L23="","",LN(L23))</f>
        <v/>
      </c>
      <c r="Q23" s="765" t="str">
        <f>W19</f>
        <v/>
      </c>
      <c r="R23" s="765" t="str">
        <f>IF(W19="","",EXP(TREND(U23:U24,T19:T20,Q23)))</f>
        <v/>
      </c>
      <c r="T23" s="765" t="str">
        <f>IF(OR(R19="",R20=""),"",IF(Q19=T19,R19,IF(Q20=T19,R20,IF(Q21=T19,R21,IF(Q22=T19,R22)))))</f>
        <v/>
      </c>
      <c r="U23" s="765" t="str">
        <f>IF(T23="","",LN(T23))</f>
        <v/>
      </c>
    </row>
    <row r="24" spans="1:23">
      <c r="D24" s="765" t="str">
        <f>IF(OR(B19="",B20=""),"",IF(A19=D20,B19,IF(A20=D20,B20,IF(A21=D20,B21,IF(A22=D20,B22)))))</f>
        <v/>
      </c>
      <c r="E24" s="765" t="str">
        <f>IF(D24="","",LN(D24))</f>
        <v/>
      </c>
      <c r="L24" s="765" t="str">
        <f>IF(OR(J19="",J20=""),"",IF(I19=L20,J19,IF(I20=L20,J20,IF(I21=L20,J21,IF(I22=L20,J22)))))</f>
        <v/>
      </c>
      <c r="M24" s="765" t="str">
        <f>IF(L24="","",LN(L24))</f>
        <v/>
      </c>
      <c r="T24" s="765" t="str">
        <f>IF(OR(R19="",R20=""),"",IF(Q19=T20,R19,IF(Q20=T20,R20,IF(Q21=T20,R21,IF(Q22=T20,R22)))))</f>
        <v/>
      </c>
      <c r="U24" s="765" t="str">
        <f>IF(T24="","",LN(T24))</f>
        <v/>
      </c>
    </row>
    <row r="25" spans="1:23">
      <c r="A25" s="763">
        <v>32</v>
      </c>
      <c r="B25" s="764" t="s">
        <v>24</v>
      </c>
      <c r="I25" s="763">
        <f>Sheet1!AH81</f>
        <v>34</v>
      </c>
      <c r="J25" s="764" t="s">
        <v>24</v>
      </c>
      <c r="Q25" s="763">
        <f>Sheet1!AH117</f>
        <v>34</v>
      </c>
      <c r="R25" s="764" t="s">
        <v>24</v>
      </c>
    </row>
    <row r="26" spans="1:23" ht="15" thickBot="1">
      <c r="A26" s="764" t="s">
        <v>577</v>
      </c>
      <c r="B26" s="764" t="s">
        <v>578</v>
      </c>
      <c r="C26" s="764" t="s">
        <v>579</v>
      </c>
      <c r="D26" s="764" t="s">
        <v>580</v>
      </c>
      <c r="E26" s="764" t="s">
        <v>24</v>
      </c>
      <c r="G26" s="764" t="str">
        <f>IF(E27&lt;&gt;"","HVL @ "&amp;ROUND(E27,2)&amp;" kVp","HVL @ "&amp;A25&amp;" kVp")</f>
        <v>HVL @ 32 kVp</v>
      </c>
      <c r="I26" s="764" t="s">
        <v>577</v>
      </c>
      <c r="J26" s="764" t="s">
        <v>578</v>
      </c>
      <c r="K26" s="764" t="s">
        <v>579</v>
      </c>
      <c r="L26" s="764" t="s">
        <v>580</v>
      </c>
      <c r="M26" s="764" t="s">
        <v>24</v>
      </c>
      <c r="O26" s="764" t="str">
        <f>IF(M27&lt;&gt;"","HVL @ "&amp;ROUND(M27,2)&amp;" kVp","HVL @ "&amp;I25&amp;" kVp")</f>
        <v>HVL @ 34 kVp</v>
      </c>
      <c r="Q26" s="764" t="s">
        <v>577</v>
      </c>
      <c r="R26" s="764" t="s">
        <v>578</v>
      </c>
      <c r="S26" s="764" t="s">
        <v>579</v>
      </c>
      <c r="T26" s="764" t="s">
        <v>580</v>
      </c>
      <c r="U26" s="764" t="s">
        <v>24</v>
      </c>
      <c r="W26" s="764" t="str">
        <f>IF(U27&lt;&gt;"","HVL @ "&amp;ROUND(U27,2)&amp;" kVp","HVL @ "&amp;Q25&amp;" kVp")</f>
        <v>HVL @ 34 kVp</v>
      </c>
    </row>
    <row r="27" spans="1:23" ht="15" thickBot="1">
      <c r="A27" s="765">
        <v>0</v>
      </c>
      <c r="B27" s="765" t="str">
        <f>IF(MIN(Sheet1!AO41:AO42)=0,"",AVERAGE(Sheet1!AO41:AO42))</f>
        <v/>
      </c>
      <c r="C27" s="765" t="str">
        <f>IF(B27="","",ABS(B27-B27/2))</f>
        <v/>
      </c>
      <c r="D27" s="765" t="str">
        <f>IF(OR(B27="",B28=""),"",IF(ABS(B27-B27/2)=SMALL(C27:C30,1),A27,IF(ABS(B28-B27/2)=SMALL(C27:C30,1),A28,IF(ABS(B29-B27/2)=SMALL(C27:C30,1),A29,IF(ABS(B30-B27/2)=SMALL(C27:C30,1),A30,"")))))</f>
        <v/>
      </c>
      <c r="E27" s="765" t="str">
        <f>IF(OR(Sheet1!AM34="",Sheet1!AM35=""),"",AVERAGE(Sheet1!AM34:AM35))</f>
        <v/>
      </c>
      <c r="G27" s="766" t="str">
        <f>IF(OR(MIN(D27:D28)=0,MIN(D31:D32)=0),"",TREND(D27:D28,E31:E32,LN(B27/2)))</f>
        <v/>
      </c>
      <c r="I27" s="765">
        <f>Sheet1!AJ81</f>
        <v>0</v>
      </c>
      <c r="J27" s="765" t="str">
        <f>IF(MIN(Sheet1!AO81:AO82)=0,"",AVERAGE(Sheet1!AO81:AO82))</f>
        <v/>
      </c>
      <c r="K27" s="765" t="str">
        <f>IF(J27="","",ABS(J27-J27/2))</f>
        <v/>
      </c>
      <c r="L27" s="765" t="str">
        <f>IF(OR(J27="",J28=""),"",IF(ABS(J27-J27/2)=SMALL(K27:K30,1),I27,IF(ABS(J28-J27/2)=SMALL(K27:K30,1),I28,IF(ABS(J29-J27/2)=SMALL(K27:K30,1),I29,IF(ABS(J30-J27/2)=SMALL(K27:K30,1),I30,"")))))</f>
        <v/>
      </c>
      <c r="M27" s="765" t="str">
        <f>IF(OR(Sheet1!AM81="",Sheet1!AM82=""),"",AVERAGE(Sheet1!AM81:AM82))</f>
        <v/>
      </c>
      <c r="O27" s="766" t="str">
        <f>IF(OR(MIN(L27:L28)=0,MIN(L31:L32)=0),"",TREND(L27:L28,M31:M32,LN(J27/2)))</f>
        <v/>
      </c>
      <c r="Q27" s="765">
        <f>Sheet1!AJ117</f>
        <v>0</v>
      </c>
      <c r="R27" s="765" t="str">
        <f>IF(MIN(Sheet1!AO117:AO118)=0,"",AVERAGE(Sheet1!AO117:AO118))</f>
        <v/>
      </c>
      <c r="S27" s="765" t="str">
        <f>IF(R27="","",ABS(R27-R27/2))</f>
        <v/>
      </c>
      <c r="T27" s="765" t="str">
        <f>IF(OR(R27="",R28=""),"",IF(ABS(R27-R27/2)=SMALL(S27:S30,1),Q27,IF(ABS(R28-R27/2)=SMALL(S27:S30,1),Q28,IF(ABS(R29-R27/2)=SMALL(S27:S30,1),Q29,IF(ABS(R30-R27/2)=SMALL(S27:S30,1),Q30,"")))))</f>
        <v/>
      </c>
      <c r="U27" s="765" t="str">
        <f>IF(OR(Sheet1!AM81="",Sheet1!AM82=""),"",AVERAGE(Sheet1!AM81:AM82))</f>
        <v/>
      </c>
      <c r="W27" s="766" t="str">
        <f>IF(OR(MIN(T27:T28)=0,MIN(T31:T32)=0),"",TREND(T27:T28,U31:U32,LN(R27/2)))</f>
        <v/>
      </c>
    </row>
    <row r="28" spans="1:23">
      <c r="A28" s="765">
        <f>Sheet1!AJ43</f>
        <v>0.4</v>
      </c>
      <c r="B28" s="765" t="str">
        <f>IF(MIN(Sheet1!AO43:AO44)=0,"",AVERAGE(Sheet1!AO43:AO44))</f>
        <v/>
      </c>
      <c r="C28" s="765" t="str">
        <f>IF(B28="","",ABS(B28-B27/2))</f>
        <v/>
      </c>
      <c r="D28" s="765" t="str">
        <f>IF(OR(B27="",B28=""),"",IF(ABS(B27-B27/2)=SMALL(C27:C30,2),A27,IF(ABS(B28-B27/2)=SMALL(C27:C30,2),A28,IF(ABS(B29-B27/2)=SMALL(C27:C30,2),A29,IF(ABS(B30-B27/2)=SMALL(C27:C30,2),A30,"")))))</f>
        <v/>
      </c>
      <c r="I28" s="765">
        <f>Sheet1!AJ83</f>
        <v>0.4</v>
      </c>
      <c r="J28" s="765" t="str">
        <f>IF(MIN(Sheet1!AO83:AO84)=0,"",AVERAGE(Sheet1!AO83:AO84))</f>
        <v/>
      </c>
      <c r="K28" s="765" t="str">
        <f>IF(J28="","",ABS(J28-J27/2))</f>
        <v/>
      </c>
      <c r="L28" s="765" t="str">
        <f>IF(OR(J27="",J28=""),"",IF(ABS(J27-J27/2)=SMALL(K27:K30,2),I27,IF(ABS(J28-J27/2)=SMALL(K27:K30,2),I28,IF(ABS(J29-J27/2)=SMALL(K27:K30,2),I29,IF(ABS(J30-J27/2)=SMALL(K27:K30,2),I30,"")))))</f>
        <v/>
      </c>
      <c r="Q28" s="765">
        <f>Sheet1!AJ119</f>
        <v>0.5</v>
      </c>
      <c r="R28" s="765" t="str">
        <f>IF(MIN(Sheet1!AO119:AO120)=0,"",AVERAGE(Sheet1!AO119:AO120))</f>
        <v/>
      </c>
      <c r="S28" s="765" t="str">
        <f>IF(R28="","",ABS(R28-R27/2))</f>
        <v/>
      </c>
      <c r="T28" s="765" t="str">
        <f>IF(OR(R27="",R28=""),"",IF(ABS(R27-R27/2)=SMALL(S27:S30,2),Q27,IF(ABS(R28-R27/2)=SMALL(S27:S30,2),Q28,IF(ABS(R29-R27/2)=SMALL(S27:S30,2),Q29,IF(ABS(R30-R27/2)=SMALL(S27:S30,2),Q30,"")))))</f>
        <v/>
      </c>
    </row>
    <row r="29" spans="1:23">
      <c r="A29" s="765" t="str">
        <f>IF(AND(Sheet1!AM45="",Sheet1!AM47=""),"",IF(Sheet1!AM45&lt;&gt;"",Sheet1!AJ45,Sheet1!AJ47))</f>
        <v/>
      </c>
      <c r="B29" s="765" t="str">
        <f>IF(AND(Sheet1!AM45="",Sheet1!AM47=""),"",IF(Sheet1!AM45&lt;&gt;"",AVERAGE(Sheet1!AO45:AO46),AVERAGE(Sheet1!AO47:AO48)))</f>
        <v/>
      </c>
      <c r="C29" s="765" t="str">
        <f>IF(B29="","",ABS(B29-B27/2))</f>
        <v/>
      </c>
      <c r="I29" s="765" t="str">
        <f>IF(AND(Sheet1!AM85="",Sheet1!AM87=""),"",IF(Sheet1!AM85&lt;&gt;"",Sheet1!AJ85,Sheet1!AJ87))</f>
        <v/>
      </c>
      <c r="J29" s="765" t="str">
        <f>IF(AND(Sheet1!AM85="",Sheet1!AM87=""),"",IF(Sheet1!AM85&lt;&gt;"",AVERAGE(Sheet1!AO85:AO86),AVERAGE(Sheet1!AO87:AO88)))</f>
        <v/>
      </c>
      <c r="K29" s="765" t="str">
        <f>IF(J29="","",ABS(J29-J27/2))</f>
        <v/>
      </c>
      <c r="Q29" s="765" t="str">
        <f>IF(AND(Sheet1!AM121="",Sheet1!AM123=""),"",IF(Sheet1!AM121&lt;&gt;"",Sheet1!AJ121,Sheet1!AJ123))</f>
        <v/>
      </c>
      <c r="R29" s="765" t="str">
        <f>IF(AND(Sheet1!AM121="",Sheet1!AM123=""),"",IF(Sheet1!AM121&lt;&gt;"",AVERAGE(Sheet1!AO121:AO122),AVERAGE(Sheet1!AO123:AO124)))</f>
        <v/>
      </c>
      <c r="S29" s="765" t="str">
        <f>IF(R29="","",ABS(R29-R27/2))</f>
        <v/>
      </c>
    </row>
    <row r="30" spans="1:23">
      <c r="A30" s="765" t="str">
        <f>IF(OR(Sheet1!AM47="",AND(Sheet1!AM45="",Sheet1!AM47&lt;&gt;"")),"",Sheet1!AJ47)</f>
        <v/>
      </c>
      <c r="B30" s="765" t="str">
        <f>IF(OR(Sheet1!AM47="",AND(Sheet1!AM45="",Sheet1!AM47&lt;&gt;"")),"",AVERAGE(Sheet1!AO47:AO48))</f>
        <v/>
      </c>
      <c r="C30" s="765" t="str">
        <f>IF(B30="","",ABS(B30-B27/2))</f>
        <v/>
      </c>
      <c r="D30" s="764" t="s">
        <v>581</v>
      </c>
      <c r="E30" s="764" t="s">
        <v>582</v>
      </c>
      <c r="I30" s="765" t="str">
        <f>IF(OR(Sheet1!AM87="",AND(Sheet1!AM85="",Sheet1!AM87&lt;&gt;"")),"",Sheet1!AJ87)</f>
        <v/>
      </c>
      <c r="J30" s="765" t="str">
        <f>IF(OR(Sheet1!AM87="",AND(Sheet1!AM85="",Sheet1!AM87&lt;&gt;"")),"",AVERAGE(Sheet1!AO87:AO88))</f>
        <v/>
      </c>
      <c r="K30" s="765" t="str">
        <f>IF(J30="","",ABS(J30-J27/2))</f>
        <v/>
      </c>
      <c r="L30" s="764" t="s">
        <v>581</v>
      </c>
      <c r="M30" s="764" t="s">
        <v>582</v>
      </c>
      <c r="Q30" s="765" t="str">
        <f>IF(OR(Sheet1!AM123="",AND(Sheet1!AM121="",Sheet1!AM123&lt;&gt;"")),"",Sheet1!AJ123)</f>
        <v/>
      </c>
      <c r="R30" s="765" t="str">
        <f>IF(OR(Sheet1!AM123="",AND(Sheet1!AM121="",Sheet1!AM123&lt;&gt;"")),"",AVERAGE(Sheet1!AO123:AO124))</f>
        <v/>
      </c>
      <c r="S30" s="765" t="str">
        <f>IF(R30="","",ABS(R30-R27/2))</f>
        <v/>
      </c>
      <c r="T30" s="764" t="s">
        <v>581</v>
      </c>
      <c r="U30" s="764" t="s">
        <v>582</v>
      </c>
    </row>
    <row r="31" spans="1:23">
      <c r="A31" s="765" t="str">
        <f>G27</f>
        <v/>
      </c>
      <c r="B31" s="765" t="str">
        <f>IF(G27="","",EXP(TREND(E31:E32,D27:D28,A31)))</f>
        <v/>
      </c>
      <c r="D31" s="765" t="str">
        <f>IF(OR(B27="",B28=""),"",IF(A27=D27,B27,IF(A28=D27,B28,IF(A29=D27,B29,IF(A30=D27,B30)))))</f>
        <v/>
      </c>
      <c r="E31" s="765" t="str">
        <f>IF(D31="","",LN(D31))</f>
        <v/>
      </c>
      <c r="I31" s="765" t="str">
        <f>O27</f>
        <v/>
      </c>
      <c r="J31" s="765" t="str">
        <f>IF(O27="","",EXP(TREND(M31:M32,L27:L28,I31)))</f>
        <v/>
      </c>
      <c r="L31" s="765" t="str">
        <f>IF(OR(J27="",J28=""),"",IF(I27=L27,J27,IF(I28=L27,J28,IF(I29=L27,J29,IF(I30=L27,J30)))))</f>
        <v/>
      </c>
      <c r="M31" s="765" t="str">
        <f>IF(L31="","",LN(L31))</f>
        <v/>
      </c>
      <c r="Q31" s="765" t="str">
        <f>W27</f>
        <v/>
      </c>
      <c r="R31" s="765" t="str">
        <f>IF(W27="","",EXP(TREND(U31:U32,T27:T28,Q31)))</f>
        <v/>
      </c>
      <c r="T31" s="765" t="str">
        <f>IF(OR(R27="",R28=""),"",IF(Q27=T27,R27,IF(Q28=T27,R28,IF(Q29=T27,R29,IF(Q30=T27,R30)))))</f>
        <v/>
      </c>
      <c r="U31" s="765" t="str">
        <f>IF(T31="","",LN(T31))</f>
        <v/>
      </c>
    </row>
    <row r="32" spans="1:23">
      <c r="D32" s="765" t="str">
        <f>IF(OR(B27="",B28=""),"",IF(A27=D28,B27,IF(A28=D28,B28,IF(A29=D28,B29,IF(A30=D28,B30)))))</f>
        <v/>
      </c>
      <c r="E32" s="765" t="str">
        <f>IF(D32="","",LN(D32))</f>
        <v/>
      </c>
      <c r="L32" s="765" t="str">
        <f>IF(OR(J27="",J28=""),"",IF(I27=L28,J27,IF(I28=L28,J28,IF(I29=L28,J29,IF(I30=L28,J30)))))</f>
        <v/>
      </c>
      <c r="M32" s="765" t="str">
        <f>IF(L32="","",LN(L32))</f>
        <v/>
      </c>
      <c r="T32" s="765" t="str">
        <f>IF(OR(R27="",R28=""),"",IF(Q27=T28,R27,IF(Q28=T28,R28,IF(Q29=T28,R29,IF(Q30=T28,R30)))))</f>
        <v/>
      </c>
      <c r="U32" s="765" t="str">
        <f>IF(T32="","",LN(T32))</f>
        <v/>
      </c>
    </row>
    <row r="33" spans="1:23">
      <c r="A33" s="763">
        <v>34</v>
      </c>
      <c r="B33" s="764" t="s">
        <v>24</v>
      </c>
      <c r="Q33" s="763">
        <f>Sheet1!AH125</f>
        <v>38</v>
      </c>
      <c r="R33" s="764" t="s">
        <v>24</v>
      </c>
    </row>
    <row r="34" spans="1:23" ht="15" thickBot="1">
      <c r="A34" s="764" t="s">
        <v>577</v>
      </c>
      <c r="B34" s="764" t="s">
        <v>578</v>
      </c>
      <c r="C34" s="764" t="s">
        <v>579</v>
      </c>
      <c r="D34" s="764" t="s">
        <v>580</v>
      </c>
      <c r="E34" s="764" t="s">
        <v>24</v>
      </c>
      <c r="G34" s="764" t="str">
        <f>IF(E35&lt;&gt;"","HVL @ "&amp;ROUND(E35,2)&amp;" kVp","HVL @ "&amp;A33&amp;" kVp")</f>
        <v>HVL @ 34 kVp</v>
      </c>
      <c r="Q34" s="764" t="s">
        <v>577</v>
      </c>
      <c r="R34" s="764" t="s">
        <v>578</v>
      </c>
      <c r="S34" s="764" t="s">
        <v>579</v>
      </c>
      <c r="T34" s="764" t="s">
        <v>580</v>
      </c>
      <c r="U34" s="764" t="s">
        <v>24</v>
      </c>
      <c r="W34" s="764" t="str">
        <f>IF(U35&lt;&gt;"","HVL @ "&amp;ROUND(U35,2)&amp;" kVp","HVL @ "&amp;Q33&amp;" kVp")</f>
        <v>HVL @ 38 kVp</v>
      </c>
    </row>
    <row r="35" spans="1:23" ht="15" thickBot="1">
      <c r="A35" s="765">
        <v>0</v>
      </c>
      <c r="B35" s="765" t="str">
        <f>IF(MIN(Sheet1!AO49:AO50)=0,"",AVERAGE(Sheet1!AO49:AO50))</f>
        <v/>
      </c>
      <c r="C35" s="765" t="str">
        <f>IF(B35="","",ABS(B35-B35/2))</f>
        <v/>
      </c>
      <c r="D35" s="765" t="str">
        <f>IF(OR(B35="",B36=""),"",IF(ABS(B35-B35/2)=SMALL(C35:C38,1),A35,IF(ABS(B36-B35/2)=SMALL(C35:C38,1),A36,IF(ABS(B37-B35/2)=SMALL(C35:C38,1),A37,IF(ABS(B38-B35/2)=SMALL(C35:C38,1),A38,"")))))</f>
        <v/>
      </c>
      <c r="E35" s="765" t="str">
        <f>IF(OR(Sheet1!AM42="",Sheet1!AM43=""),"",AVERAGE(Sheet1!AM42:AM43))</f>
        <v/>
      </c>
      <c r="G35" s="766" t="str">
        <f>IF(OR(MIN(D35:D36)=0,MIN(D39:D40)=0),"",TREND(D35:D36,E39:E40,LN(B35/2)))</f>
        <v/>
      </c>
      <c r="Q35" s="765">
        <f>Sheet1!AJ125</f>
        <v>0</v>
      </c>
      <c r="R35" s="765" t="str">
        <f>IF(MIN(Sheet1!AO125:AO126)=0,"",AVERAGE(Sheet1!AO125:AO126))</f>
        <v/>
      </c>
      <c r="S35" s="765" t="str">
        <f>IF(R35="","",ABS(R35-R35/2))</f>
        <v/>
      </c>
      <c r="T35" s="765" t="str">
        <f>IF(OR(R35="",R36=""),"",IF(ABS(R35-R35/2)=SMALL(S35:S38,1),Q35,IF(ABS(R36-R35/2)=SMALL(S35:S38,1),Q36,IF(ABS(R37-R35/2)=SMALL(S35:S38,1),Q37,IF(ABS(R38-R35/2)=SMALL(S35:S38,1),Q38,"")))))</f>
        <v/>
      </c>
      <c r="U35" s="765" t="str">
        <f>IF(OR(Sheet1!AM89="",Sheet1!AM90=""),"",AVERAGE(Sheet1!AM89:AM90))</f>
        <v/>
      </c>
      <c r="W35" s="766" t="str">
        <f>IF(OR(MIN(T35:T36)=0,MIN(T39:T40)=0),"",TREND(T35:T36,U39:U40,LN(R35/2)))</f>
        <v/>
      </c>
    </row>
    <row r="36" spans="1:23">
      <c r="A36" s="765">
        <f>Sheet1!AJ51</f>
        <v>0.4</v>
      </c>
      <c r="B36" s="765" t="str">
        <f>IF(MIN(Sheet1!AO51:AO52)=0,"",AVERAGE(Sheet1!AO51:AO52))</f>
        <v/>
      </c>
      <c r="C36" s="765" t="str">
        <f>IF(B36="","",ABS(B36-B35/2))</f>
        <v/>
      </c>
      <c r="D36" s="765" t="str">
        <f>IF(OR(B35="",B36=""),"",IF(ABS(B35-B35/2)=SMALL(C35:C38,2),A35,IF(ABS(B36-B35/2)=SMALL(C35:C38,2),A36,IF(ABS(B37-B35/2)=SMALL(C35:C38,2),A37,IF(ABS(B38-B35/2)=SMALL(C35:C38,2),A38,"")))))</f>
        <v/>
      </c>
      <c r="Q36" s="765">
        <f>Sheet1!AJ127</f>
        <v>0.6</v>
      </c>
      <c r="R36" s="765" t="str">
        <f>IF(MIN(Sheet1!AO127:AO128)=0,"",AVERAGE(Sheet1!AO127:AO128))</f>
        <v/>
      </c>
      <c r="S36" s="765" t="str">
        <f>IF(R36="","",ABS(R36-R35/2))</f>
        <v/>
      </c>
      <c r="T36" s="765" t="str">
        <f>IF(OR(R35="",R36=""),"",IF(ABS(R35-R35/2)=SMALL(S35:S38,2),Q35,IF(ABS(R36-R35/2)=SMALL(S35:S38,2),Q36,IF(ABS(R37-R35/2)=SMALL(S35:S38,2),Q37,IF(ABS(R38-R35/2)=SMALL(S35:S38,2),Q38,"")))))</f>
        <v/>
      </c>
    </row>
    <row r="37" spans="1:23">
      <c r="A37" s="765" t="str">
        <f>IF(AND(Sheet1!AM53="",Sheet1!AM55=""),"",IF(Sheet1!AM53&lt;&gt;"",Sheet1!AJ53,Sheet1!AJ55))</f>
        <v/>
      </c>
      <c r="B37" s="765" t="str">
        <f>IF(AND(Sheet1!AM53="",Sheet1!AM55=""),"",IF(Sheet1!AM53&lt;&gt;"",AVERAGE(Sheet1!AO53:AO54),AVERAGE(Sheet1!AO55:AO56)))</f>
        <v/>
      </c>
      <c r="C37" s="765" t="str">
        <f>IF(B37="","",ABS(B37-B35/2))</f>
        <v/>
      </c>
      <c r="Q37" s="765" t="str">
        <f>IF(AND(Sheet1!AM129="",Sheet1!AM131=""),"",IF(Sheet1!AM129&lt;&gt;"",Sheet1!AJ129,Sheet1!AJ131))</f>
        <v/>
      </c>
      <c r="R37" s="765" t="str">
        <f>IF(AND(Sheet1!AM129="",Sheet1!AM131=""),"",IF(Sheet1!AM129&lt;&gt;"",AVERAGE(Sheet1!AO129:AO130),AVERAGE(Sheet1!AO131:AO132)))</f>
        <v/>
      </c>
      <c r="S37" s="765" t="str">
        <f>IF(R37="","",ABS(R37-R35/2))</f>
        <v/>
      </c>
    </row>
    <row r="38" spans="1:23">
      <c r="A38" s="765" t="str">
        <f>IF(OR(Sheet1!AM55="",AND(Sheet1!AM53="",Sheet1!AM55&lt;&gt;"")),"",Sheet1!AJ55)</f>
        <v/>
      </c>
      <c r="B38" s="765" t="str">
        <f>IF(OR(Sheet1!AM55="",AND(Sheet1!AM53="",Sheet1!AM55&lt;&gt;"")),"",AVERAGE(Sheet1!AO55:AO56))</f>
        <v/>
      </c>
      <c r="C38" s="765" t="str">
        <f>IF(B38="","",ABS(B38-B35/2))</f>
        <v/>
      </c>
      <c r="D38" s="764" t="s">
        <v>581</v>
      </c>
      <c r="E38" s="764" t="s">
        <v>582</v>
      </c>
      <c r="Q38" s="765" t="str">
        <f>IF(OR(Sheet1!AM131="",AND(Sheet1!AM129="",Sheet1!AM131&lt;&gt;"")),"",Sheet1!AJ131)</f>
        <v/>
      </c>
      <c r="R38" s="765" t="str">
        <f>IF(OR(Sheet1!AM131="",AND(Sheet1!AM129="",Sheet1!AM131&lt;&gt;"")),"",AVERAGE(Sheet1!AO131:AO132))</f>
        <v/>
      </c>
      <c r="S38" s="765" t="str">
        <f>IF(R38="","",ABS(R38-R35/2))</f>
        <v/>
      </c>
      <c r="T38" s="764" t="s">
        <v>581</v>
      </c>
      <c r="U38" s="764" t="s">
        <v>582</v>
      </c>
    </row>
    <row r="39" spans="1:23">
      <c r="A39" s="765" t="str">
        <f>G35</f>
        <v/>
      </c>
      <c r="B39" s="765" t="str">
        <f>IF(G35="","",EXP(TREND(E39:E40,D35:D36,A39)))</f>
        <v/>
      </c>
      <c r="D39" s="765" t="str">
        <f>IF(OR(B35="",B36=""),"",IF(A35=D35,B35,IF(A36=D35,B36,IF(A37=D35,B37,IF(A38=D35,B38)))))</f>
        <v/>
      </c>
      <c r="E39" s="765" t="str">
        <f>IF(D39="","",LN(D39))</f>
        <v/>
      </c>
      <c r="Q39" s="765" t="str">
        <f>W35</f>
        <v/>
      </c>
      <c r="R39" s="765" t="str">
        <f>IF(W35="","",EXP(TREND(U39:U40,T35:T36,Q39)))</f>
        <v/>
      </c>
      <c r="T39" s="765" t="str">
        <f>IF(OR(R35="",R36=""),"",IF(Q35=T35,R35,IF(Q36=T35,R36,IF(Q37=T35,R37,IF(Q38=T35,R38)))))</f>
        <v/>
      </c>
      <c r="U39" s="765" t="str">
        <f>IF(T39="","",LN(T39))</f>
        <v/>
      </c>
    </row>
    <row r="40" spans="1:23">
      <c r="D40" s="765" t="str">
        <f>IF(OR(B35="",B36=""),"",IF(A35=D36,B35,IF(A36=D36,B36,IF(A37=D36,B37,IF(A38=D36,B38)))))</f>
        <v/>
      </c>
      <c r="E40" s="765" t="str">
        <f>IF(D40="","",LN(D40))</f>
        <v/>
      </c>
      <c r="T40" s="765" t="str">
        <f>IF(OR(R35="",R36=""),"",IF(Q35=T36,R35,IF(Q36=T36,R36,IF(Q37=T36,R37,IF(Q38=T36,R38)))))</f>
        <v/>
      </c>
      <c r="U40" s="76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abSelected="1" topLeftCell="A58" zoomScale="75" zoomScaleNormal="75" workbookViewId="0">
      <selection activeCell="C73" sqref="C73"/>
    </sheetView>
  </sheetViews>
  <sheetFormatPr defaultRowHeight="14.1" customHeight="1"/>
  <cols>
    <col min="1" max="30" width="10.625" style="21" customWidth="1"/>
    <col min="31" max="16384" width="9" style="21"/>
  </cols>
  <sheetData>
    <row r="1" spans="1:30" ht="14.1" customHeight="1" thickBot="1">
      <c r="A1" s="75" t="s">
        <v>439</v>
      </c>
      <c r="K1" s="75" t="s">
        <v>440</v>
      </c>
      <c r="U1" s="21" t="s">
        <v>441</v>
      </c>
    </row>
    <row r="2" spans="1:30" ht="14.1" customHeight="1">
      <c r="A2" s="304"/>
      <c r="B2" s="844" t="s">
        <v>24</v>
      </c>
      <c r="C2" s="844"/>
      <c r="D2" s="844"/>
      <c r="E2" s="844"/>
      <c r="F2" s="844"/>
      <c r="G2" s="844"/>
      <c r="H2" s="844"/>
      <c r="I2" s="844"/>
      <c r="J2" s="844"/>
      <c r="K2" s="304"/>
      <c r="L2" s="844" t="s">
        <v>24</v>
      </c>
      <c r="M2" s="844"/>
      <c r="N2" s="844"/>
      <c r="O2" s="844"/>
      <c r="P2" s="844"/>
      <c r="Q2" s="844"/>
      <c r="R2" s="844"/>
      <c r="S2" s="844"/>
      <c r="T2" s="844"/>
      <c r="U2" s="304"/>
      <c r="V2" s="844" t="s">
        <v>24</v>
      </c>
      <c r="W2" s="844"/>
      <c r="X2" s="844"/>
      <c r="Y2" s="844"/>
      <c r="Z2" s="844"/>
      <c r="AA2" s="844"/>
      <c r="AB2" s="844"/>
      <c r="AC2" s="844"/>
      <c r="AD2" s="844"/>
    </row>
    <row r="3" spans="1:30" ht="14.1" customHeight="1">
      <c r="A3" s="206" t="s">
        <v>356</v>
      </c>
      <c r="B3" s="11">
        <v>23</v>
      </c>
      <c r="C3" s="11">
        <v>24</v>
      </c>
      <c r="D3" s="11">
        <v>25</v>
      </c>
      <c r="E3" s="11">
        <v>26</v>
      </c>
      <c r="F3" s="11">
        <v>27</v>
      </c>
      <c r="G3" s="11">
        <v>28</v>
      </c>
      <c r="H3" s="11">
        <v>29</v>
      </c>
      <c r="I3" s="11">
        <v>30</v>
      </c>
      <c r="J3" s="221">
        <v>31</v>
      </c>
      <c r="K3" s="206" t="s">
        <v>356</v>
      </c>
      <c r="L3" s="11">
        <v>23</v>
      </c>
      <c r="M3" s="11">
        <v>24</v>
      </c>
      <c r="N3" s="11">
        <v>25</v>
      </c>
      <c r="O3" s="11">
        <v>26</v>
      </c>
      <c r="P3" s="11">
        <v>27</v>
      </c>
      <c r="Q3" s="11">
        <v>28</v>
      </c>
      <c r="R3" s="11">
        <v>29</v>
      </c>
      <c r="S3" s="11">
        <v>30</v>
      </c>
      <c r="T3" s="221">
        <v>31</v>
      </c>
      <c r="U3" s="206" t="s">
        <v>356</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442</v>
      </c>
      <c r="N25" s="75" t="s">
        <v>443</v>
      </c>
    </row>
    <row r="26" spans="1:30" ht="14.1" customHeight="1">
      <c r="A26" s="304"/>
      <c r="B26" s="845" t="s">
        <v>24</v>
      </c>
      <c r="C26" s="845"/>
      <c r="D26" s="845"/>
      <c r="E26" s="845"/>
      <c r="F26" s="845"/>
      <c r="G26" s="845"/>
      <c r="H26" s="845"/>
      <c r="I26" s="845"/>
      <c r="J26" s="845"/>
      <c r="K26" s="845"/>
      <c r="L26" s="845"/>
      <c r="M26" s="218"/>
      <c r="N26" s="304"/>
      <c r="O26" s="844" t="s">
        <v>24</v>
      </c>
      <c r="P26" s="844"/>
      <c r="Q26" s="844"/>
      <c r="R26" s="844"/>
      <c r="S26" s="844"/>
      <c r="T26" s="844"/>
      <c r="U26" s="844"/>
      <c r="V26" s="844"/>
      <c r="W26" s="844"/>
      <c r="X26" s="844"/>
      <c r="Y26" s="844"/>
      <c r="Z26" s="844"/>
      <c r="AA26" s="844"/>
    </row>
    <row r="27" spans="1:30" ht="14.1" customHeight="1">
      <c r="A27" s="206" t="s">
        <v>356</v>
      </c>
      <c r="B27" s="11">
        <v>22</v>
      </c>
      <c r="C27" s="11">
        <v>23</v>
      </c>
      <c r="D27" s="11">
        <v>24</v>
      </c>
      <c r="E27" s="11">
        <v>25</v>
      </c>
      <c r="F27" s="11">
        <v>26</v>
      </c>
      <c r="G27" s="11">
        <v>27</v>
      </c>
      <c r="H27" s="11">
        <v>28</v>
      </c>
      <c r="I27" s="11">
        <v>29</v>
      </c>
      <c r="J27" s="11">
        <v>30</v>
      </c>
      <c r="K27" s="11">
        <v>31</v>
      </c>
      <c r="L27" s="11">
        <v>32</v>
      </c>
      <c r="M27" s="221">
        <v>33</v>
      </c>
      <c r="N27" s="206" t="s">
        <v>356</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444</v>
      </c>
    </row>
    <row r="51" spans="1:19" ht="14.1" customHeight="1">
      <c r="B51" s="846" t="s">
        <v>445</v>
      </c>
      <c r="C51" s="846" t="s">
        <v>446</v>
      </c>
      <c r="D51" s="847" t="s">
        <v>447</v>
      </c>
      <c r="E51" s="847"/>
      <c r="F51" s="847"/>
      <c r="G51" s="847"/>
      <c r="H51" s="847"/>
      <c r="I51" s="847"/>
      <c r="J51" s="847"/>
      <c r="K51" s="847"/>
    </row>
    <row r="52" spans="1:19" ht="14.1" customHeight="1">
      <c r="B52" s="846"/>
      <c r="C52" s="846"/>
      <c r="D52" s="233">
        <v>0.25</v>
      </c>
      <c r="E52" s="233">
        <v>0.3</v>
      </c>
      <c r="F52" s="233">
        <v>0.35</v>
      </c>
      <c r="G52" s="233">
        <v>0.4</v>
      </c>
      <c r="H52" s="233">
        <v>0.45</v>
      </c>
      <c r="I52" s="233">
        <v>0.5</v>
      </c>
      <c r="J52" s="233">
        <v>0.55000000000000004</v>
      </c>
      <c r="K52" s="233">
        <v>0.6</v>
      </c>
      <c r="L52" s="21" t="s">
        <v>448</v>
      </c>
      <c r="M52" s="21" t="s">
        <v>449</v>
      </c>
    </row>
    <row r="53" spans="1:19" ht="14.1" customHeight="1">
      <c r="A53" s="105" t="s">
        <v>450</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row>
    <row r="54" spans="1:19" ht="14.1" customHeight="1">
      <c r="A54" s="105" t="s">
        <v>451</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row>
    <row r="55" spans="1:19" ht="14.1" customHeight="1">
      <c r="A55" s="105" t="s">
        <v>450</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row>
    <row r="56" spans="1:19" ht="14.1" customHeight="1">
      <c r="A56" s="105" t="s">
        <v>451</v>
      </c>
      <c r="B56" s="11">
        <v>50</v>
      </c>
      <c r="C56" s="11">
        <v>60</v>
      </c>
      <c r="D56" s="11"/>
      <c r="E56" s="13">
        <v>1.1639999999999999</v>
      </c>
      <c r="F56" s="13">
        <v>1.1599999999999999</v>
      </c>
      <c r="G56" s="13">
        <v>1.151</v>
      </c>
      <c r="H56" s="13">
        <v>1.1499999999999999</v>
      </c>
      <c r="I56" s="13">
        <v>1.1439999999999999</v>
      </c>
      <c r="J56" s="13">
        <v>1.139</v>
      </c>
      <c r="K56" s="13">
        <v>1.1339999999999999</v>
      </c>
      <c r="L56" s="299">
        <f>SLOPE(D56:K56,$D$52:$K$52)</f>
        <v>-9.9285714285714269E-2</v>
      </c>
      <c r="M56" s="299">
        <f>INTERCEPT(D56:K56,$D$52:$K$52)</f>
        <v>1.1935357142857141</v>
      </c>
    </row>
    <row r="58" spans="1:19" ht="14.1" customHeight="1">
      <c r="B58" s="11" t="s">
        <v>236</v>
      </c>
      <c r="C58" s="11" t="s">
        <v>261</v>
      </c>
      <c r="D58" s="11" t="s">
        <v>237</v>
      </c>
    </row>
    <row r="59" spans="1:19" ht="14.1" customHeight="1">
      <c r="A59" s="105" t="s">
        <v>452</v>
      </c>
      <c r="B59" s="11">
        <v>1</v>
      </c>
      <c r="C59" s="11">
        <v>1.0169999999999999</v>
      </c>
      <c r="D59" s="11">
        <v>1.042</v>
      </c>
    </row>
    <row r="61" spans="1:19" ht="14.1" customHeight="1">
      <c r="A61" s="75" t="s">
        <v>453</v>
      </c>
      <c r="C61" s="21" t="s">
        <v>454</v>
      </c>
      <c r="N61" s="146"/>
      <c r="O61" s="68"/>
      <c r="P61" s="68"/>
      <c r="Q61" s="68"/>
      <c r="R61" s="68"/>
      <c r="S61" s="68"/>
    </row>
    <row r="62" spans="1:19" ht="14.1" customHeight="1">
      <c r="A62" s="259" t="s">
        <v>70</v>
      </c>
      <c r="B62" s="738" t="s">
        <v>268</v>
      </c>
      <c r="C62" s="738" t="s">
        <v>455</v>
      </c>
      <c r="D62" s="738" t="s">
        <v>336</v>
      </c>
      <c r="E62" s="259" t="s">
        <v>70</v>
      </c>
      <c r="F62" s="738" t="s">
        <v>268</v>
      </c>
      <c r="G62" s="738" t="s">
        <v>455</v>
      </c>
      <c r="H62" s="738" t="s">
        <v>336</v>
      </c>
      <c r="I62" s="259" t="s">
        <v>70</v>
      </c>
      <c r="J62" s="738" t="s">
        <v>268</v>
      </c>
      <c r="K62" s="738" t="s">
        <v>455</v>
      </c>
      <c r="L62" s="738" t="s">
        <v>336</v>
      </c>
      <c r="O62" s="823"/>
      <c r="P62" s="823"/>
      <c r="Q62" s="823"/>
      <c r="R62" s="823"/>
      <c r="S62" s="823"/>
    </row>
    <row r="63" spans="1:19" ht="14.1" customHeight="1">
      <c r="A63" s="738" t="str">
        <f>Sheet1!P358</f>
        <v>/</v>
      </c>
      <c r="B63" s="738">
        <f>Sheet1!Q358</f>
        <v>24</v>
      </c>
      <c r="C63" s="738">
        <f t="shared" ref="C63:C68" si="0">B63^2</f>
        <v>576</v>
      </c>
      <c r="D63" s="299" t="str">
        <f>Sheet1!V358</f>
        <v/>
      </c>
      <c r="E63" s="738" t="str">
        <f>Sheet1!P365</f>
        <v>/</v>
      </c>
      <c r="F63" s="738">
        <f>Sheet1!Q365</f>
        <v>28</v>
      </c>
      <c r="G63" s="738">
        <f t="shared" ref="G63:G67" si="1">F63^2</f>
        <v>784</v>
      </c>
      <c r="H63" s="299" t="str">
        <f>Sheet1!V365</f>
        <v/>
      </c>
      <c r="I63" s="300" t="str">
        <f>Sheet1!P371</f>
        <v>/</v>
      </c>
      <c r="J63" s="738">
        <f>Sheet1!Q371</f>
        <v>28</v>
      </c>
      <c r="K63" s="738">
        <f t="shared" ref="K63:K67" si="2">J63^2</f>
        <v>784</v>
      </c>
      <c r="L63" s="298" t="str">
        <f>Sheet1!V371</f>
        <v/>
      </c>
      <c r="O63" s="742"/>
      <c r="P63" s="742"/>
      <c r="Q63" s="742"/>
      <c r="R63" s="742"/>
      <c r="S63" s="742"/>
    </row>
    <row r="64" spans="1:19" ht="14.1" customHeight="1">
      <c r="A64" s="259"/>
      <c r="B64" s="738">
        <f>Sheet1!Q359</f>
        <v>25</v>
      </c>
      <c r="C64" s="738">
        <f t="shared" si="0"/>
        <v>625</v>
      </c>
      <c r="D64" s="299" t="str">
        <f>Sheet1!V359</f>
        <v/>
      </c>
      <c r="E64" s="259"/>
      <c r="F64" s="738">
        <f>Sheet1!Q366</f>
        <v>30</v>
      </c>
      <c r="G64" s="738">
        <f t="shared" si="1"/>
        <v>900</v>
      </c>
      <c r="H64" s="299" t="str">
        <f>Sheet1!V366</f>
        <v/>
      </c>
      <c r="I64" s="300"/>
      <c r="J64" s="738">
        <f>Sheet1!Q372</f>
        <v>30</v>
      </c>
      <c r="K64" s="738">
        <f t="shared" si="2"/>
        <v>900</v>
      </c>
      <c r="L64" s="298" t="str">
        <f>Sheet1!V372</f>
        <v/>
      </c>
      <c r="O64" s="270"/>
      <c r="P64" s="270"/>
      <c r="Q64" s="270"/>
      <c r="R64" s="270"/>
      <c r="S64" s="270"/>
    </row>
    <row r="65" spans="1:19" ht="14.1" customHeight="1">
      <c r="A65" s="738"/>
      <c r="B65" s="738">
        <f>Sheet1!Q360</f>
        <v>26</v>
      </c>
      <c r="C65" s="738">
        <f t="shared" si="0"/>
        <v>676</v>
      </c>
      <c r="D65" s="299" t="str">
        <f>Sheet1!V360</f>
        <v/>
      </c>
      <c r="E65" s="738"/>
      <c r="F65" s="738">
        <f>Sheet1!Q367</f>
        <v>32</v>
      </c>
      <c r="G65" s="738">
        <f t="shared" si="1"/>
        <v>1024</v>
      </c>
      <c r="H65" s="299" t="str">
        <f>Sheet1!V367</f>
        <v/>
      </c>
      <c r="I65" s="300"/>
      <c r="J65" s="738">
        <f>Sheet1!Q373</f>
        <v>32</v>
      </c>
      <c r="K65" s="738">
        <f t="shared" si="2"/>
        <v>1024</v>
      </c>
      <c r="L65" s="298" t="str">
        <f>Sheet1!V373</f>
        <v/>
      </c>
      <c r="O65" s="270"/>
      <c r="P65" s="270"/>
      <c r="Q65" s="270"/>
      <c r="R65" s="270"/>
      <c r="S65" s="270"/>
    </row>
    <row r="66" spans="1:19" ht="14.1" customHeight="1">
      <c r="A66" s="738"/>
      <c r="B66" s="738">
        <f>Sheet1!Q361</f>
        <v>28</v>
      </c>
      <c r="C66" s="738">
        <f t="shared" si="0"/>
        <v>784</v>
      </c>
      <c r="D66" s="299" t="str">
        <f>Sheet1!V361</f>
        <v/>
      </c>
      <c r="E66" s="738"/>
      <c r="F66" s="738">
        <f>Sheet1!Q368</f>
        <v>34</v>
      </c>
      <c r="G66" s="738">
        <f t="shared" si="1"/>
        <v>1156</v>
      </c>
      <c r="H66" s="299" t="str">
        <f>Sheet1!V368</f>
        <v/>
      </c>
      <c r="I66" s="300"/>
      <c r="J66" s="738">
        <f>Sheet1!Q374</f>
        <v>34</v>
      </c>
      <c r="K66" s="738">
        <f t="shared" si="2"/>
        <v>1156</v>
      </c>
      <c r="L66" s="298" t="str">
        <f>Sheet1!V374</f>
        <v/>
      </c>
      <c r="O66" s="270"/>
      <c r="P66" s="270"/>
      <c r="Q66" s="270"/>
      <c r="R66" s="270"/>
      <c r="S66" s="270"/>
    </row>
    <row r="67" spans="1:19" ht="14.1" customHeight="1">
      <c r="A67" s="738"/>
      <c r="B67" s="738">
        <f>Sheet1!Q362</f>
        <v>30</v>
      </c>
      <c r="C67" s="738">
        <f t="shared" si="0"/>
        <v>900</v>
      </c>
      <c r="D67" s="299" t="str">
        <f>Sheet1!V362</f>
        <v/>
      </c>
      <c r="E67" s="738"/>
      <c r="F67" s="738">
        <f>Sheet1!Q369</f>
        <v>36</v>
      </c>
      <c r="G67" s="738">
        <f t="shared" si="1"/>
        <v>1296</v>
      </c>
      <c r="H67" s="299" t="str">
        <f>Sheet1!V369</f>
        <v/>
      </c>
      <c r="I67" s="300"/>
      <c r="J67" s="738">
        <f>Sheet1!Q375</f>
        <v>38</v>
      </c>
      <c r="K67" s="738">
        <f t="shared" si="2"/>
        <v>1444</v>
      </c>
      <c r="L67" s="298" t="str">
        <f>Sheet1!V375</f>
        <v/>
      </c>
      <c r="O67" s="270"/>
      <c r="P67" s="270"/>
      <c r="Q67" s="270"/>
      <c r="R67" s="270"/>
      <c r="S67" s="270"/>
    </row>
    <row r="68" spans="1:19" ht="14.1" customHeight="1">
      <c r="A68" s="738"/>
      <c r="B68" s="738">
        <f>Sheet1!Q363</f>
        <v>32</v>
      </c>
      <c r="C68" s="738">
        <f t="shared" si="0"/>
        <v>1024</v>
      </c>
      <c r="D68" s="299" t="str">
        <f>Sheet1!V363</f>
        <v/>
      </c>
      <c r="E68" s="738"/>
      <c r="F68" s="738"/>
      <c r="G68" s="738"/>
      <c r="I68" s="271"/>
      <c r="L68" s="68"/>
      <c r="O68" s="270"/>
      <c r="P68" s="270"/>
      <c r="Q68" s="270"/>
      <c r="R68" s="270"/>
      <c r="S68" s="270"/>
    </row>
    <row r="69" spans="1:19" ht="14.1" customHeight="1">
      <c r="A69" s="738"/>
      <c r="B69" s="738"/>
      <c r="C69" s="738"/>
      <c r="D69" s="738" t="str">
        <f>A63</f>
        <v>/</v>
      </c>
      <c r="E69" s="738" t="str">
        <f>E63</f>
        <v>/</v>
      </c>
      <c r="F69" s="300" t="str">
        <f>I63</f>
        <v>/</v>
      </c>
      <c r="O69" s="270"/>
      <c r="P69" s="270"/>
      <c r="Q69" s="270"/>
      <c r="R69" s="270"/>
      <c r="S69" s="270"/>
    </row>
    <row r="70" spans="1:19" ht="14.1" customHeight="1">
      <c r="C70" s="35" t="s">
        <v>458</v>
      </c>
      <c r="D70" s="21" t="e">
        <f>SLOPE(D63:D68,$C$63:$C$68)</f>
        <v>#DIV/0!</v>
      </c>
      <c r="E70" s="21" t="e">
        <f>SLOPE(H63:H67,$G$63:$G$67)</f>
        <v>#DIV/0!</v>
      </c>
      <c r="F70" s="21" t="e">
        <f>SLOPE(L63:L67,$K$63:$K$67)</f>
        <v>#DIV/0!</v>
      </c>
      <c r="G70" s="35"/>
      <c r="K70" s="35"/>
      <c r="O70" s="270"/>
      <c r="P70" s="270"/>
      <c r="Q70" s="270"/>
      <c r="R70" s="270"/>
      <c r="S70" s="270"/>
    </row>
    <row r="71" spans="1:19" ht="14.1" customHeight="1">
      <c r="C71" s="35" t="s">
        <v>459</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558</v>
      </c>
      <c r="D72" s="21" t="e">
        <f>RSQ(D63:D68,C63:C68)</f>
        <v>#DIV/0!</v>
      </c>
      <c r="E72" s="21" t="e">
        <f>RSQ(H63:H67,G63:G67)</f>
        <v>#DIV/0!</v>
      </c>
      <c r="F72" s="21" t="e">
        <f>RSQ(L63:L67,K63:K67)</f>
        <v>#DIV/0!</v>
      </c>
      <c r="N72" s="68"/>
      <c r="O72" s="270"/>
      <c r="P72" s="270"/>
      <c r="Q72" s="270"/>
      <c r="R72" s="270"/>
      <c r="S72" s="270"/>
    </row>
    <row r="73" spans="1:19" ht="14.1" customHeight="1">
      <c r="A73" s="75" t="s">
        <v>353</v>
      </c>
      <c r="C73" s="21" t="s">
        <v>666</v>
      </c>
      <c r="N73" s="68"/>
      <c r="O73" s="270"/>
      <c r="P73" s="270"/>
      <c r="Q73" s="270"/>
      <c r="R73" s="270"/>
      <c r="S73" s="270"/>
    </row>
    <row r="74" spans="1:19" ht="14.1" customHeight="1">
      <c r="A74" s="259" t="s">
        <v>70</v>
      </c>
      <c r="B74" s="738" t="s">
        <v>268</v>
      </c>
      <c r="C74" s="738" t="s">
        <v>356</v>
      </c>
      <c r="D74" s="259" t="s">
        <v>70</v>
      </c>
      <c r="E74" s="738" t="s">
        <v>268</v>
      </c>
      <c r="F74" s="738" t="s">
        <v>356</v>
      </c>
      <c r="G74" s="259" t="s">
        <v>70</v>
      </c>
      <c r="H74" s="738" t="s">
        <v>268</v>
      </c>
      <c r="I74" s="738" t="s">
        <v>356</v>
      </c>
      <c r="K74" s="276" t="s">
        <v>22</v>
      </c>
      <c r="L74" s="276" t="s">
        <v>23</v>
      </c>
      <c r="M74" s="276" t="s">
        <v>460</v>
      </c>
      <c r="O74" s="270"/>
      <c r="P74" s="270"/>
      <c r="Q74" s="270"/>
      <c r="R74" s="270"/>
      <c r="S74" s="270"/>
    </row>
    <row r="75" spans="1:19" ht="14.1" customHeight="1">
      <c r="A75" s="738" t="str">
        <f>Sheet1!P358</f>
        <v>/</v>
      </c>
      <c r="B75" s="271" t="str">
        <f>'HVL Processing'!E3</f>
        <v/>
      </c>
      <c r="C75" s="271" t="str">
        <f>'HVL Processing'!G3</f>
        <v/>
      </c>
      <c r="D75" s="738" t="str">
        <f>Sheet1!P365</f>
        <v>/</v>
      </c>
      <c r="E75" s="271" t="str">
        <f>'HVL Processing'!M3</f>
        <v/>
      </c>
      <c r="F75" s="271" t="str">
        <f>'HVL Processing'!O3</f>
        <v/>
      </c>
      <c r="G75" s="738" t="str">
        <f>Sheet1!P371</f>
        <v>/</v>
      </c>
      <c r="H75" s="271" t="str">
        <f>'HVL Processing'!U3</f>
        <v/>
      </c>
      <c r="I75" s="271" t="str">
        <f>'HVL Processing'!W3</f>
        <v/>
      </c>
      <c r="K75" s="276" t="s">
        <v>31</v>
      </c>
      <c r="L75" s="276" t="s">
        <v>31</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31</v>
      </c>
      <c r="L76" s="276" t="s">
        <v>54</v>
      </c>
      <c r="M76" s="276">
        <v>0.19</v>
      </c>
      <c r="O76" s="270"/>
      <c r="P76" s="270"/>
      <c r="Q76" s="270"/>
      <c r="R76" s="270"/>
      <c r="S76" s="270"/>
    </row>
    <row r="77" spans="1:19" ht="14.1" customHeight="1">
      <c r="A77" s="738"/>
      <c r="B77" s="271" t="str">
        <f>'HVL Processing'!E19</f>
        <v/>
      </c>
      <c r="C77" s="271" t="str">
        <f>'HVL Processing'!G19</f>
        <v/>
      </c>
      <c r="D77" s="738"/>
      <c r="E77" s="271" t="str">
        <f>'HVL Processing'!M19</f>
        <v/>
      </c>
      <c r="F77" s="271" t="str">
        <f>'HVL Processing'!O19</f>
        <v/>
      </c>
      <c r="H77" s="271" t="str">
        <f>'HVL Processing'!U19</f>
        <v/>
      </c>
      <c r="I77" s="271" t="str">
        <f>'HVL Processing'!W19</f>
        <v/>
      </c>
      <c r="K77" s="276" t="s">
        <v>54</v>
      </c>
      <c r="L77" s="276" t="s">
        <v>54</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461</v>
      </c>
      <c r="L78" s="305" t="s">
        <v>462</v>
      </c>
      <c r="M78" s="305"/>
      <c r="O78" s="270"/>
      <c r="P78" s="270"/>
      <c r="Q78" s="270"/>
      <c r="R78" s="270"/>
      <c r="S78" s="270"/>
    </row>
    <row r="79" spans="1:19" ht="14.1" customHeight="1">
      <c r="B79" s="271" t="str">
        <f>'HVL Processing'!E35</f>
        <v/>
      </c>
      <c r="C79" s="271" t="str">
        <f>'HVL Processing'!G35</f>
        <v/>
      </c>
      <c r="H79" s="35"/>
      <c r="K79" s="305"/>
      <c r="L79" s="305" t="s">
        <v>463</v>
      </c>
      <c r="M79" s="305"/>
      <c r="O79" s="270"/>
      <c r="P79" s="270"/>
      <c r="Q79" s="270"/>
      <c r="R79" s="270"/>
      <c r="S79" s="270"/>
    </row>
    <row r="80" spans="1:19" ht="14.1" customHeight="1">
      <c r="D80" s="738" t="str">
        <f>A75</f>
        <v>/</v>
      </c>
      <c r="E80" s="738" t="str">
        <f>D75</f>
        <v>/</v>
      </c>
      <c r="F80" s="738" t="str">
        <f>G75</f>
        <v>/</v>
      </c>
      <c r="K80" s="305"/>
      <c r="L80" s="305" t="s">
        <v>464</v>
      </c>
      <c r="M80" s="305"/>
      <c r="O80" s="270"/>
      <c r="P80" s="270"/>
      <c r="Q80" s="270"/>
      <c r="R80" s="270"/>
      <c r="S80" s="270"/>
    </row>
    <row r="81" spans="1:19" ht="14.1" customHeight="1">
      <c r="C81" s="35" t="s">
        <v>458</v>
      </c>
      <c r="D81" s="738" t="e">
        <f>SLOPE(C75:C79,B75:B79)</f>
        <v>#DIV/0!</v>
      </c>
      <c r="E81" s="738" t="e">
        <f>SLOPE(F75:F78,E75:E78)</f>
        <v>#DIV/0!</v>
      </c>
      <c r="F81" s="738" t="e">
        <f>SLOPE(I75:I78,H75:H78)</f>
        <v>#DIV/0!</v>
      </c>
      <c r="K81" s="305"/>
      <c r="L81" s="305"/>
      <c r="M81" s="305"/>
      <c r="O81" s="270"/>
      <c r="P81" s="270"/>
      <c r="Q81" s="270"/>
      <c r="R81" s="270"/>
      <c r="S81" s="270"/>
    </row>
    <row r="82" spans="1:19" ht="14.1" customHeight="1">
      <c r="C82" s="35" t="s">
        <v>459</v>
      </c>
      <c r="D82" s="738" t="e">
        <f>INTERCEPT(C75:C79,B75:B79)</f>
        <v>#DIV/0!</v>
      </c>
      <c r="E82" s="738" t="e">
        <f>INTERCEPT(F75:F78,E75:E78)</f>
        <v>#DIV/0!</v>
      </c>
      <c r="F82" s="738" t="e">
        <f>INTERCEPT(I75:I78,H75:H78)</f>
        <v>#DIV/0!</v>
      </c>
      <c r="K82" s="305"/>
      <c r="L82" s="305"/>
      <c r="M82" s="305"/>
      <c r="O82" s="270"/>
      <c r="P82" s="270"/>
      <c r="Q82" s="270"/>
      <c r="R82" s="270"/>
      <c r="S82" s="270"/>
    </row>
    <row r="83" spans="1:19" ht="14.1" customHeight="1">
      <c r="C83" s="35" t="s">
        <v>558</v>
      </c>
      <c r="D83" s="21" t="e">
        <f>RSQ(C75:C79,B75:B79)</f>
        <v>#DIV/0!</v>
      </c>
      <c r="E83" s="21" t="e">
        <f>RSQ(F75:F78,E75:E78)</f>
        <v>#DIV/0!</v>
      </c>
      <c r="F83" s="21" t="e">
        <f>RSQ(I75:I78,H75:H78)</f>
        <v>#DIV/0!</v>
      </c>
      <c r="N83" s="68"/>
      <c r="O83" s="270"/>
      <c r="P83" s="270"/>
      <c r="Q83" s="270"/>
      <c r="R83" s="270"/>
      <c r="S83" s="270"/>
    </row>
    <row r="84" spans="1:19" ht="14.1" customHeight="1">
      <c r="A84" s="75" t="s">
        <v>465</v>
      </c>
      <c r="B84" s="21" t="e">
        <f>"DGN values (mrad/R) for "&amp;Sheet1!$T$265&amp;" kV and HVL="&amp;ROUND(Sheet1!$X$268,2)&amp;" mm Al"</f>
        <v>#VALUE!</v>
      </c>
      <c r="N84" s="68"/>
      <c r="O84" s="270"/>
      <c r="P84" s="270"/>
      <c r="Q84" s="270"/>
      <c r="R84" s="270"/>
      <c r="S84" s="270"/>
    </row>
    <row r="85" spans="1:19" ht="14.1" customHeight="1">
      <c r="A85" s="277" t="s">
        <v>236</v>
      </c>
      <c r="B85" s="277" t="s">
        <v>261</v>
      </c>
      <c r="C85" s="277" t="s">
        <v>466</v>
      </c>
      <c r="D85" s="277" t="s">
        <v>444</v>
      </c>
      <c r="E85" s="277" t="s">
        <v>456</v>
      </c>
      <c r="F85" s="277" t="s">
        <v>237</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IF(OR(Sheet1!$X$269="",Sheet1!$X$268=""),"",(L53*Sheet1!X268+M53)*(L54*Sheet1!X268+M54)*HLOOKUP(Sheet1!$Q$266,B58:D59,2))</f>
        <v/>
      </c>
      <c r="E86" s="738" t="e">
        <f>IF(ISERR(Sheet1!$X$268),"TBD",VLOOKUP(Sheet1!X268,N27:AA48,MATCH(Sheet1!$T$265,N27:AA27,0)))</f>
        <v>#N/A</v>
      </c>
      <c r="F86" s="738"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467</v>
      </c>
      <c r="N88" s="68"/>
      <c r="O88" s="270"/>
      <c r="P88" s="270"/>
      <c r="Q88" s="270"/>
      <c r="R88" s="270"/>
      <c r="S88" s="270"/>
    </row>
    <row r="89" spans="1:19" ht="14.1" customHeight="1">
      <c r="B89" s="738" t="s">
        <v>268</v>
      </c>
      <c r="D89" s="11" t="s">
        <v>468</v>
      </c>
      <c r="E89" s="11" t="s">
        <v>469</v>
      </c>
      <c r="F89" s="11" t="s">
        <v>455</v>
      </c>
      <c r="G89" s="11" t="s">
        <v>470</v>
      </c>
      <c r="H89" s="11" t="s">
        <v>471</v>
      </c>
      <c r="I89" s="11" t="s">
        <v>472</v>
      </c>
      <c r="J89" s="11" t="s">
        <v>473</v>
      </c>
      <c r="N89" s="68"/>
      <c r="O89" s="270"/>
      <c r="P89" s="270"/>
      <c r="Q89" s="270"/>
      <c r="R89" s="270"/>
      <c r="S89" s="270"/>
    </row>
    <row r="90" spans="1:19" ht="14.1" customHeight="1">
      <c r="A90" s="21" t="s">
        <v>237</v>
      </c>
      <c r="B90" s="738" t="s">
        <v>474</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8" t="s">
        <v>475</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476</v>
      </c>
      <c r="N92" s="68"/>
      <c r="O92" s="270"/>
      <c r="P92" s="270"/>
      <c r="Q92" s="270"/>
      <c r="R92" s="270"/>
      <c r="S92" s="270"/>
    </row>
    <row r="93" spans="1:19" ht="14.1" customHeight="1">
      <c r="C93" s="21" t="s">
        <v>477</v>
      </c>
      <c r="N93" s="68"/>
      <c r="O93" s="270"/>
      <c r="P93" s="270"/>
      <c r="Q93" s="270"/>
      <c r="R93" s="270"/>
      <c r="S93" s="270"/>
    </row>
    <row r="94" spans="1:19" ht="14.1" customHeight="1">
      <c r="B94" s="738" t="s">
        <v>268</v>
      </c>
      <c r="D94" s="11" t="s">
        <v>468</v>
      </c>
      <c r="E94" s="11" t="s">
        <v>469</v>
      </c>
      <c r="F94" s="11" t="s">
        <v>455</v>
      </c>
      <c r="G94" s="11" t="s">
        <v>470</v>
      </c>
      <c r="H94" s="11" t="s">
        <v>471</v>
      </c>
      <c r="I94" s="11" t="s">
        <v>472</v>
      </c>
      <c r="J94" s="11" t="s">
        <v>473</v>
      </c>
      <c r="N94" s="68"/>
      <c r="O94" s="270"/>
      <c r="P94" s="270"/>
      <c r="Q94" s="270"/>
      <c r="R94" s="270"/>
      <c r="S94" s="270"/>
    </row>
    <row r="95" spans="1:19" ht="14.1" customHeight="1">
      <c r="A95" s="21" t="s">
        <v>456</v>
      </c>
      <c r="B95" s="738" t="s">
        <v>474</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8" t="s">
        <v>475</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478</v>
      </c>
      <c r="N97" s="68"/>
      <c r="O97" s="270"/>
      <c r="P97" s="270"/>
      <c r="Q97" s="270"/>
      <c r="R97" s="270"/>
      <c r="S97" s="270"/>
    </row>
    <row r="98" spans="1:19" ht="14.1" customHeight="1">
      <c r="C98" s="21" t="s">
        <v>479</v>
      </c>
      <c r="N98" s="68"/>
      <c r="O98" s="270"/>
      <c r="P98" s="270"/>
      <c r="Q98" s="270"/>
      <c r="R98" s="270"/>
      <c r="S98" s="270"/>
    </row>
    <row r="99" spans="1:19" ht="14.1" customHeight="1">
      <c r="N99" s="68"/>
      <c r="O99" s="270"/>
      <c r="P99" s="270"/>
      <c r="Q99" s="270"/>
      <c r="R99" s="270"/>
      <c r="S99" s="270"/>
    </row>
    <row r="100" spans="1:19" ht="14.1" customHeight="1">
      <c r="A100" s="75" t="s">
        <v>480</v>
      </c>
      <c r="N100" s="68"/>
      <c r="O100" s="270"/>
      <c r="P100" s="270"/>
      <c r="Q100" s="270"/>
      <c r="R100" s="270"/>
      <c r="S100" s="270"/>
    </row>
    <row r="101" spans="1:19" ht="14.1" customHeight="1">
      <c r="B101" s="738" t="s">
        <v>268</v>
      </c>
      <c r="D101" s="11" t="s">
        <v>468</v>
      </c>
      <c r="E101" s="11" t="s">
        <v>469</v>
      </c>
      <c r="F101" s="11" t="s">
        <v>455</v>
      </c>
      <c r="G101" s="11" t="s">
        <v>470</v>
      </c>
      <c r="H101" s="11" t="s">
        <v>471</v>
      </c>
      <c r="N101" s="68"/>
      <c r="O101" s="270"/>
      <c r="P101" s="270"/>
      <c r="Q101" s="270"/>
      <c r="R101" s="270"/>
      <c r="S101" s="270"/>
    </row>
    <row r="102" spans="1:19" ht="14.1" customHeight="1">
      <c r="A102" s="21" t="s">
        <v>237</v>
      </c>
      <c r="B102" s="738" t="s">
        <v>474</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8" t="s">
        <v>475</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456</v>
      </c>
      <c r="B105" s="738" t="s">
        <v>268</v>
      </c>
      <c r="D105" s="11" t="s">
        <v>468</v>
      </c>
      <c r="E105" s="11" t="s">
        <v>469</v>
      </c>
      <c r="F105" s="11" t="s">
        <v>455</v>
      </c>
      <c r="G105" s="11" t="s">
        <v>470</v>
      </c>
      <c r="H105" s="11" t="s">
        <v>471</v>
      </c>
      <c r="N105" s="68"/>
      <c r="O105" s="270"/>
      <c r="P105" s="270"/>
      <c r="Q105" s="270"/>
      <c r="R105" s="270"/>
      <c r="S105" s="270"/>
    </row>
    <row r="106" spans="1:19" ht="14.1" customHeight="1">
      <c r="B106" s="738" t="s">
        <v>474</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8" t="s">
        <v>475</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457</v>
      </c>
      <c r="D109" s="11" t="s">
        <v>468</v>
      </c>
      <c r="E109" s="11" t="s">
        <v>469</v>
      </c>
      <c r="F109" s="11" t="s">
        <v>455</v>
      </c>
      <c r="G109" s="11" t="s">
        <v>470</v>
      </c>
      <c r="H109" s="11" t="s">
        <v>471</v>
      </c>
      <c r="N109" s="68"/>
      <c r="O109" s="270"/>
      <c r="P109" s="270"/>
      <c r="Q109" s="270"/>
      <c r="R109" s="270"/>
      <c r="S109" s="270"/>
    </row>
    <row r="110" spans="1:19" ht="14.1" customHeight="1">
      <c r="B110" s="738" t="s">
        <v>474</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8"/>
      <c r="C111" s="235" t="s">
        <v>481</v>
      </c>
      <c r="D111" s="11">
        <v>-24.875</v>
      </c>
      <c r="E111" s="11">
        <v>1.8031999999999999</v>
      </c>
      <c r="F111" s="11"/>
      <c r="G111" s="11"/>
      <c r="H111" s="11"/>
      <c r="N111" s="68"/>
      <c r="O111" s="270"/>
      <c r="P111" s="270"/>
      <c r="Q111" s="270"/>
      <c r="R111" s="270"/>
      <c r="S111" s="270"/>
    </row>
    <row r="112" spans="1:19" ht="14.1" customHeight="1">
      <c r="B112" s="738" t="s">
        <v>475</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482</v>
      </c>
      <c r="N115" s="68"/>
      <c r="O115" s="270"/>
      <c r="P115" s="270"/>
      <c r="Q115" s="270"/>
      <c r="R115" s="270"/>
      <c r="S115" s="270"/>
    </row>
    <row r="116" spans="1:19" ht="14.1" customHeight="1">
      <c r="C116" s="738" t="s">
        <v>483</v>
      </c>
      <c r="D116" s="738" t="s">
        <v>484</v>
      </c>
      <c r="E116" s="738" t="s">
        <v>485</v>
      </c>
      <c r="F116" s="738" t="s">
        <v>486</v>
      </c>
      <c r="G116" s="738" t="s">
        <v>487</v>
      </c>
      <c r="N116" s="68"/>
      <c r="O116" s="270"/>
      <c r="P116" s="270"/>
      <c r="Q116" s="270"/>
      <c r="R116" s="270"/>
      <c r="S116" s="270"/>
    </row>
    <row r="117" spans="1:19" ht="14.1" customHeight="1">
      <c r="B117" s="35" t="s">
        <v>417</v>
      </c>
      <c r="C117" s="738" t="s">
        <v>488</v>
      </c>
      <c r="D117" s="738" t="s">
        <v>489</v>
      </c>
      <c r="E117" s="738" t="s">
        <v>490</v>
      </c>
      <c r="F117" s="738" t="s">
        <v>489</v>
      </c>
      <c r="G117" s="738" t="s">
        <v>327</v>
      </c>
      <c r="N117" s="68"/>
      <c r="O117" s="270"/>
      <c r="P117" s="270"/>
      <c r="Q117" s="270"/>
      <c r="R117" s="270"/>
      <c r="S117" s="270"/>
    </row>
    <row r="118" spans="1:19" ht="14.1" customHeight="1">
      <c r="B118" s="35" t="s">
        <v>423</v>
      </c>
      <c r="C118" s="738" t="s">
        <v>488</v>
      </c>
      <c r="D118" s="738" t="s">
        <v>489</v>
      </c>
      <c r="E118" s="738" t="s">
        <v>489</v>
      </c>
      <c r="F118" s="738" t="s">
        <v>489</v>
      </c>
      <c r="G118" s="738" t="s">
        <v>327</v>
      </c>
      <c r="N118" s="68"/>
      <c r="O118" s="270"/>
      <c r="P118" s="270"/>
      <c r="Q118" s="270"/>
      <c r="R118" s="270"/>
      <c r="S118" s="270"/>
    </row>
    <row r="119" spans="1:19" ht="14.1" customHeight="1">
      <c r="B119" s="35" t="s">
        <v>491</v>
      </c>
      <c r="C119" s="738" t="s">
        <v>488</v>
      </c>
      <c r="D119" s="738" t="s">
        <v>489</v>
      </c>
      <c r="E119" s="738" t="s">
        <v>490</v>
      </c>
      <c r="F119" s="738" t="s">
        <v>489</v>
      </c>
      <c r="G119" s="738" t="s">
        <v>327</v>
      </c>
      <c r="N119" s="68"/>
      <c r="O119" s="270"/>
      <c r="P119" s="270"/>
      <c r="Q119" s="270"/>
      <c r="R119" s="270"/>
      <c r="S119" s="270"/>
    </row>
    <row r="120" spans="1:19" ht="14.1" customHeight="1">
      <c r="B120" s="35" t="s">
        <v>492</v>
      </c>
      <c r="C120" s="738" t="s">
        <v>488</v>
      </c>
      <c r="D120" s="738" t="s">
        <v>489</v>
      </c>
      <c r="E120" s="738" t="s">
        <v>489</v>
      </c>
      <c r="F120" s="738" t="s">
        <v>489</v>
      </c>
      <c r="G120" s="738" t="s">
        <v>327</v>
      </c>
      <c r="N120" s="68"/>
      <c r="O120" s="270"/>
      <c r="P120" s="270"/>
      <c r="Q120" s="270"/>
      <c r="R120" s="270"/>
      <c r="S120" s="270"/>
    </row>
    <row r="121" spans="1:19" ht="14.1" customHeight="1">
      <c r="B121" s="35" t="s">
        <v>493</v>
      </c>
      <c r="C121" s="738" t="s">
        <v>488</v>
      </c>
      <c r="D121" s="738" t="s">
        <v>489</v>
      </c>
      <c r="E121" s="738" t="s">
        <v>489</v>
      </c>
      <c r="F121" s="738" t="s">
        <v>489</v>
      </c>
      <c r="G121" s="738" t="s">
        <v>327</v>
      </c>
      <c r="N121" s="68"/>
      <c r="O121" s="270"/>
      <c r="P121" s="270"/>
      <c r="Q121" s="270"/>
      <c r="R121" s="270"/>
      <c r="S121" s="270"/>
    </row>
    <row r="122" spans="1:19" ht="14.1" customHeight="1">
      <c r="B122" s="35" t="s">
        <v>494</v>
      </c>
      <c r="C122" s="738" t="s">
        <v>488</v>
      </c>
      <c r="D122" s="738" t="s">
        <v>489</v>
      </c>
      <c r="E122" s="738" t="s">
        <v>489</v>
      </c>
      <c r="F122" s="738" t="s">
        <v>489</v>
      </c>
      <c r="G122" s="738" t="s">
        <v>327</v>
      </c>
      <c r="N122" s="68"/>
      <c r="O122" s="270"/>
      <c r="P122" s="270"/>
      <c r="Q122" s="270"/>
      <c r="R122" s="270"/>
      <c r="S122" s="270"/>
    </row>
    <row r="123" spans="1:19" ht="14.1" customHeight="1">
      <c r="B123" s="35" t="s">
        <v>294</v>
      </c>
      <c r="C123" s="738" t="s">
        <v>488</v>
      </c>
      <c r="D123" s="738" t="s">
        <v>489</v>
      </c>
      <c r="E123" s="738" t="s">
        <v>489</v>
      </c>
      <c r="F123" s="738" t="s">
        <v>489</v>
      </c>
      <c r="G123" s="738" t="s">
        <v>327</v>
      </c>
      <c r="N123" s="68"/>
      <c r="O123" s="270"/>
      <c r="P123" s="270"/>
      <c r="Q123" s="270"/>
      <c r="R123" s="270"/>
      <c r="S123" s="270"/>
    </row>
    <row r="124" spans="1:19" ht="14.1" customHeight="1">
      <c r="B124" s="35" t="s">
        <v>495</v>
      </c>
      <c r="C124" s="738" t="s">
        <v>488</v>
      </c>
      <c r="D124" s="738" t="s">
        <v>489</v>
      </c>
      <c r="E124" s="738" t="s">
        <v>489</v>
      </c>
      <c r="F124" s="738" t="s">
        <v>489</v>
      </c>
      <c r="G124" s="738" t="s">
        <v>327</v>
      </c>
      <c r="N124" s="68"/>
      <c r="O124" s="270"/>
      <c r="P124" s="270"/>
      <c r="Q124" s="270"/>
      <c r="R124" s="270"/>
      <c r="S124" s="270"/>
    </row>
    <row r="125" spans="1:19" ht="14.1" customHeight="1">
      <c r="B125" s="35" t="s">
        <v>496</v>
      </c>
      <c r="C125" s="738" t="s">
        <v>488</v>
      </c>
      <c r="D125" s="738" t="s">
        <v>489</v>
      </c>
      <c r="E125" s="738" t="s">
        <v>489</v>
      </c>
      <c r="F125" s="738" t="s">
        <v>489</v>
      </c>
      <c r="G125" s="738" t="s">
        <v>327</v>
      </c>
      <c r="N125" s="68"/>
      <c r="O125" s="68"/>
      <c r="P125" s="68"/>
      <c r="Q125" s="68"/>
      <c r="R125" s="68"/>
      <c r="S125" s="68"/>
    </row>
    <row r="126" spans="1:19" ht="14.1" customHeight="1">
      <c r="B126" s="35" t="s">
        <v>356</v>
      </c>
      <c r="C126" s="738" t="s">
        <v>488</v>
      </c>
      <c r="D126" s="738" t="s">
        <v>489</v>
      </c>
      <c r="E126" s="738" t="s">
        <v>489</v>
      </c>
      <c r="F126" s="738" t="s">
        <v>489</v>
      </c>
      <c r="G126" s="738" t="s">
        <v>327</v>
      </c>
    </row>
    <row r="127" spans="1:19" ht="14.1" customHeight="1">
      <c r="B127" s="35" t="s">
        <v>268</v>
      </c>
      <c r="C127" s="738" t="s">
        <v>488</v>
      </c>
      <c r="D127" s="738" t="s">
        <v>489</v>
      </c>
      <c r="E127" s="738" t="s">
        <v>489</v>
      </c>
      <c r="F127" s="738" t="s">
        <v>489</v>
      </c>
      <c r="G127" s="738" t="s">
        <v>327</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497</v>
      </c>
    </row>
    <row r="2" spans="1:3">
      <c r="B2" t="s">
        <v>498</v>
      </c>
    </row>
    <row r="3" spans="1:3">
      <c r="B3" t="s">
        <v>499</v>
      </c>
    </row>
    <row r="4" spans="1:3">
      <c r="B4" t="s">
        <v>500</v>
      </c>
    </row>
    <row r="5" spans="1:3">
      <c r="B5" t="s">
        <v>501</v>
      </c>
    </row>
    <row r="6" spans="1:3">
      <c r="B6" t="s">
        <v>502</v>
      </c>
    </row>
    <row r="8" spans="1:3">
      <c r="A8" s="7" t="s">
        <v>503</v>
      </c>
    </row>
    <row r="9" spans="1:3">
      <c r="A9" s="7"/>
      <c r="B9" t="s">
        <v>476</v>
      </c>
    </row>
    <row r="10" spans="1:3">
      <c r="A10" s="7"/>
      <c r="B10" t="s">
        <v>477</v>
      </c>
    </row>
    <row r="11" spans="1:3">
      <c r="B11" s="5" t="s">
        <v>504</v>
      </c>
      <c r="C11" s="5" t="s">
        <v>505</v>
      </c>
    </row>
    <row r="12" spans="1:3">
      <c r="B12" s="8">
        <v>25.03</v>
      </c>
      <c r="C12" s="9">
        <f>IF(B12&lt;A22,B12+B22+B12*C22+B12^2*D22+B12^3*E22+B12^4*F22+B12^5*G22+B12^6*H22,B12+B23+B12*C23+B12^2*D23+B12^3*E23+B12^4*F23+B12^5*G23+B12^6*H23)</f>
        <v>21.808137925164374</v>
      </c>
    </row>
    <row r="14" spans="1:3">
      <c r="A14" s="7" t="s">
        <v>506</v>
      </c>
    </row>
    <row r="15" spans="1:3">
      <c r="A15" s="7"/>
      <c r="B15" t="s">
        <v>478</v>
      </c>
    </row>
    <row r="16" spans="1:3">
      <c r="A16" s="7"/>
      <c r="B16" t="s">
        <v>479</v>
      </c>
    </row>
    <row r="17" spans="1:8">
      <c r="B17" s="5" t="s">
        <v>504</v>
      </c>
      <c r="C17" s="5" t="s">
        <v>505</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4" customWidth="1"/>
    <col min="2" max="16384" width="9" style="504"/>
  </cols>
  <sheetData>
    <row r="1" spans="1:1">
      <c r="A1" s="573" t="s">
        <v>507</v>
      </c>
    </row>
    <row r="2" spans="1:1">
      <c r="A2" s="504" t="s">
        <v>508</v>
      </c>
    </row>
    <row r="3" spans="1:1">
      <c r="A3" s="504" t="s">
        <v>509</v>
      </c>
    </row>
    <row r="5" spans="1:1">
      <c r="A5" s="573" t="s">
        <v>510</v>
      </c>
    </row>
    <row r="6" spans="1:1">
      <c r="A6" s="504" t="s">
        <v>508</v>
      </c>
    </row>
    <row r="7" spans="1:1">
      <c r="A7" s="504" t="s">
        <v>509</v>
      </c>
    </row>
    <row r="8" spans="1:1">
      <c r="A8" s="504" t="s">
        <v>511</v>
      </c>
    </row>
    <row r="10" spans="1:1">
      <c r="A10" s="572" t="s">
        <v>512</v>
      </c>
    </row>
    <row r="11" spans="1:1">
      <c r="A11" s="571">
        <v>6</v>
      </c>
    </row>
    <row r="12" spans="1:1">
      <c r="A12" s="571">
        <v>5.5</v>
      </c>
    </row>
    <row r="13" spans="1:1">
      <c r="A13" s="571">
        <v>5</v>
      </c>
    </row>
    <row r="14" spans="1:1">
      <c r="A14" s="571">
        <v>4.5</v>
      </c>
    </row>
    <row r="15" spans="1:1">
      <c r="A15" s="571">
        <v>4</v>
      </c>
    </row>
    <row r="16" spans="1:1">
      <c r="A16" s="571">
        <v>3.5</v>
      </c>
    </row>
    <row r="17" spans="1:1">
      <c r="A17" s="571">
        <v>3</v>
      </c>
    </row>
    <row r="18" spans="1:1">
      <c r="A18" s="571">
        <v>2.5</v>
      </c>
    </row>
    <row r="19" spans="1:1">
      <c r="A19" s="571">
        <v>2</v>
      </c>
    </row>
    <row r="20" spans="1:1">
      <c r="A20" s="571">
        <v>1.5</v>
      </c>
    </row>
    <row r="21" spans="1:1">
      <c r="A21" s="571">
        <v>1</v>
      </c>
    </row>
    <row r="22" spans="1:1">
      <c r="A22" s="571">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2016-05-26T18:00:26Z</cp:lastPrinted>
  <dcterms:created xsi:type="dcterms:W3CDTF">2014-08-25T14:38:09Z</dcterms:created>
  <dcterms:modified xsi:type="dcterms:W3CDTF">2016-06-15T17:55:39Z</dcterms:modified>
</cp:coreProperties>
</file>