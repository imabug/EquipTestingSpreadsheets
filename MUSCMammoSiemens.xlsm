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firstSheet="2"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H281" i="1" l="1"/>
  <c r="H283" i="1"/>
  <c r="H282" i="1"/>
  <c r="F283" i="1"/>
  <c r="F282" i="1"/>
  <c r="F281" i="1"/>
  <c r="E283" i="1"/>
  <c r="E282" i="1"/>
  <c r="E281" i="1"/>
  <c r="C279" i="1"/>
  <c r="C263" i="1"/>
  <c r="M434" i="1"/>
  <c r="M433" i="1"/>
  <c r="M504" i="1"/>
  <c r="D504" i="1"/>
  <c r="M503" i="1"/>
  <c r="D503" i="1"/>
  <c r="L301" i="1"/>
  <c r="AD149" i="1"/>
  <c r="AD148" i="1"/>
  <c r="AD147" i="1"/>
  <c r="AD145" i="1"/>
  <c r="AD144" i="1"/>
  <c r="AD143" i="1"/>
  <c r="AD141" i="1"/>
  <c r="AD140" i="1"/>
  <c r="AD139" i="1"/>
  <c r="AD137" i="1"/>
  <c r="AD136" i="1"/>
  <c r="AD135" i="1"/>
  <c r="AD133" i="1"/>
  <c r="AD132" i="1"/>
  <c r="AD131" i="1"/>
  <c r="AD130" i="1"/>
  <c r="AD129" i="1"/>
  <c r="AD128" i="1"/>
  <c r="AD127" i="1"/>
  <c r="AD125" i="1"/>
  <c r="AD123" i="1"/>
  <c r="AD126" i="1"/>
  <c r="AD124" i="1"/>
  <c r="AD122" i="1"/>
  <c r="AD121" i="1"/>
  <c r="AD120" i="1"/>
  <c r="AD119" i="1"/>
  <c r="Q320" i="1"/>
  <c r="P320" i="1"/>
  <c r="X319" i="1"/>
  <c r="W319" i="1"/>
  <c r="V319" i="1"/>
  <c r="U319" i="1"/>
  <c r="T319" i="1"/>
  <c r="S319" i="1"/>
  <c r="R319" i="1"/>
  <c r="Q319" i="1"/>
  <c r="P319" i="1"/>
  <c r="Y334" i="1"/>
  <c r="Y333" i="1"/>
  <c r="Y332" i="1"/>
  <c r="X334" i="1"/>
  <c r="X333" i="1"/>
  <c r="X332" i="1"/>
  <c r="W334" i="1"/>
  <c r="W333" i="1"/>
  <c r="W332" i="1"/>
  <c r="V334" i="1"/>
  <c r="V333" i="1"/>
  <c r="V332" i="1"/>
  <c r="W327" i="1"/>
  <c r="W326" i="1"/>
  <c r="T327" i="1"/>
  <c r="T326" i="1"/>
  <c r="Q327" i="1"/>
  <c r="Q326" i="1"/>
  <c r="T293" i="1"/>
  <c r="S293" i="1"/>
  <c r="T292" i="1"/>
  <c r="S292" i="1"/>
  <c r="T291" i="1"/>
  <c r="S291" i="1"/>
  <c r="T284" i="1"/>
  <c r="T283" i="1"/>
  <c r="T282" i="1"/>
  <c r="X324" i="1" l="1"/>
  <c r="U324" i="1"/>
  <c r="W324" i="1"/>
  <c r="T324" i="1"/>
  <c r="X323" i="1"/>
  <c r="X322" i="1"/>
  <c r="X320" i="1"/>
  <c r="U323" i="1"/>
  <c r="U322" i="1"/>
  <c r="U320" i="1"/>
  <c r="W325" i="1"/>
  <c r="X325" i="1" s="1"/>
  <c r="T325" i="1"/>
  <c r="U325" i="1" s="1"/>
  <c r="W323" i="1"/>
  <c r="W322" i="1"/>
  <c r="W321" i="1"/>
  <c r="W320" i="1"/>
  <c r="V323" i="1"/>
  <c r="V322" i="1"/>
  <c r="V321" i="1"/>
  <c r="V320" i="1"/>
  <c r="T323" i="1"/>
  <c r="T322" i="1"/>
  <c r="T321" i="1"/>
  <c r="T320" i="1"/>
  <c r="S323" i="1"/>
  <c r="S322" i="1"/>
  <c r="S321" i="1"/>
  <c r="S320" i="1"/>
  <c r="R323" i="1"/>
  <c r="R322" i="1"/>
  <c r="R320" i="1"/>
  <c r="Q324" i="1" s="1"/>
  <c r="R324" i="1" s="1"/>
  <c r="Q325" i="1"/>
  <c r="R325" i="1" s="1"/>
  <c r="Q323" i="1"/>
  <c r="Q322" i="1"/>
  <c r="Q321" i="1"/>
  <c r="P323" i="1"/>
  <c r="P322" i="1"/>
  <c r="P321" i="1"/>
  <c r="R293" i="1" l="1"/>
  <c r="R292" i="1"/>
  <c r="R291" i="1"/>
  <c r="V284" i="1"/>
  <c r="V283" i="1"/>
  <c r="V282" i="1"/>
  <c r="G34" i="11" l="1"/>
  <c r="G26" i="11"/>
  <c r="H377" i="1"/>
  <c r="H376" i="1"/>
  <c r="G376" i="1"/>
  <c r="L375" i="1"/>
  <c r="K375" i="1"/>
  <c r="J375" i="1"/>
  <c r="I375" i="1"/>
  <c r="H375" i="1"/>
  <c r="G375" i="1"/>
  <c r="F375" i="1"/>
  <c r="E375" i="1"/>
  <c r="D375" i="1"/>
  <c r="U402" i="1"/>
  <c r="H380" i="1" s="1"/>
  <c r="T402" i="1"/>
  <c r="G380" i="1" s="1"/>
  <c r="U398" i="1"/>
  <c r="U397" i="1"/>
  <c r="U396" i="1"/>
  <c r="U401" i="1"/>
  <c r="H379" i="1" s="1"/>
  <c r="U400" i="1"/>
  <c r="H378" i="1" s="1"/>
  <c r="U394" i="1"/>
  <c r="T394" i="1"/>
  <c r="S394" i="1"/>
  <c r="R394" i="1"/>
  <c r="Q394" i="1"/>
  <c r="U393" i="1"/>
  <c r="H374" i="1" s="1"/>
  <c r="T398" i="1"/>
  <c r="Y397" i="1"/>
  <c r="X397" i="1"/>
  <c r="W397" i="1"/>
  <c r="V397" i="1"/>
  <c r="T397" i="1"/>
  <c r="S397" i="1"/>
  <c r="R397" i="1"/>
  <c r="Q397" i="1"/>
  <c r="Y396" i="1"/>
  <c r="Y399" i="1" s="1"/>
  <c r="L377" i="1" s="1"/>
  <c r="X396" i="1"/>
  <c r="W396" i="1"/>
  <c r="W399" i="1" s="1"/>
  <c r="J377" i="1" s="1"/>
  <c r="V396" i="1"/>
  <c r="V399" i="1" s="1"/>
  <c r="I377" i="1" s="1"/>
  <c r="T396" i="1"/>
  <c r="T399" i="1" s="1"/>
  <c r="G377" i="1" s="1"/>
  <c r="S396" i="1"/>
  <c r="S399" i="1" s="1"/>
  <c r="F377" i="1" s="1"/>
  <c r="R396" i="1"/>
  <c r="R399" i="1" s="1"/>
  <c r="E377" i="1" s="1"/>
  <c r="Y401" i="1"/>
  <c r="L379" i="1" s="1"/>
  <c r="X401" i="1"/>
  <c r="K379" i="1" s="1"/>
  <c r="W401" i="1"/>
  <c r="J379" i="1" s="1"/>
  <c r="V401" i="1"/>
  <c r="I379" i="1" s="1"/>
  <c r="T401" i="1"/>
  <c r="G379" i="1" s="1"/>
  <c r="S401" i="1"/>
  <c r="F379" i="1" s="1"/>
  <c r="R401" i="1"/>
  <c r="E379" i="1" s="1"/>
  <c r="Y400" i="1"/>
  <c r="L378" i="1" s="1"/>
  <c r="X400" i="1"/>
  <c r="K378" i="1" s="1"/>
  <c r="W400" i="1"/>
  <c r="J378" i="1" s="1"/>
  <c r="V400" i="1"/>
  <c r="I378" i="1" s="1"/>
  <c r="T400" i="1"/>
  <c r="G378" i="1" s="1"/>
  <c r="S400" i="1"/>
  <c r="F378" i="1" s="1"/>
  <c r="R400" i="1"/>
  <c r="E378" i="1" s="1"/>
  <c r="Q401" i="1"/>
  <c r="D379" i="1" s="1"/>
  <c r="Q400" i="1"/>
  <c r="D378" i="1" s="1"/>
  <c r="Q399" i="1"/>
  <c r="D377" i="1" s="1"/>
  <c r="Q396" i="1"/>
  <c r="Y393" i="1"/>
  <c r="L374" i="1" s="1"/>
  <c r="X393" i="1"/>
  <c r="K374" i="1" s="1"/>
  <c r="W393" i="1"/>
  <c r="J374" i="1" s="1"/>
  <c r="V393" i="1"/>
  <c r="I374" i="1" s="1"/>
  <c r="T393" i="1"/>
  <c r="G374" i="1" s="1"/>
  <c r="S393" i="1"/>
  <c r="F374" i="1" s="1"/>
  <c r="R393" i="1"/>
  <c r="E374" i="1" s="1"/>
  <c r="Q393" i="1"/>
  <c r="D374" i="1" s="1"/>
  <c r="P387" i="1"/>
  <c r="P386" i="1"/>
  <c r="P385" i="1"/>
  <c r="P384" i="1"/>
  <c r="R38" i="11"/>
  <c r="S38" i="11" s="1"/>
  <c r="Q38" i="11"/>
  <c r="R37" i="11"/>
  <c r="S37" i="11" s="1"/>
  <c r="Q37" i="11"/>
  <c r="R36" i="11"/>
  <c r="Q36" i="11"/>
  <c r="U35" i="11"/>
  <c r="R35" i="11"/>
  <c r="Q35" i="11"/>
  <c r="Q33" i="11"/>
  <c r="R30" i="11"/>
  <c r="S30" i="11" s="1"/>
  <c r="Q30" i="11"/>
  <c r="R29" i="11"/>
  <c r="S29" i="11" s="1"/>
  <c r="Q29" i="11"/>
  <c r="R28" i="11"/>
  <c r="S28" i="11" s="1"/>
  <c r="Q28" i="11"/>
  <c r="U27" i="11"/>
  <c r="R27" i="11"/>
  <c r="S27" i="11" s="1"/>
  <c r="Q27" i="11"/>
  <c r="Q25" i="11"/>
  <c r="Q22" i="11"/>
  <c r="R22" i="11"/>
  <c r="S22" i="11" s="1"/>
  <c r="R21" i="11"/>
  <c r="S21" i="11" s="1"/>
  <c r="Q21" i="11"/>
  <c r="R20" i="11"/>
  <c r="S20" i="11" s="1"/>
  <c r="Q20" i="11"/>
  <c r="U19" i="11"/>
  <c r="R19" i="11"/>
  <c r="Q19" i="11"/>
  <c r="Q17" i="11"/>
  <c r="R14" i="11"/>
  <c r="S14" i="11" s="1"/>
  <c r="J14" i="11"/>
  <c r="K14" i="11" s="1"/>
  <c r="R13" i="11"/>
  <c r="S13" i="11" s="1"/>
  <c r="J13" i="11"/>
  <c r="K13" i="11" s="1"/>
  <c r="R12" i="11"/>
  <c r="S12" i="11" s="1"/>
  <c r="J12" i="11"/>
  <c r="R11" i="11"/>
  <c r="J11" i="11"/>
  <c r="K11" i="11" s="1"/>
  <c r="Q14" i="11"/>
  <c r="I14" i="11"/>
  <c r="Q13" i="11"/>
  <c r="I13" i="11"/>
  <c r="Q12" i="11"/>
  <c r="Q11" i="11"/>
  <c r="Q9" i="11"/>
  <c r="U11" i="11"/>
  <c r="R6" i="11"/>
  <c r="S6" i="11" s="1"/>
  <c r="J6" i="11"/>
  <c r="K6" i="11" s="1"/>
  <c r="R5" i="11"/>
  <c r="S5" i="11" s="1"/>
  <c r="J5" i="11"/>
  <c r="K5" i="11" s="1"/>
  <c r="R4" i="11"/>
  <c r="J4" i="11"/>
  <c r="K4" i="11" s="1"/>
  <c r="R3" i="11"/>
  <c r="S3" i="11" s="1"/>
  <c r="J3" i="11"/>
  <c r="K3" i="11" s="1"/>
  <c r="Q6" i="11"/>
  <c r="I6" i="11"/>
  <c r="Q5" i="11"/>
  <c r="I5" i="11"/>
  <c r="Q1" i="11"/>
  <c r="Q4" i="11"/>
  <c r="Q3" i="11"/>
  <c r="U3" i="11"/>
  <c r="J30" i="11"/>
  <c r="K30" i="11" s="1"/>
  <c r="I30" i="11"/>
  <c r="J29" i="11"/>
  <c r="K29" i="11" s="1"/>
  <c r="I29" i="11"/>
  <c r="J28" i="11"/>
  <c r="K28" i="11" s="1"/>
  <c r="I28" i="11"/>
  <c r="M27" i="11"/>
  <c r="J27" i="11"/>
  <c r="K27" i="11" s="1"/>
  <c r="I27" i="11"/>
  <c r="I25" i="11"/>
  <c r="J22" i="11"/>
  <c r="K22" i="11" s="1"/>
  <c r="I22" i="11"/>
  <c r="J21" i="11"/>
  <c r="K21" i="11" s="1"/>
  <c r="I21" i="11"/>
  <c r="J20" i="11"/>
  <c r="K20" i="11" s="1"/>
  <c r="I20" i="11"/>
  <c r="M19" i="11"/>
  <c r="J19" i="11"/>
  <c r="I19" i="11"/>
  <c r="I17" i="11"/>
  <c r="I12" i="11"/>
  <c r="M11" i="11"/>
  <c r="I11" i="11"/>
  <c r="I9" i="11"/>
  <c r="I4" i="11"/>
  <c r="I3" i="11"/>
  <c r="I1" i="11"/>
  <c r="M3" i="11"/>
  <c r="E3" i="11"/>
  <c r="B6" i="11"/>
  <c r="B5" i="11"/>
  <c r="B4" i="11"/>
  <c r="B3" i="11"/>
  <c r="A6" i="11"/>
  <c r="A5" i="11"/>
  <c r="A4" i="11"/>
  <c r="A3" i="11"/>
  <c r="W2" i="11" l="1"/>
  <c r="O10" i="11"/>
  <c r="O2" i="11"/>
  <c r="O18" i="11"/>
  <c r="T20" i="11"/>
  <c r="O26" i="11"/>
  <c r="W34" i="11"/>
  <c r="W18" i="11"/>
  <c r="W10" i="11"/>
  <c r="W26" i="11"/>
  <c r="T36" i="11"/>
  <c r="L20" i="11"/>
  <c r="T19" i="11"/>
  <c r="L7" i="11"/>
  <c r="M7" i="11" s="1"/>
  <c r="L24" i="11"/>
  <c r="M24" i="11" s="1"/>
  <c r="L32" i="11"/>
  <c r="M32" i="11" s="1"/>
  <c r="K19" i="11"/>
  <c r="L27" i="11"/>
  <c r="T24" i="11"/>
  <c r="U24" i="11" s="1"/>
  <c r="T28" i="11"/>
  <c r="T31" i="11"/>
  <c r="U31" i="11" s="1"/>
  <c r="T40" i="11"/>
  <c r="U40" i="11" s="1"/>
  <c r="T32" i="11"/>
  <c r="U32" i="11" s="1"/>
  <c r="L23" i="11"/>
  <c r="M23" i="11" s="1"/>
  <c r="L28" i="11"/>
  <c r="L31" i="11"/>
  <c r="M31" i="11" s="1"/>
  <c r="T8" i="11"/>
  <c r="U8" i="11" s="1"/>
  <c r="L16" i="11"/>
  <c r="M16" i="11" s="1"/>
  <c r="T27" i="11"/>
  <c r="X399" i="1"/>
  <c r="K377" i="1" s="1"/>
  <c r="S36" i="11"/>
  <c r="S35" i="11"/>
  <c r="T39" i="11"/>
  <c r="U39" i="11" s="1"/>
  <c r="T35" i="11"/>
  <c r="S19" i="11"/>
  <c r="T23" i="11"/>
  <c r="U23" i="11" s="1"/>
  <c r="T11" i="11"/>
  <c r="T16" i="11"/>
  <c r="U16" i="11" s="1"/>
  <c r="K12" i="11"/>
  <c r="L15" i="11"/>
  <c r="M15" i="11" s="1"/>
  <c r="T15" i="11"/>
  <c r="U15" i="11" s="1"/>
  <c r="S11" i="11"/>
  <c r="T12" i="11"/>
  <c r="L12" i="11"/>
  <c r="L11" i="11"/>
  <c r="T7" i="11"/>
  <c r="U7" i="11" s="1"/>
  <c r="T3" i="11"/>
  <c r="S4" i="11"/>
  <c r="T4" i="11"/>
  <c r="L3" i="11"/>
  <c r="L4" i="11"/>
  <c r="L19" i="11"/>
  <c r="L8" i="11"/>
  <c r="M8" i="11" s="1"/>
  <c r="B22" i="11"/>
  <c r="C22" i="11" s="1"/>
  <c r="B21" i="11"/>
  <c r="C21" i="11" s="1"/>
  <c r="B20" i="11"/>
  <c r="C20" i="11" s="1"/>
  <c r="B19" i="11"/>
  <c r="A22" i="11"/>
  <c r="A21" i="11"/>
  <c r="A20" i="11"/>
  <c r="A19" i="11"/>
  <c r="A17" i="11"/>
  <c r="E19" i="11"/>
  <c r="B14" i="11"/>
  <c r="C14" i="11" s="1"/>
  <c r="A14" i="11"/>
  <c r="B13" i="11"/>
  <c r="C13" i="11" s="1"/>
  <c r="A13" i="11"/>
  <c r="B12" i="11"/>
  <c r="C12" i="11" s="1"/>
  <c r="A12" i="11"/>
  <c r="E11" i="11"/>
  <c r="B11" i="11"/>
  <c r="A11" i="11"/>
  <c r="A9" i="11"/>
  <c r="D8" i="11"/>
  <c r="E8" i="11" s="1"/>
  <c r="D4" i="11"/>
  <c r="D3" i="11"/>
  <c r="C6" i="11"/>
  <c r="C5" i="11"/>
  <c r="C4" i="11"/>
  <c r="C3" i="11"/>
  <c r="A1" i="11"/>
  <c r="G2" i="11" s="1"/>
  <c r="T269" i="1"/>
  <c r="S387" i="1"/>
  <c r="R387" i="1"/>
  <c r="Q387" i="1"/>
  <c r="S386" i="1"/>
  <c r="R386" i="1"/>
  <c r="Q386" i="1"/>
  <c r="S384" i="1"/>
  <c r="R384" i="1"/>
  <c r="Q384" i="1"/>
  <c r="R373" i="1"/>
  <c r="T373" i="1" s="1"/>
  <c r="Q373" i="1"/>
  <c r="P373" i="1"/>
  <c r="R372" i="1"/>
  <c r="S372" i="1" s="1"/>
  <c r="Q372" i="1"/>
  <c r="T372" i="1" s="1"/>
  <c r="P372" i="1"/>
  <c r="R371" i="1"/>
  <c r="Q371" i="1"/>
  <c r="P371" i="1"/>
  <c r="P374" i="1" s="1"/>
  <c r="Q385" i="1" s="1"/>
  <c r="R370" i="1"/>
  <c r="S370" i="1" s="1"/>
  <c r="Q370" i="1"/>
  <c r="T370" i="1" s="1"/>
  <c r="S367" i="1"/>
  <c r="P370" i="1"/>
  <c r="U349" i="1"/>
  <c r="T349" i="1"/>
  <c r="S349" i="1"/>
  <c r="R349" i="1"/>
  <c r="Q349" i="1"/>
  <c r="S382" i="1"/>
  <c r="W373" i="1"/>
  <c r="V373" i="1"/>
  <c r="U373" i="1"/>
  <c r="W372" i="1"/>
  <c r="X372" i="1" s="1"/>
  <c r="V372" i="1"/>
  <c r="U372" i="1"/>
  <c r="W371" i="1"/>
  <c r="V371" i="1"/>
  <c r="Y371" i="1" s="1"/>
  <c r="U371" i="1"/>
  <c r="W370" i="1"/>
  <c r="V370" i="1"/>
  <c r="U370" i="1"/>
  <c r="U375" i="1" s="1"/>
  <c r="X368" i="1"/>
  <c r="X367" i="1"/>
  <c r="AL94" i="1"/>
  <c r="AK94" i="1"/>
  <c r="AL93" i="1"/>
  <c r="AK93" i="1"/>
  <c r="S368" i="1"/>
  <c r="T371" i="1"/>
  <c r="P375" i="1"/>
  <c r="V367" i="1"/>
  <c r="U363" i="1"/>
  <c r="T363" i="1"/>
  <c r="S363" i="1"/>
  <c r="R363" i="1"/>
  <c r="Q363" i="1"/>
  <c r="U362" i="1"/>
  <c r="T362" i="1"/>
  <c r="S362" i="1"/>
  <c r="R362" i="1"/>
  <c r="Q362" i="1"/>
  <c r="U361" i="1"/>
  <c r="T361" i="1"/>
  <c r="S361" i="1"/>
  <c r="R361" i="1"/>
  <c r="Q361" i="1"/>
  <c r="U360" i="1"/>
  <c r="T360" i="1"/>
  <c r="S360" i="1"/>
  <c r="R360" i="1"/>
  <c r="Q360" i="1"/>
  <c r="U359" i="1"/>
  <c r="T359" i="1"/>
  <c r="S359" i="1"/>
  <c r="R359" i="1"/>
  <c r="Q359" i="1"/>
  <c r="Q358" i="1"/>
  <c r="U358" i="1"/>
  <c r="W358" i="1" s="1"/>
  <c r="T358" i="1"/>
  <c r="S358" i="1"/>
  <c r="X358" i="1" s="1"/>
  <c r="R358" i="1"/>
  <c r="U357" i="1"/>
  <c r="T357" i="1"/>
  <c r="S357" i="1"/>
  <c r="R357" i="1"/>
  <c r="Q357" i="1"/>
  <c r="U356" i="1"/>
  <c r="T356" i="1"/>
  <c r="S356" i="1"/>
  <c r="R356" i="1"/>
  <c r="Q356" i="1"/>
  <c r="U355" i="1"/>
  <c r="T355" i="1"/>
  <c r="S355" i="1"/>
  <c r="R355" i="1"/>
  <c r="Q355" i="1"/>
  <c r="U354" i="1"/>
  <c r="T354" i="1"/>
  <c r="S354" i="1"/>
  <c r="R354" i="1"/>
  <c r="Q354" i="1"/>
  <c r="U353" i="1"/>
  <c r="T353" i="1"/>
  <c r="S353" i="1"/>
  <c r="R353" i="1"/>
  <c r="Q353" i="1"/>
  <c r="U352" i="1"/>
  <c r="V352" i="1" s="1"/>
  <c r="T352" i="1"/>
  <c r="S352" i="1"/>
  <c r="X352" i="1" s="1"/>
  <c r="R352" i="1"/>
  <c r="Q352" i="1"/>
  <c r="W352" i="1"/>
  <c r="U351" i="1"/>
  <c r="T351" i="1"/>
  <c r="S351" i="1"/>
  <c r="R351" i="1"/>
  <c r="Q351" i="1"/>
  <c r="U350" i="1"/>
  <c r="T350" i="1"/>
  <c r="S350" i="1"/>
  <c r="R350" i="1"/>
  <c r="Q350" i="1"/>
  <c r="U348" i="1"/>
  <c r="T348" i="1"/>
  <c r="S348" i="1"/>
  <c r="R348" i="1"/>
  <c r="Q348" i="1"/>
  <c r="R347" i="1"/>
  <c r="U347" i="1"/>
  <c r="T347" i="1"/>
  <c r="S347" i="1"/>
  <c r="Q347" i="1"/>
  <c r="W346" i="1"/>
  <c r="V346" i="1"/>
  <c r="U346" i="1"/>
  <c r="T346" i="1"/>
  <c r="S346" i="1"/>
  <c r="AL132" i="1"/>
  <c r="AK132" i="1"/>
  <c r="AL131" i="1"/>
  <c r="AK131" i="1"/>
  <c r="AL130" i="1"/>
  <c r="AK130" i="1"/>
  <c r="AL129" i="1"/>
  <c r="AK129" i="1"/>
  <c r="AL128" i="1"/>
  <c r="AK128" i="1"/>
  <c r="AL127" i="1"/>
  <c r="AK127" i="1"/>
  <c r="AL126" i="1"/>
  <c r="AK126" i="1"/>
  <c r="AL125" i="1"/>
  <c r="AK125" i="1"/>
  <c r="AL124" i="1"/>
  <c r="AK124" i="1"/>
  <c r="AL123" i="1"/>
  <c r="AK123" i="1"/>
  <c r="AL122" i="1"/>
  <c r="AK122" i="1"/>
  <c r="AL121" i="1"/>
  <c r="AK121" i="1"/>
  <c r="AL120" i="1"/>
  <c r="AK120" i="1"/>
  <c r="AL119" i="1"/>
  <c r="AK119" i="1"/>
  <c r="AL118" i="1"/>
  <c r="AK118" i="1"/>
  <c r="AL117" i="1"/>
  <c r="AK117" i="1"/>
  <c r="AL116" i="1"/>
  <c r="AK116" i="1"/>
  <c r="AL115" i="1"/>
  <c r="AK115" i="1"/>
  <c r="AL114" i="1"/>
  <c r="AK114" i="1"/>
  <c r="AL113" i="1"/>
  <c r="AK113" i="1"/>
  <c r="AL112" i="1"/>
  <c r="AK112" i="1"/>
  <c r="AL111" i="1"/>
  <c r="AK111" i="1"/>
  <c r="AL110" i="1"/>
  <c r="AK110" i="1"/>
  <c r="AL109" i="1"/>
  <c r="AK109" i="1"/>
  <c r="AL108" i="1"/>
  <c r="AK108" i="1"/>
  <c r="AL107" i="1"/>
  <c r="AK107" i="1"/>
  <c r="AL106" i="1"/>
  <c r="AK106" i="1"/>
  <c r="AL105" i="1"/>
  <c r="AK105" i="1"/>
  <c r="AL104" i="1"/>
  <c r="AK104" i="1"/>
  <c r="AL103" i="1"/>
  <c r="AK103" i="1"/>
  <c r="AL102" i="1"/>
  <c r="AK102" i="1"/>
  <c r="AL101" i="1"/>
  <c r="AK101" i="1"/>
  <c r="AL100" i="1"/>
  <c r="AK100" i="1"/>
  <c r="AL99" i="1"/>
  <c r="AK99" i="1"/>
  <c r="AL98" i="1"/>
  <c r="AK98" i="1"/>
  <c r="AL97" i="1"/>
  <c r="AK97" i="1"/>
  <c r="AL96" i="1"/>
  <c r="AK96" i="1"/>
  <c r="AL95" i="1"/>
  <c r="AK95" i="1"/>
  <c r="AL92" i="1"/>
  <c r="AK92" i="1"/>
  <c r="AL91" i="1"/>
  <c r="AK91" i="1"/>
  <c r="P359" i="1" s="1"/>
  <c r="V21" i="1"/>
  <c r="AK88" i="1" s="1"/>
  <c r="X370" i="1"/>
  <c r="X371" i="1"/>
  <c r="X373" i="1"/>
  <c r="Y373" i="1"/>
  <c r="R375" i="1"/>
  <c r="S377" i="1"/>
  <c r="T377" i="1"/>
  <c r="X377" i="1"/>
  <c r="Y377" i="1"/>
  <c r="AK90" i="1"/>
  <c r="AK86" i="1"/>
  <c r="AK85" i="1"/>
  <c r="AK81" i="1"/>
  <c r="AK79" i="1"/>
  <c r="AK75" i="1"/>
  <c r="AK74" i="1"/>
  <c r="AK70" i="1"/>
  <c r="AK69" i="1"/>
  <c r="AK65" i="1"/>
  <c r="AK63" i="1"/>
  <c r="AK59" i="1"/>
  <c r="AK58" i="1"/>
  <c r="AK53" i="1"/>
  <c r="AK52" i="1"/>
  <c r="AK48" i="1"/>
  <c r="AK46" i="1"/>
  <c r="AK42" i="1"/>
  <c r="AK41" i="1"/>
  <c r="AK37" i="1"/>
  <c r="AK36" i="1"/>
  <c r="AK32" i="1"/>
  <c r="AK30" i="1"/>
  <c r="AK26" i="1"/>
  <c r="AK25" i="1"/>
  <c r="AK22" i="1"/>
  <c r="AK21" i="1"/>
  <c r="AK18" i="1"/>
  <c r="AK17" i="1"/>
  <c r="AK16" i="1"/>
  <c r="AK14" i="1"/>
  <c r="AK13" i="1"/>
  <c r="AK12" i="1"/>
  <c r="AK11" i="1"/>
  <c r="AK10" i="1"/>
  <c r="D11" i="11" l="1"/>
  <c r="G18" i="11"/>
  <c r="W27" i="11"/>
  <c r="R31" i="11" s="1"/>
  <c r="C11" i="11"/>
  <c r="O19" i="11"/>
  <c r="X398" i="1" s="1"/>
  <c r="X402" i="1" s="1"/>
  <c r="K380" i="1" s="1"/>
  <c r="G10" i="11"/>
  <c r="W11" i="11"/>
  <c r="R15" i="11" s="1"/>
  <c r="W3" i="11"/>
  <c r="Q7" i="11" s="1"/>
  <c r="W35" i="11"/>
  <c r="Q39" i="11" s="1"/>
  <c r="O27" i="11"/>
  <c r="Y398" i="1" s="1"/>
  <c r="D12" i="11"/>
  <c r="D16" i="11"/>
  <c r="E16" i="11" s="1"/>
  <c r="R39" i="11"/>
  <c r="W19" i="11"/>
  <c r="O11" i="11"/>
  <c r="I23" i="11"/>
  <c r="O3" i="11"/>
  <c r="V398" i="1" s="1"/>
  <c r="D19" i="11"/>
  <c r="D20" i="11"/>
  <c r="D24" i="11"/>
  <c r="E24" i="11" s="1"/>
  <c r="C19" i="11"/>
  <c r="D23" i="11"/>
  <c r="E23" i="11" s="1"/>
  <c r="D15" i="11"/>
  <c r="E15" i="11" s="1"/>
  <c r="D7" i="11"/>
  <c r="E7" i="11" s="1"/>
  <c r="V375" i="1"/>
  <c r="W374" i="1"/>
  <c r="V374" i="1"/>
  <c r="U374" i="1"/>
  <c r="U376" i="1" s="1"/>
  <c r="Q375" i="1"/>
  <c r="Q374" i="1"/>
  <c r="P376" i="1"/>
  <c r="V358"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89" i="1"/>
  <c r="AK27" i="1"/>
  <c r="AK31" i="1"/>
  <c r="AK35" i="1"/>
  <c r="AK39" i="1"/>
  <c r="AK43" i="1"/>
  <c r="AK47" i="1"/>
  <c r="AK51" i="1"/>
  <c r="AK55" i="1"/>
  <c r="AK60" i="1"/>
  <c r="AK64" i="1"/>
  <c r="AK68" i="1"/>
  <c r="AK72" i="1"/>
  <c r="AK76" i="1"/>
  <c r="AK80" i="1"/>
  <c r="AK84" i="1"/>
  <c r="X375" i="1"/>
  <c r="X374" i="1"/>
  <c r="T375" i="1"/>
  <c r="T374" i="1"/>
  <c r="W375" i="1"/>
  <c r="W376" i="1" s="1"/>
  <c r="S373" i="1"/>
  <c r="Y372" i="1"/>
  <c r="S371" i="1"/>
  <c r="Y370" i="1"/>
  <c r="R374" i="1"/>
  <c r="R376" i="1" s="1"/>
  <c r="R261" i="1"/>
  <c r="S260" i="1"/>
  <c r="S261" i="1" s="1"/>
  <c r="R260" i="1"/>
  <c r="Q260" i="1"/>
  <c r="Q261" i="1" s="1"/>
  <c r="K226" i="1"/>
  <c r="M195" i="1"/>
  <c r="L195" i="1"/>
  <c r="K195" i="1"/>
  <c r="M194" i="1"/>
  <c r="L194" i="1"/>
  <c r="K194" i="1"/>
  <c r="M193" i="1"/>
  <c r="L193" i="1"/>
  <c r="K193" i="1"/>
  <c r="M192" i="1"/>
  <c r="L192" i="1"/>
  <c r="K192" i="1"/>
  <c r="M191" i="1"/>
  <c r="L191" i="1"/>
  <c r="K191" i="1"/>
  <c r="M190" i="1"/>
  <c r="L190" i="1"/>
  <c r="K190" i="1"/>
  <c r="M189" i="1"/>
  <c r="L189" i="1"/>
  <c r="K189" i="1"/>
  <c r="M188" i="1"/>
  <c r="L188" i="1"/>
  <c r="K188" i="1"/>
  <c r="J195" i="1"/>
  <c r="I195" i="1"/>
  <c r="H195" i="1"/>
  <c r="J194" i="1"/>
  <c r="I194" i="1"/>
  <c r="H194" i="1"/>
  <c r="J193" i="1"/>
  <c r="I193" i="1"/>
  <c r="H193" i="1"/>
  <c r="J192" i="1"/>
  <c r="I192" i="1"/>
  <c r="H192" i="1"/>
  <c r="J191" i="1"/>
  <c r="I191" i="1"/>
  <c r="H191" i="1"/>
  <c r="J190" i="1"/>
  <c r="I190" i="1"/>
  <c r="H190" i="1"/>
  <c r="J189" i="1"/>
  <c r="I189" i="1"/>
  <c r="H189" i="1"/>
  <c r="J188" i="1"/>
  <c r="I188" i="1"/>
  <c r="H188" i="1"/>
  <c r="F200" i="1"/>
  <c r="E200" i="1"/>
  <c r="D200" i="1"/>
  <c r="F199" i="1"/>
  <c r="E199" i="1"/>
  <c r="D199" i="1"/>
  <c r="F198" i="1"/>
  <c r="E198" i="1"/>
  <c r="D198" i="1"/>
  <c r="F197" i="1"/>
  <c r="E197" i="1"/>
  <c r="D197" i="1"/>
  <c r="F196" i="1"/>
  <c r="E196" i="1"/>
  <c r="D196" i="1"/>
  <c r="F195" i="1"/>
  <c r="E195" i="1"/>
  <c r="D195" i="1"/>
  <c r="D194" i="1"/>
  <c r="F193" i="1"/>
  <c r="E193" i="1"/>
  <c r="D193" i="1"/>
  <c r="F192" i="1"/>
  <c r="E192" i="1"/>
  <c r="D192" i="1"/>
  <c r="F191" i="1"/>
  <c r="E191" i="1"/>
  <c r="D191" i="1"/>
  <c r="F190" i="1"/>
  <c r="E190" i="1"/>
  <c r="D190" i="1"/>
  <c r="F189" i="1"/>
  <c r="E189" i="1"/>
  <c r="D189" i="1"/>
  <c r="F188" i="1"/>
  <c r="E188" i="1"/>
  <c r="D188" i="1"/>
  <c r="J23" i="11" l="1"/>
  <c r="Q31" i="11"/>
  <c r="R7" i="11"/>
  <c r="K376" i="1"/>
  <c r="Q15" i="11"/>
  <c r="Y402" i="1"/>
  <c r="L380" i="1" s="1"/>
  <c r="L376" i="1"/>
  <c r="V376" i="1"/>
  <c r="I376" i="1"/>
  <c r="V402" i="1"/>
  <c r="I380" i="1" s="1"/>
  <c r="Q376" i="1"/>
  <c r="J15" i="11"/>
  <c r="W398" i="1"/>
  <c r="G3" i="11"/>
  <c r="Q398" i="1" s="1"/>
  <c r="J31" i="11"/>
  <c r="I31" i="11"/>
  <c r="R23" i="11"/>
  <c r="Q23" i="11"/>
  <c r="I15" i="11"/>
  <c r="J7" i="11"/>
  <c r="I7" i="11"/>
  <c r="G19" i="11"/>
  <c r="S398" i="1" s="1"/>
  <c r="G11" i="11"/>
  <c r="R398" i="1" s="1"/>
  <c r="S374" i="1"/>
  <c r="X376" i="1"/>
  <c r="Y375" i="1"/>
  <c r="Y374" i="1"/>
  <c r="S375" i="1"/>
  <c r="S376" i="1" s="1"/>
  <c r="T376" i="1"/>
  <c r="J398" i="1"/>
  <c r="I398" i="1"/>
  <c r="H398" i="1"/>
  <c r="J397" i="1"/>
  <c r="I397" i="1"/>
  <c r="H397" i="1"/>
  <c r="J396" i="1"/>
  <c r="I396" i="1"/>
  <c r="H396" i="1"/>
  <c r="J395" i="1"/>
  <c r="I395" i="1"/>
  <c r="H395" i="1"/>
  <c r="J394" i="1"/>
  <c r="I394" i="1"/>
  <c r="H394" i="1"/>
  <c r="J393" i="1"/>
  <c r="I393" i="1"/>
  <c r="H393" i="1"/>
  <c r="S253" i="1"/>
  <c r="R253" i="1"/>
  <c r="Q253" i="1"/>
  <c r="L185" i="1"/>
  <c r="I185" i="1"/>
  <c r="D185" i="1"/>
  <c r="Y376" i="1" l="1"/>
  <c r="A7" i="11"/>
  <c r="R402" i="1"/>
  <c r="E380" i="1" s="1"/>
  <c r="E376" i="1"/>
  <c r="F376" i="1"/>
  <c r="S402" i="1"/>
  <c r="F380" i="1" s="1"/>
  <c r="Q402" i="1"/>
  <c r="D380" i="1" s="1"/>
  <c r="D376" i="1"/>
  <c r="J376" i="1"/>
  <c r="W402" i="1"/>
  <c r="J380" i="1" s="1"/>
  <c r="B23" i="11"/>
  <c r="A23" i="11"/>
  <c r="B15" i="11"/>
  <c r="A15" i="11"/>
  <c r="B7" i="11"/>
  <c r="S427" i="1"/>
  <c r="L5" i="8" l="1"/>
  <c r="D501" i="1" l="1"/>
  <c r="D500" i="1"/>
  <c r="D499" i="1"/>
  <c r="D498" i="1"/>
  <c r="D497" i="1"/>
  <c r="D496" i="1"/>
  <c r="R466" i="1"/>
  <c r="S465" i="1"/>
  <c r="T466" i="1" s="1"/>
  <c r="R464" i="1"/>
  <c r="S463" i="1"/>
  <c r="T464" i="1" s="1"/>
  <c r="D493" i="1" l="1"/>
  <c r="D492" i="1"/>
  <c r="D491" i="1"/>
  <c r="D490" i="1"/>
  <c r="D489" i="1"/>
  <c r="D488" i="1"/>
  <c r="D487" i="1"/>
  <c r="D486" i="1"/>
  <c r="D485" i="1"/>
  <c r="D484" i="1"/>
  <c r="D483" i="1"/>
  <c r="D482" i="1"/>
  <c r="D481" i="1"/>
  <c r="D480" i="1"/>
  <c r="D479" i="1"/>
  <c r="D478" i="1"/>
  <c r="D494" i="1"/>
  <c r="D495" i="1"/>
  <c r="R462" i="1"/>
  <c r="S461" i="1"/>
  <c r="T462" i="1" s="1"/>
  <c r="R460" i="1"/>
  <c r="S459" i="1"/>
  <c r="T460" i="1" s="1"/>
  <c r="R458" i="1"/>
  <c r="S457" i="1"/>
  <c r="T458" i="1" s="1"/>
  <c r="R456" i="1"/>
  <c r="S455" i="1"/>
  <c r="T456" i="1" s="1"/>
  <c r="R454" i="1"/>
  <c r="S453" i="1"/>
  <c r="T454" i="1" s="1"/>
  <c r="R452" i="1"/>
  <c r="S451" i="1"/>
  <c r="T452" i="1" s="1"/>
  <c r="M132" i="1" l="1"/>
  <c r="L132" i="1"/>
  <c r="M131" i="1"/>
  <c r="L131" i="1"/>
  <c r="M130" i="1"/>
  <c r="L130" i="1"/>
  <c r="M129" i="1"/>
  <c r="L129" i="1"/>
  <c r="M128" i="1"/>
  <c r="L128"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33" i="1"/>
  <c r="W433" i="1"/>
  <c r="V433" i="1"/>
  <c r="X432" i="1"/>
  <c r="W432" i="1"/>
  <c r="V432" i="1"/>
  <c r="X431" i="1"/>
  <c r="W431" i="1"/>
  <c r="V431" i="1"/>
  <c r="X430" i="1"/>
  <c r="W430" i="1"/>
  <c r="V430" i="1"/>
  <c r="X429" i="1"/>
  <c r="W429" i="1"/>
  <c r="V429" i="1"/>
  <c r="AD115" i="1"/>
  <c r="AD114" i="1"/>
  <c r="AD113" i="1"/>
  <c r="AD112" i="1"/>
  <c r="AD111" i="1"/>
  <c r="AD110" i="1"/>
  <c r="AD109" i="1"/>
  <c r="AD108" i="1"/>
  <c r="AD107" i="1"/>
  <c r="AD106" i="1"/>
  <c r="AD105" i="1"/>
  <c r="AD104" i="1"/>
  <c r="AD103" i="1"/>
  <c r="L347" i="1" l="1"/>
  <c r="L346" i="1"/>
  <c r="L348" i="1"/>
  <c r="L349" i="1"/>
  <c r="H76" i="4"/>
  <c r="H75" i="4"/>
  <c r="L351" i="1" l="1"/>
  <c r="L350" i="1"/>
  <c r="B75" i="4"/>
  <c r="E75" i="4"/>
  <c r="E76" i="4"/>
  <c r="C76" i="4" l="1"/>
  <c r="F75" i="4"/>
  <c r="I76" i="4"/>
  <c r="F76" i="4"/>
  <c r="E79" i="4" s="1"/>
  <c r="I75" i="4"/>
  <c r="C75" i="4"/>
  <c r="L352" i="1"/>
  <c r="AD88" i="1"/>
  <c r="F79" i="4"/>
  <c r="F80" i="4"/>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E80" i="4" l="1"/>
  <c r="G347" i="1"/>
  <c r="W347" i="1"/>
  <c r="J297" i="1" s="1"/>
  <c r="W351" i="1"/>
  <c r="J301" i="1" s="1"/>
  <c r="W356" i="1"/>
  <c r="J305" i="1" s="1"/>
  <c r="W361" i="1"/>
  <c r="J309" i="1" s="1"/>
  <c r="H346" i="1"/>
  <c r="G346" i="1"/>
  <c r="H349" i="1"/>
  <c r="W349" i="1"/>
  <c r="J299" i="1" s="1"/>
  <c r="W354" i="1"/>
  <c r="J303" i="1" s="1"/>
  <c r="W359" i="1"/>
  <c r="J307" i="1" s="1"/>
  <c r="W363" i="1"/>
  <c r="J311" i="1" s="1"/>
  <c r="H348" i="1"/>
  <c r="G349" i="1"/>
  <c r="U387" i="1"/>
  <c r="H347" i="1"/>
  <c r="G348" i="1"/>
  <c r="U386" i="1"/>
  <c r="U384" i="1"/>
  <c r="W348" i="1"/>
  <c r="J298" i="1" s="1"/>
  <c r="W350" i="1"/>
  <c r="J300" i="1" s="1"/>
  <c r="W353" i="1"/>
  <c r="J302" i="1" s="1"/>
  <c r="W355" i="1"/>
  <c r="J304" i="1" s="1"/>
  <c r="W357" i="1"/>
  <c r="J306" i="1" s="1"/>
  <c r="W360" i="1"/>
  <c r="J308" i="1" s="1"/>
  <c r="W362" i="1"/>
  <c r="J310" i="1" s="1"/>
  <c r="J296" i="1"/>
  <c r="S244" i="1"/>
  <c r="G243" i="1" s="1"/>
  <c r="R244" i="1"/>
  <c r="F243" i="1" s="1"/>
  <c r="Q244" i="1"/>
  <c r="E243" i="1" s="1"/>
  <c r="P244" i="1"/>
  <c r="D243" i="1" s="1"/>
  <c r="R142" i="1" l="1"/>
  <c r="I148" i="1" s="1"/>
  <c r="F252" i="1" l="1"/>
  <c r="E252" i="1"/>
  <c r="D252" i="1"/>
  <c r="B76" i="4" l="1"/>
  <c r="D79" i="4" s="1"/>
  <c r="C18" i="5"/>
  <c r="C12" i="5"/>
  <c r="M56" i="4"/>
  <c r="L56" i="4"/>
  <c r="M55" i="4"/>
  <c r="L55" i="4"/>
  <c r="M54" i="4"/>
  <c r="L54" i="4"/>
  <c r="M53" i="4"/>
  <c r="L53" i="4"/>
  <c r="U443" i="1"/>
  <c r="I386" i="1" s="1"/>
  <c r="T443" i="1"/>
  <c r="I30" i="8" s="1"/>
  <c r="U442" i="1"/>
  <c r="I385" i="1" s="1"/>
  <c r="T442" i="1"/>
  <c r="G30" i="8" s="1"/>
  <c r="S434" i="1"/>
  <c r="J399" i="1" s="1"/>
  <c r="R434" i="1"/>
  <c r="I399" i="1" s="1"/>
  <c r="Q434" i="1"/>
  <c r="H399" i="1" s="1"/>
  <c r="R418" i="1"/>
  <c r="Q418" i="1"/>
  <c r="E398" i="1" s="1"/>
  <c r="R417" i="1"/>
  <c r="U416" i="1"/>
  <c r="R416" i="1"/>
  <c r="V415" i="1"/>
  <c r="R415" i="1"/>
  <c r="V414" i="1"/>
  <c r="R414" i="1"/>
  <c r="V413" i="1"/>
  <c r="R413" i="1"/>
  <c r="E370" i="1"/>
  <c r="O390"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401" i="1"/>
  <c r="L401" i="1"/>
  <c r="E401" i="1"/>
  <c r="E297" i="1"/>
  <c r="M400" i="1"/>
  <c r="L400" i="1"/>
  <c r="E400" i="1"/>
  <c r="R346" i="1"/>
  <c r="Q346" i="1"/>
  <c r="D296" i="1" s="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V204" i="1"/>
  <c r="U204" i="1"/>
  <c r="S204" i="1"/>
  <c r="R204" i="1"/>
  <c r="Q204" i="1"/>
  <c r="W203" i="1"/>
  <c r="V203" i="1"/>
  <c r="U203" i="1"/>
  <c r="S203" i="1"/>
  <c r="R203" i="1"/>
  <c r="Q203" i="1"/>
  <c r="G181" i="1"/>
  <c r="F181" i="1"/>
  <c r="E181" i="1"/>
  <c r="D181" i="1"/>
  <c r="W189" i="1"/>
  <c r="V189" i="1"/>
  <c r="U189" i="1"/>
  <c r="S189" i="1"/>
  <c r="R189" i="1"/>
  <c r="Q189" i="1"/>
  <c r="W188" i="1"/>
  <c r="V188" i="1"/>
  <c r="U188" i="1"/>
  <c r="S188" i="1"/>
  <c r="R188" i="1"/>
  <c r="Q188" i="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R25" i="1"/>
  <c r="AD30" i="1" s="1"/>
  <c r="AC30" i="1" s="1"/>
  <c r="V24" i="1"/>
  <c r="R23" i="1"/>
  <c r="F22" i="1" s="1"/>
  <c r="V22" i="1"/>
  <c r="K22" i="1" s="1"/>
  <c r="R22" i="1"/>
  <c r="AD28" i="1" s="1"/>
  <c r="AC28" i="1" s="1"/>
  <c r="AD38" i="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D41" i="1" l="1"/>
  <c r="AC41" i="1" s="1"/>
  <c r="AL88" i="1"/>
  <c r="AL84" i="1"/>
  <c r="AL80" i="1"/>
  <c r="AL76" i="1"/>
  <c r="AL72" i="1"/>
  <c r="AL68" i="1"/>
  <c r="AL64" i="1"/>
  <c r="AL60" i="1"/>
  <c r="AL89" i="1"/>
  <c r="AL77" i="1"/>
  <c r="AL65" i="1"/>
  <c r="AL87" i="1"/>
  <c r="AL83" i="1"/>
  <c r="AL79" i="1"/>
  <c r="AL75" i="1"/>
  <c r="AL71" i="1"/>
  <c r="AL67" i="1"/>
  <c r="AL63" i="1"/>
  <c r="AL59" i="1"/>
  <c r="AL81" i="1"/>
  <c r="AL69" i="1"/>
  <c r="AL57" i="1"/>
  <c r="P353" i="1"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357" i="1"/>
  <c r="E306" i="1"/>
  <c r="AD74" i="1"/>
  <c r="I63" i="4"/>
  <c r="F70" i="4" s="1"/>
  <c r="C307" i="1"/>
  <c r="E63" i="4"/>
  <c r="E70" i="4" s="1"/>
  <c r="C302" i="1"/>
  <c r="V356"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346" i="1"/>
  <c r="K296" i="1" s="1"/>
  <c r="B63" i="4"/>
  <c r="C63" i="4" s="1"/>
  <c r="X348" i="1"/>
  <c r="K298" i="1" s="1"/>
  <c r="B65" i="4"/>
  <c r="C65" i="4" s="1"/>
  <c r="X349" i="1"/>
  <c r="K299" i="1" s="1"/>
  <c r="B66" i="4"/>
  <c r="C66" i="4" s="1"/>
  <c r="X353" i="1"/>
  <c r="K302" i="1" s="1"/>
  <c r="L306" i="1" s="1"/>
  <c r="F63" i="4"/>
  <c r="G63" i="4" s="1"/>
  <c r="X357" i="1"/>
  <c r="K306" i="1" s="1"/>
  <c r="F67" i="4"/>
  <c r="G67" i="4" s="1"/>
  <c r="X363" i="1"/>
  <c r="K311" i="1" s="1"/>
  <c r="J67" i="4"/>
  <c r="K67" i="4" s="1"/>
  <c r="X356" i="1"/>
  <c r="K305" i="1" s="1"/>
  <c r="F66" i="4"/>
  <c r="G66" i="4" s="1"/>
  <c r="X362" i="1"/>
  <c r="K310" i="1" s="1"/>
  <c r="J66" i="4"/>
  <c r="K66" i="4" s="1"/>
  <c r="X354" i="1"/>
  <c r="K303" i="1" s="1"/>
  <c r="F64" i="4"/>
  <c r="G64" i="4" s="1"/>
  <c r="X355" i="1"/>
  <c r="K304" i="1" s="1"/>
  <c r="F65" i="4"/>
  <c r="G65" i="4" s="1"/>
  <c r="X361" i="1"/>
  <c r="K309" i="1" s="1"/>
  <c r="J65" i="4"/>
  <c r="K65" i="4" s="1"/>
  <c r="X350" i="1"/>
  <c r="K300" i="1" s="1"/>
  <c r="B67" i="4"/>
  <c r="C67" i="4" s="1"/>
  <c r="X351" i="1"/>
  <c r="K301" i="1" s="1"/>
  <c r="B68" i="4"/>
  <c r="C68" i="4" s="1"/>
  <c r="X359" i="1"/>
  <c r="K307" i="1" s="1"/>
  <c r="L311" i="1" s="1"/>
  <c r="J63" i="4"/>
  <c r="K63" i="4" s="1"/>
  <c r="X360" i="1"/>
  <c r="K308" i="1" s="1"/>
  <c r="J64" i="4"/>
  <c r="K64" i="4" s="1"/>
  <c r="D80" i="4"/>
  <c r="F24" i="1"/>
  <c r="AD116" i="1"/>
  <c r="U254" i="1"/>
  <c r="H253" i="1" s="1"/>
  <c r="AD13" i="1"/>
  <c r="AC13" i="1" s="1"/>
  <c r="F13" i="1"/>
  <c r="K21" i="1"/>
  <c r="K23" i="1"/>
  <c r="K24" i="1"/>
  <c r="H41" i="1"/>
  <c r="F40" i="1"/>
  <c r="K40" i="1"/>
  <c r="AD70" i="1"/>
  <c r="G40" i="1"/>
  <c r="AD66" i="1"/>
  <c r="K28" i="1"/>
  <c r="W255" i="1"/>
  <c r="J254" i="1" s="1"/>
  <c r="W256" i="1"/>
  <c r="J255" i="1" s="1"/>
  <c r="F25" i="1"/>
  <c r="V347" i="1"/>
  <c r="V348" i="1"/>
  <c r="V359" i="1"/>
  <c r="C367" i="1"/>
  <c r="T384" i="1"/>
  <c r="F367" i="1" s="1"/>
  <c r="V349" i="1"/>
  <c r="V350" i="1"/>
  <c r="V353" i="1"/>
  <c r="V354" i="1"/>
  <c r="V360" i="1"/>
  <c r="I308" i="1" s="1"/>
  <c r="V361" i="1"/>
  <c r="V362" i="1"/>
  <c r="V363" i="1"/>
  <c r="V442" i="1"/>
  <c r="J385" i="1" s="1"/>
  <c r="F26" i="1"/>
  <c r="V355" i="1"/>
  <c r="C370" i="1"/>
  <c r="T387" i="1"/>
  <c r="F370" i="1" s="1"/>
  <c r="AD9" i="1"/>
  <c r="AC9" i="1" s="1"/>
  <c r="K29" i="1"/>
  <c r="X347" i="1"/>
  <c r="K297" i="1" s="1"/>
  <c r="V351" i="1"/>
  <c r="C369" i="1"/>
  <c r="T386" i="1"/>
  <c r="F369" i="1" s="1"/>
  <c r="V443" i="1"/>
  <c r="J386" i="1" s="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G370" i="1"/>
  <c r="AD23" i="1"/>
  <c r="AC23" i="1" s="1"/>
  <c r="F18" i="1"/>
  <c r="E155" i="1"/>
  <c r="E174" i="1"/>
  <c r="E176" i="1"/>
  <c r="K10" i="1"/>
  <c r="F17" i="1"/>
  <c r="L41" i="1"/>
  <c r="F351" i="1"/>
  <c r="A75" i="4" l="1"/>
  <c r="D78" i="4" s="1"/>
  <c r="Q367" i="1"/>
  <c r="E343" i="1" s="1"/>
  <c r="P346" i="1"/>
  <c r="Q382" i="1"/>
  <c r="D364" i="1" s="1"/>
  <c r="J343" i="1"/>
  <c r="D75" i="4"/>
  <c r="E78" i="4" s="1"/>
  <c r="R385" i="1"/>
  <c r="E350" i="1"/>
  <c r="D68" i="4"/>
  <c r="I301" i="1"/>
  <c r="L65" i="4"/>
  <c r="I309" i="1"/>
  <c r="D67" i="4"/>
  <c r="I300" i="1"/>
  <c r="L63" i="4"/>
  <c r="I307" i="1"/>
  <c r="H67" i="4"/>
  <c r="I306" i="1"/>
  <c r="D63" i="4"/>
  <c r="I296" i="1"/>
  <c r="D66" i="4"/>
  <c r="I299" i="1"/>
  <c r="D65" i="4"/>
  <c r="I298" i="1"/>
  <c r="S385"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43" i="1"/>
  <c r="K386" i="1" s="1"/>
  <c r="X442" i="1"/>
  <c r="K385" i="1" s="1"/>
  <c r="D352" i="1"/>
  <c r="T245" i="1"/>
  <c r="H244" i="1" s="1"/>
  <c r="Y238" i="1"/>
  <c r="L237" i="1" s="1"/>
  <c r="P246" i="1"/>
  <c r="D245" i="1" s="1"/>
  <c r="U245" i="1"/>
  <c r="I244" i="1" s="1"/>
  <c r="H351" i="1"/>
  <c r="G351" i="1"/>
  <c r="F352" i="1"/>
  <c r="E71" i="4" l="1"/>
  <c r="C296" i="1"/>
  <c r="A63" i="4"/>
  <c r="D70" i="4" s="1"/>
  <c r="G75" i="4"/>
  <c r="F78" i="4" s="1"/>
  <c r="X268" i="1" s="1"/>
  <c r="E73" i="4"/>
  <c r="D73" i="4"/>
  <c r="D71" i="4"/>
  <c r="F73" i="4"/>
  <c r="E72" i="4"/>
  <c r="F72" i="4"/>
  <c r="D72" i="4"/>
  <c r="U385" i="1"/>
  <c r="G368" i="1" s="1"/>
  <c r="H350" i="1"/>
  <c r="H353" i="1" s="1"/>
  <c r="T385" i="1"/>
  <c r="G350" i="1"/>
  <c r="F260" i="1"/>
  <c r="F259" i="1"/>
  <c r="X244" i="1"/>
  <c r="K243" i="1" s="1"/>
  <c r="K242" i="1"/>
  <c r="E260" i="1"/>
  <c r="E259" i="1"/>
  <c r="D260" i="1"/>
  <c r="D259" i="1"/>
  <c r="F71" i="4"/>
  <c r="U272" i="1" s="1"/>
  <c r="H271" i="1" s="1"/>
  <c r="V244" i="1"/>
  <c r="J243" i="1" s="1"/>
  <c r="V243" i="1"/>
  <c r="J242" i="1" s="1"/>
  <c r="Y243" i="1"/>
  <c r="L242" i="1" s="1"/>
  <c r="G352" i="1"/>
  <c r="AD86" i="1"/>
  <c r="AD87" i="1"/>
  <c r="C84" i="4" l="1"/>
  <c r="A84" i="4"/>
  <c r="E84" i="4"/>
  <c r="F84" i="4"/>
  <c r="X270" i="1" s="1"/>
  <c r="B84" i="4"/>
  <c r="U270" i="1"/>
  <c r="H269" i="1" s="1"/>
  <c r="U269" i="1"/>
  <c r="H268" i="1" s="1"/>
  <c r="U271" i="1"/>
  <c r="H270" i="1" s="1"/>
  <c r="V245" i="1"/>
  <c r="B82" i="4"/>
  <c r="K267" i="1"/>
  <c r="Y244" i="1"/>
  <c r="L243" i="1" s="1"/>
  <c r="T388" i="1"/>
  <c r="F371" i="1" s="1"/>
  <c r="I366" i="1" s="1"/>
  <c r="F368" i="1"/>
  <c r="U273" i="1" l="1"/>
  <c r="H272" i="1" s="1"/>
  <c r="V246" i="1"/>
  <c r="J245" i="1" s="1"/>
  <c r="J244" i="1"/>
  <c r="K269" i="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<sst xmlns="http://schemas.openxmlformats.org/spreadsheetml/2006/main" count="1904" uniqueCount="646">
  <si>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</si>
  <si>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</si>
  <si>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</si>
  <si>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</si>
  <si>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</si>
  <si>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</si>
  <si>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</si>
  <si>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</si>
  <si>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</si>
  <si>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</si>
  <si>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</si>
  <si>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</si>
  <si>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</si>
  <si>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</si>
  <si>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</si>
  <si>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</si>
  <si>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</si>
  <si>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</si>
  <si>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</si>
  <si>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</si>
  <si>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</si>
  <si>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</si>
  <si>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</si>
  <si>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</si>
  <si>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</si>
  <si>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</si>
  <si>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</si>
  <si>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</si>
  <si>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</si>
  <si>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</si>
  <si>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</si>
  <si>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</si>
  <si>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</si>
  <si>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</si>
  <si>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</si>
  <si>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</si>
  <si>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</si>
  <si>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</si>
  <si>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</si>
  <si>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</si>
  <si>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</si>
  <si>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</si>
  <si>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</si>
  <si>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</si>
  <si>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</si>
  <si>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</si>
  <si>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</si>
  <si>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</si>
  <si>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</si>
  <si>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</si>
  <si>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</si>
  <si>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</si>
  <si>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</si>
  <si>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</si>
  <si>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</si>
  <si>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</si>
  <si>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</si>
  <si>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</si>
  <si>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</si>
  <si>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</si>
  <si>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</si>
  <si>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</si>
  <si>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</si>
  <si>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</si>
  <si>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</si>
  <si>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</si>
  <si>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</si>
  <si>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</si>
  <si>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</si>
  <si>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</si>
  <si>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</si>
  <si>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</si>
  <si>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</si>
  <si>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</si>
  <si>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</si>
  <si>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</si>
  <si>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</si>
  <si>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</si>
  <si>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</si>
  <si>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</si>
  <si>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</si>
  <si>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</si>
  <si>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</si>
  <si>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</si>
  <si>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</si>
  <si>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</si>
  <si>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</si>
  <si>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</si>
  <si>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</si>
  <si>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</si>
  <si>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</si>
  <si>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</si>
  <si>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</si>
  <si>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</si>
  <si>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</si>
  <si>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</si>
  <si>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</si>
  <si>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</si>
  <si>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</si>
  <si>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</si>
  <si>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</si>
  <si>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</si>
  <si>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</si>
  <si>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</si>
  <si>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</si>
  <si>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</si>
  <si>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</si>
  <si>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</si>
  <si>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</si>
  <si>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</si>
  <si>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</si>
  <si>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</si>
  <si>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</si>
  <si>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</si>
  <si>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</si>
  <si>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</si>
  <si>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</si>
  <si>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</si>
  <si>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</si>
  <si>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</si>
  <si>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</si>
  <si>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</si>
  <si>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</si>
  <si>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</si>
  <si>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</si>
  <si>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</si>
  <si>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</si>
  <si>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</si>
  <si>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</si>
  <si>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</si>
  <si>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</si>
  <si>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</si>
  <si>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</si>
  <si>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</si>
  <si>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</si>
  <si>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</si>
  <si>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</si>
  <si>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</si>
  <si>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</si>
  <si>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</si>
  <si>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</si>
  <si>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</si>
  <si>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</si>
  <si>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</si>
  <si>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</si>
  <si>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</si>
  <si>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</si>
  <si>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</si>
  <si>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</si>
  <si>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</si>
  <si>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</si>
  <si>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</si>
  <si>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</si>
  <si>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</si>
  <si>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</si>
  <si>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</si>
  <si>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</si>
  <si>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</si>
  <si>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</si>
  <si>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</si>
  <si>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</si>
  <si>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</si>
  <si>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</si>
  <si>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</si>
  <si>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</si>
  <si>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</si>
  <si>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</si>
  <si>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</si>
  <si>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</si>
  <si>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</si>
  <si>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</si>
  <si>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</si>
  <si>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</si>
  <si>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</si>
  <si>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</si>
  <si>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</si>
  <si>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</si>
  <si>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</si>
  <si>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</si>
  <si>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</si>
  <si>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</si>
  <si>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</si>
  <si>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</si>
  <si>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</si>
  <si>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</si>
  <si>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</si>
  <si>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</si>
  <si>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</si>
  <si>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</si>
  <si>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</si>
  <si>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</si>
  <si>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</si>
  <si>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</si>
  <si>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</si>
  <si>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</si>
  <si>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</si>
  <si>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</si>
  <si>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</si>
  <si>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</si>
  <si>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</si>
  <si>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</si>
  <si>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</si>
  <si>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</si>
  <si>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</si>
  <si>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</si>
  <si>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</si>
  <si>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</si>
  <si>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</si>
  <si>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</si>
  <si>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</si>
  <si>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</si>
  <si>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</si>
  <si>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</si>
  <si>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</si>
  <si>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</si>
  <si>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</si>
  <si>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</si>
  <si>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</si>
  <si>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</si>
  <si>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</si>
  <si>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</si>
  <si>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</si>
  <si>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</si>
  <si>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</si>
  <si>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</si>
  <si>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</si>
  <si>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</si>
  <si>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</si>
  <si>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</si>
  <si>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</si>
  <si>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</si>
  <si>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</si>
  <si>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</si>
  <si>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</si>
  <si>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</si>
  <si>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</si>
  <si>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</si>
  <si>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</si>
  <si>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</si>
  <si>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</si>
  <si>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</si>
  <si>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</si>
  <si>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</si>
  <si>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</si>
  <si>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</si>
  <si>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</si>
  <si>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</si>
  <si>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</si>
  <si>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</si>
  <si>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</si>
  <si>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</si>
  <si>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</si>
  <si>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</si>
  <si>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</si>
  <si>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</si>
  <si>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</si>
  <si>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</si>
  <si>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</si>
  <si>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</si>
  <si>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</si>
  <si>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</si>
  <si>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</si>
  <si>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</si>
  <si>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</si>
  <si>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</si>
  <si>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</si>
  <si>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</si>
  <si>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</si>
  <si>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</si>
  <si>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</si>
  <si>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</si>
  <si>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</si>
  <si>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</si>
  <si>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</si>
  <si>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</si>
  <si>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</si>
  <si>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</si>
  <si>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</si>
  <si>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</si>
  <si>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</si>
  <si>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</si>
  <si>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</si>
  <si>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</si>
  <si>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</si>
  <si>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</si>
  <si>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</si>
  <si>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</si>
  <si>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</si>
  <si>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</si>
  <si>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</si>
  <si>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</si>
  <si>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</si>
  <si>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</si>
  <si>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</si>
  <si>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</si>
  <si>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</si>
  <si>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</si>
  <si>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</si>
  <si>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</si>
  <si>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</si>
  <si>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</si>
  <si>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</si>
  <si>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</si>
  <si>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</si>
  <si>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</si>
  <si>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</si>
  <si>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</si>
  <si>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</si>
  <si>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</si>
  <si>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</si>
  <si>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</si>
  <si>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</si>
  <si>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</si>
  <si>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</si>
  <si>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</si>
  <si>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</si>
  <si>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</si>
  <si>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</si>
  <si>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</si>
  <si>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</si>
  <si>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</si>
  <si>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</si>
  <si>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</si>
  <si>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</si>
  <si>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</si>
  <si>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</si>
  <si>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</si>
  <si>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</si>
  <si>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</si>
  <si>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</si>
  <si>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</si>
  <si>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</si>
  <si>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</si>
  <si>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</si>
  <si>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</si>
  <si>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</si>
  <si>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</si>
  <si>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</si>
  <si>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</si>
  <si>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</si>
  <si>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</si>
  <si>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</si>
  <si>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</si>
  <si>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</si>
  <si>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</si>
  <si>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</si>
  <si>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</si>
  <si>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</si>
  <si>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</si>
  <si>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</si>
  <si>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</si>
  <si>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</si>
  <si>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</si>
  <si>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</si>
  <si>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</si>
  <si>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</si>
  <si>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</si>
  <si>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</si>
  <si>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</si>
  <si>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</si>
  <si>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</si>
  <si>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</si>
  <si>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</si>
  <si>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</si>
  <si>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</si>
  <si>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</si>
  <si>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</si>
  <si>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</si>
  <si>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</si>
  <si>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</si>
  <si>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</si>
  <si>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</si>
  <si>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</si>
  <si>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</si>
  <si>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</si>
  <si>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</si>
  <si>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</si>
  <si>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</si>
  <si>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</si>
  <si>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</si>
  <si>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</si>
  <si>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</si>
  <si>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</si>
  <si>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</si>
  <si>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</si>
  <si>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</si>
  <si>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</si>
  <si>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</si>
  <si>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</si>
  <si>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</si>
  <si>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</si>
  <si>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</si>
  <si>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</si>
  <si>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</si>
  <si>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</si>
  <si>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</si>
  <si>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</si>
  <si>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</si>
  <si>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</si>
  <si>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</si>
  <si>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</si>
  <si>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</si>
  <si>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</si>
  <si>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</si>
  <si>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</si>
  <si>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</si>
  <si>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</si>
  <si>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</si>
  <si>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</si>
  <si>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</si>
  <si>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</si>
  <si>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</si>
  <si>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</si>
  <si>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</si>
  <si>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</si>
  <si>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</si>
  <si>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</si>
  <si>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</si>
  <si>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</si>
  <si>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</si>
  <si>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</si>
  <si>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</si>
  <si>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</si>
  <si>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</si>
  <si>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</si>
  <si>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</si>
  <si>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</si>
  <si>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</si>
  <si>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</si>
  <si>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</si>
  <si>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</si>
  <si>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</si>
  <si>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</si>
  <si>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</si>
  <si>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</si>
  <si>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</si>
  <si>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</si>
  <si>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</si>
  <si>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</si>
  <si>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</si>
  <si>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</si>
  <si>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</si>
  <si>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</si>
  <si>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</si>
  <si>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</si>
  <si>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</si>
  <si>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</si>
  <si>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</si>
  <si>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</si>
  <si>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</si>
  <si>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</si>
  <si>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</si>
  <si>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</si>
  <si>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</si>
  <si>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</si>
  <si>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</si>
  <si>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</si>
  <si>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</si>
  <si>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</si>
  <si>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</si>
  <si>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</si>
  <si>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</si>
  <si>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</si>
  <si>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</si>
  <si>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</si>
  <si>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</si>
  <si>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</si>
  <si>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</si>
  <si>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</si>
  <si>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</si>
  <si>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</si>
  <si>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</si>
  <si>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</si>
  <si>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</si>
  <si>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</si>
  <si>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</si>
  <si>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</si>
  <si>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</si>
  <si>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</si>
  <si>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</si>
  <si>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</si>
  <si>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</si>
  <si>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</si>
  <si>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</si>
  <si>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</si>
  <si>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</si>
  <si>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</si>
  <si>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</si>
  <si>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</si>
  <si>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</si>
  <si>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</si>
  <si>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</si>
  <si>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</si>
  <si>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</si>
  <si>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</si>
  <si>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</si>
  <si>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</si>
  <si>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</si>
  <si>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</si>
  <si>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</si>
  <si>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</si>
  <si>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</si>
  <si>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</si>
  <si>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</si>
  <si>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</si>
  <si>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</si>
  <si>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</si>
  <si>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</si>
  <si>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</si>
  <si>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</si>
  <si>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</si>
  <si>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</si>
  <si>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</si>
  <si>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</si>
  <si>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</si>
  <si>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</si>
  <si>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</si>
  <si>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</si>
  <si>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</si>
  <si>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</si>
  <si>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</si>
  <si>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</si>
  <si>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</si>
  <si>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</si>
  <si>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</si>
  <si>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</si>
  <si>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</si>
  <si>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</si>
  <si>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</si>
  <si>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</si>
  <si>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</si>
  <si>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</si>
  <si>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</si>
  <si>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</si>
  <si>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</si>
  <si>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</si>
  <si>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</si>
  <si>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</si>
  <si>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</si>
  <si>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</si>
  <si>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</si>
  <si>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</si>
  <si>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</si>
  <si>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</si>
  <si>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</si>
  <si>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</si>
  <si>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</si>
  <si>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</si>
  <si>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</si>
  <si>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</si>
  <si>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</si>
  <si>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</si>
  <si>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</si>
  <si>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</si>
  <si>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</si>
  <si>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</si>
  <si>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</si>
  <si>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</si>
  <si>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</si>
  <si>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</si>
  <si>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</si>
  <si>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</si>
  <si>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</si>
  <si>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</si>
  <si>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</si>
  <si>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</si>
  <si>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</si>
  <si>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</si>
  <si>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</si>
  <si>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</si>
  <si>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</si>
  <si>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</si>
  <si>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</si>
  <si>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</si>
  <si>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</si>
  <si>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</si>
  <si>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</si>
  <si>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</si>
  <si>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</si>
  <si>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</si>
  <si>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</si>
  <si>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</si>
  <si>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</si>
  <si>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</si>
  <si>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</si>
  <si>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</si>
  <si>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</si>
  <si>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</si>
  <si>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Mean Glandular Dose - 3D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</si>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</sst>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6">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s>
  <borders count="164">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medium">
        <color rgb="FF000000"/>
      </left>
      <right style="thin">
        <color indexed="64"/>
      </right>
      <top style="thin">
        <color indexed="64"/>
      </top>
      <bottom style="medium">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6" borderId="73">
      <alignment horizontal="left" vertical="center"/>
      <protection locked="0"/>
    </xf>
    <xf numFmtId="0" fontId="23" fillId="0" borderId="0"/>
    <xf numFmtId="0" fontId="28" fillId="0" borderId="0">
      <alignment vertical="top"/>
    </xf>
  </cellStyleXfs>
  <cellXfs count="853">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2"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1" xfId="0" applyFont="1" applyBorder="1" applyAlignment="1">
      <alignment horizontal="right"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3" xfId="9" applyNumberFormat="1"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5" borderId="128" xfId="9" applyNumberFormat="1" applyFont="1" applyFill="1" applyBorder="1" applyAlignment="1">
      <alignment horizontal="center" vertical="center"/>
    </xf>
    <xf numFmtId="10" fontId="7" fillId="15"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5"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8"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8"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8" borderId="0" xfId="12" applyFont="1" applyFill="1" applyBorder="1" applyAlignment="1">
      <alignment horizontal="left" wrapText="1"/>
    </xf>
    <xf numFmtId="0" fontId="43" fillId="18" borderId="0" xfId="12" applyFont="1" applyFill="1" applyBorder="1" applyAlignment="1">
      <alignment horizontal="left"/>
    </xf>
    <xf numFmtId="0" fontId="44" fillId="18" borderId="0" xfId="12" applyFont="1" applyFill="1" applyBorder="1" applyAlignment="1">
      <alignment horizontal="center" wrapText="1"/>
    </xf>
    <xf numFmtId="2" fontId="45" fillId="19" borderId="0" xfId="12" applyNumberFormat="1" applyFont="1" applyFill="1" applyAlignment="1"/>
    <xf numFmtId="0" fontId="44" fillId="18" borderId="0" xfId="12" applyFont="1" applyFill="1" applyBorder="1" applyAlignment="1"/>
    <xf numFmtId="0" fontId="43" fillId="18"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56" xfId="0" applyFont="1" applyFill="1" applyBorder="1" applyAlignment="1">
      <alignment horizontal="center" vertical="center"/>
    </xf>
    <xf numFmtId="0" fontId="7" fillId="20" borderId="42" xfId="0" applyFont="1" applyFill="1" applyBorder="1" applyAlignment="1">
      <alignment horizontal="center" vertical="center"/>
    </xf>
    <xf numFmtId="164" fontId="7" fillId="20" borderId="42" xfId="0" applyNumberFormat="1" applyFont="1" applyFill="1" applyBorder="1" applyAlignment="1">
      <alignment horizontal="center" vertical="center"/>
    </xf>
    <xf numFmtId="2" fontId="7" fillId="20"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2" fontId="7" fillId="21" borderId="38"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2" borderId="54" xfId="0" applyFont="1" applyFill="1" applyBorder="1" applyAlignment="1">
      <alignment horizontal="center" vertical="center"/>
    </xf>
    <xf numFmtId="0" fontId="7" fillId="22" borderId="11" xfId="0" applyFont="1" applyFill="1" applyBorder="1" applyAlignment="1">
      <alignment horizontal="center" vertical="center"/>
    </xf>
    <xf numFmtId="164" fontId="7" fillId="22" borderId="11" xfId="0" applyNumberFormat="1" applyFont="1" applyFill="1" applyBorder="1" applyAlignment="1">
      <alignment horizontal="center" vertical="center"/>
    </xf>
    <xf numFmtId="0" fontId="7" fillId="22" borderId="38" xfId="0" applyFont="1" applyFill="1" applyBorder="1" applyAlignment="1">
      <alignment horizontal="center" vertical="center"/>
    </xf>
    <xf numFmtId="0" fontId="7" fillId="22" borderId="56" xfId="0" applyFont="1" applyFill="1" applyBorder="1" applyAlignment="1">
      <alignment horizontal="center" vertical="center"/>
    </xf>
    <xf numFmtId="0" fontId="7" fillId="22" borderId="42" xfId="0" applyFont="1" applyFill="1" applyBorder="1" applyAlignment="1">
      <alignment horizontal="center" vertical="center"/>
    </xf>
    <xf numFmtId="164" fontId="7" fillId="22" borderId="42" xfId="0" applyNumberFormat="1" applyFont="1" applyFill="1" applyBorder="1" applyAlignment="1">
      <alignment horizontal="center" vertical="center"/>
    </xf>
    <xf numFmtId="0" fontId="7" fillId="22" borderId="43" xfId="0" applyFont="1" applyFill="1" applyBorder="1" applyAlignment="1">
      <alignment horizontal="center" vertical="center"/>
    </xf>
    <xf numFmtId="0" fontId="0" fillId="0" borderId="73" xfId="0" applyBorder="1">
      <alignment vertical="top"/>
    </xf>
    <xf numFmtId="0" fontId="0" fillId="0" borderId="82" xfId="0" applyBorder="1">
      <alignment vertical="top"/>
    </xf>
    <xf numFmtId="0" fontId="0" fillId="0" borderId="80" xfId="0" applyBorder="1">
      <alignment vertical="top"/>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7"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95" xfId="0" applyFont="1" applyBorder="1" applyAlignment="1">
      <alignment horizontal="center" vertical="top"/>
    </xf>
    <xf numFmtId="0" fontId="7" fillId="0" borderId="84" xfId="0" applyFont="1" applyBorder="1" applyAlignment="1">
      <alignment horizontal="center" vertical="top"/>
    </xf>
    <xf numFmtId="0" fontId="7" fillId="0" borderId="73" xfId="0" applyFont="1" applyFill="1" applyBorder="1" applyAlignment="1" applyProtection="1">
      <alignment horizontal="center" vertical="center"/>
      <protection locked="0"/>
    </xf>
    <xf numFmtId="0" fontId="7" fillId="0" borderId="85" xfId="0" applyFont="1" applyFill="1" applyBorder="1" applyAlignment="1" applyProtection="1">
      <alignment horizontal="center" vertical="center"/>
      <protection locked="0"/>
    </xf>
    <xf numFmtId="0" fontId="7" fillId="0" borderId="73" xfId="0" applyFont="1" applyBorder="1" applyAlignment="1">
      <alignment horizontal="center" vertical="top"/>
    </xf>
    <xf numFmtId="167" fontId="7" fillId="0" borderId="73" xfId="0" applyNumberFormat="1" applyFont="1" applyFill="1" applyBorder="1" applyAlignment="1">
      <alignment horizontal="center" vertical="center"/>
    </xf>
    <xf numFmtId="167" fontId="7" fillId="0" borderId="85" xfId="0" applyNumberFormat="1" applyFont="1" applyFill="1" applyBorder="1" applyAlignment="1">
      <alignment horizontal="center" vertical="center"/>
    </xf>
    <xf numFmtId="167" fontId="7" fillId="0" borderId="73" xfId="0" applyNumberFormat="1" applyFont="1" applyFill="1" applyBorder="1" applyAlignment="1" applyProtection="1">
      <alignment horizontal="center" vertical="center"/>
      <protection locked="0"/>
    </xf>
    <xf numFmtId="167" fontId="7" fillId="0" borderId="85" xfId="0" applyNumberFormat="1" applyFont="1" applyFill="1" applyBorder="1" applyAlignment="1" applyProtection="1">
      <alignment horizontal="center" vertical="center"/>
      <protection locked="0"/>
    </xf>
    <xf numFmtId="0" fontId="7" fillId="0" borderId="85"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87" xfId="0" applyFont="1" applyBorder="1" applyAlignment="1">
      <alignment vertical="center"/>
    </xf>
    <xf numFmtId="0" fontId="7" fillId="0" borderId="88" xfId="0" applyFont="1" applyBorder="1" applyAlignment="1">
      <alignment vertical="center"/>
    </xf>
    <xf numFmtId="0" fontId="7" fillId="0" borderId="94" xfId="0" applyFont="1" applyBorder="1" applyAlignment="1">
      <alignment vertical="center"/>
    </xf>
    <xf numFmtId="0" fontId="7" fillId="0" borderId="84" xfId="0" applyFont="1" applyBorder="1" applyAlignment="1" applyProtection="1">
      <alignment horizontal="center" vertical="center"/>
      <protection locked="0"/>
    </xf>
    <xf numFmtId="0" fontId="7" fillId="0" borderId="86" xfId="0" applyFont="1" applyBorder="1" applyAlignment="1">
      <alignment vertical="center"/>
    </xf>
    <xf numFmtId="0" fontId="7" fillId="0" borderId="114" xfId="0" applyFont="1" applyBorder="1" applyAlignment="1">
      <alignment vertical="center"/>
    </xf>
    <xf numFmtId="0" fontId="7" fillId="0" borderId="123" xfId="0" applyFont="1" applyBorder="1" applyAlignment="1">
      <alignment vertical="center"/>
    </xf>
    <xf numFmtId="0" fontId="7" fillId="0" borderId="97" xfId="0" applyFont="1" applyBorder="1" applyAlignment="1">
      <alignment vertical="center"/>
    </xf>
    <xf numFmtId="0" fontId="7" fillId="0" borderId="114" xfId="0" applyFont="1" applyFill="1" applyBorder="1" applyAlignment="1">
      <alignment vertical="center"/>
    </xf>
    <xf numFmtId="0" fontId="7" fillId="0" borderId="123" xfId="0" applyFont="1" applyFill="1" applyBorder="1" applyAlignment="1">
      <alignment vertical="center"/>
    </xf>
    <xf numFmtId="0" fontId="7" fillId="0" borderId="97" xfId="0" applyFont="1" applyFill="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0" borderId="84" xfId="0" applyFont="1" applyBorder="1" applyAlignment="1">
      <alignment vertical="center"/>
    </xf>
    <xf numFmtId="0" fontId="7" fillId="0" borderId="73" xfId="0" applyFont="1" applyBorder="1" applyAlignment="1">
      <alignment vertical="center"/>
    </xf>
    <xf numFmtId="0" fontId="7" fillId="0" borderId="85" xfId="0" applyFont="1" applyBorder="1" applyAlignment="1">
      <alignment vertical="center"/>
    </xf>
    <xf numFmtId="0" fontId="7" fillId="24" borderId="73" xfId="0" applyFont="1" applyFill="1" applyBorder="1" applyAlignment="1">
      <alignment horizontal="center" vertical="center"/>
    </xf>
    <xf numFmtId="0" fontId="7" fillId="24"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8" borderId="81" xfId="11" applyFont="1" applyFill="1" applyBorder="1" applyAlignment="1">
      <alignment horizontal="center"/>
    </xf>
    <xf numFmtId="0" fontId="33" fillId="18" borderId="92" xfId="11" applyFont="1" applyFill="1" applyBorder="1" applyAlignment="1">
      <alignment horizontal="center"/>
    </xf>
    <xf numFmtId="0" fontId="33" fillId="18"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38" fillId="0" borderId="0" xfId="11" applyFont="1" applyAlignment="1">
      <alignment horizontal="center"/>
    </xf>
    <xf numFmtId="0" fontId="23" fillId="18" borderId="81" xfId="11" applyFont="1" applyFill="1" applyBorder="1" applyAlignment="1">
      <alignment horizontal="center"/>
    </xf>
    <xf numFmtId="0" fontId="23" fillId="18" borderId="92" xfId="11" applyFont="1" applyFill="1" applyBorder="1" applyAlignment="1">
      <alignment horizontal="center"/>
    </xf>
    <xf numFmtId="0" fontId="23" fillId="18"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8" borderId="81" xfId="11" applyNumberFormat="1" applyFont="1" applyFill="1" applyBorder="1" applyAlignment="1">
      <alignment horizontal="center"/>
    </xf>
    <xf numFmtId="175" fontId="23" fillId="18" borderId="92" xfId="11" applyNumberFormat="1" applyFont="1" applyFill="1" applyBorder="1" applyAlignment="1">
      <alignment horizontal="center"/>
    </xf>
    <xf numFmtId="175" fontId="23" fillId="18"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8" borderId="81" xfId="11" applyNumberFormat="1" applyFont="1" applyFill="1" applyBorder="1" applyAlignment="1">
      <alignment horizontal="center"/>
    </xf>
    <xf numFmtId="173" fontId="23" fillId="18" borderId="92" xfId="11" applyNumberFormat="1" applyFont="1" applyFill="1" applyBorder="1" applyAlignment="1">
      <alignment horizontal="center"/>
    </xf>
    <xf numFmtId="173" fontId="23" fillId="18" borderId="142" xfId="11" applyNumberFormat="1" applyFont="1" applyFill="1" applyBorder="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8"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9" borderId="81" xfId="11" applyNumberFormat="1" applyFont="1" applyFill="1" applyBorder="1" applyAlignment="1">
      <alignment horizontal="center"/>
    </xf>
    <xf numFmtId="0" fontId="26" fillId="19" borderId="142" xfId="11" applyNumberFormat="1" applyFont="1" applyFill="1" applyBorder="1" applyAlignment="1">
      <alignment horizontal="center"/>
    </xf>
    <xf numFmtId="0" fontId="31" fillId="0" borderId="0" xfId="11" applyFont="1" applyAlignment="1">
      <alignment horizont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41"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xf numFmtId="0" fontId="7" fillId="23" borderId="84" xfId="0" applyFont="1" applyFill="1" applyBorder="1" applyAlignment="1">
      <alignment vertical="center"/>
    </xf>
    <xf numFmtId="0" fontId="7" fillId="23" borderId="85" xfId="0" applyFont="1" applyFill="1" applyBorder="1" applyAlignment="1">
      <alignment vertical="center"/>
    </xf>
    <xf numFmtId="0" fontId="7" fillId="23" borderId="86" xfId="0" applyFont="1" applyFill="1" applyBorder="1" applyAlignment="1">
      <alignment vertical="center"/>
    </xf>
    <xf numFmtId="0" fontId="7" fillId="23" borderId="88" xfId="0" applyFont="1" applyFill="1" applyBorder="1" applyAlignment="1">
      <alignment vertical="center"/>
    </xf>
    <xf numFmtId="0" fontId="7" fillId="23" borderId="95" xfId="0" applyFont="1" applyFill="1" applyBorder="1" applyAlignment="1">
      <alignment vertical="center"/>
    </xf>
    <xf numFmtId="0" fontId="7" fillId="25" borderId="73" xfId="0" applyFont="1" applyFill="1" applyBorder="1" applyAlignment="1">
      <alignment horizontal="center" vertical="center"/>
    </xf>
    <xf numFmtId="0" fontId="7" fillId="25" borderId="85" xfId="0" applyFont="1" applyFill="1" applyBorder="1" applyAlignment="1">
      <alignment horizontal="center" vertical="center"/>
    </xf>
    <xf numFmtId="0" fontId="7" fillId="23" borderId="73" xfId="0" applyFont="1" applyFill="1" applyBorder="1" applyAlignment="1">
      <alignment vertical="center"/>
    </xf>
    <xf numFmtId="0" fontId="7" fillId="23" borderId="87" xfId="0" applyFont="1" applyFill="1" applyBorder="1" applyAlignment="1">
      <alignment vertical="center"/>
    </xf>
    <xf numFmtId="0" fontId="7" fillId="0" borderId="0" xfId="0" applyFont="1" applyBorder="1" applyAlignment="1">
      <alignment horizontal="center" vertical="center"/>
    </xf>
    <xf numFmtId="0" fontId="7" fillId="0" borderId="155" xfId="0" applyFont="1" applyBorder="1" applyAlignment="1">
      <alignment horizontal="right" vertical="center"/>
    </xf>
    <xf numFmtId="0" fontId="7" fillId="8" borderId="156" xfId="0" applyFont="1" applyFill="1" applyBorder="1" applyAlignment="1">
      <alignment horizontal="center"/>
    </xf>
    <xf numFmtId="0" fontId="7" fillId="0" borderId="157" xfId="0" applyFont="1" applyBorder="1" applyAlignment="1">
      <alignment vertical="center"/>
    </xf>
    <xf numFmtId="0" fontId="7" fillId="0" borderId="158" xfId="0" applyFont="1" applyBorder="1" applyAlignment="1">
      <alignment vertical="center"/>
    </xf>
    <xf numFmtId="0" fontId="7" fillId="0" borderId="157" xfId="0" applyFont="1" applyBorder="1" applyAlignment="1">
      <alignment horizontal="center" vertical="center"/>
    </xf>
    <xf numFmtId="0" fontId="7" fillId="24" borderId="158" xfId="0" applyFont="1" applyFill="1" applyBorder="1" applyAlignment="1">
      <alignment horizontal="center" vertical="center"/>
    </xf>
    <xf numFmtId="0" fontId="7" fillId="0" borderId="159" xfId="0" applyFont="1" applyBorder="1" applyAlignment="1">
      <alignment horizontal="center" vertical="center"/>
    </xf>
    <xf numFmtId="0" fontId="7" fillId="24" borderId="160" xfId="0" applyFont="1" applyFill="1" applyBorder="1" applyAlignment="1">
      <alignment horizontal="center" vertical="center"/>
    </xf>
    <xf numFmtId="0" fontId="7" fillId="0" borderId="155" xfId="0" applyFont="1" applyBorder="1" applyAlignment="1">
      <alignment vertical="center"/>
    </xf>
    <xf numFmtId="0" fontId="7" fillId="0" borderId="161" xfId="0" applyFont="1" applyBorder="1" applyAlignment="1">
      <alignment horizontal="center" vertical="center"/>
    </xf>
    <xf numFmtId="0" fontId="7" fillId="0" borderId="162" xfId="0" applyFont="1" applyBorder="1" applyAlignment="1">
      <alignment horizontal="center" vertical="center"/>
    </xf>
    <xf numFmtId="0" fontId="7" fillId="0" borderId="163" xfId="0" applyFont="1" applyBorder="1" applyAlignment="1">
      <alignment horizontal="center" vertical="center"/>
    </xf>
    <xf numFmtId="0" fontId="7" fillId="0" borderId="156" xfId="0" applyFont="1" applyBorder="1" applyAlignment="1">
      <alignment horizontal="center" vertical="center"/>
    </xf>
    <xf numFmtId="0" fontId="7" fillId="23" borderId="158" xfId="0" applyFont="1" applyFill="1" applyBorder="1" applyAlignment="1">
      <alignment vertical="center"/>
    </xf>
    <xf numFmtId="0" fontId="7" fillId="23" borderId="160" xfId="0" applyFont="1" applyFill="1" applyBorder="1" applyAlignment="1">
      <alignment vertical="center"/>
    </xf>
    <xf numFmtId="0" fontId="0" fillId="0" borderId="0" xfId="0" applyBorder="1">
      <alignment vertical="top"/>
    </xf>
    <xf numFmtId="0" fontId="0" fillId="0" borderId="10" xfId="0" applyBorder="1">
      <alignment vertical="top"/>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8">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Mo/Mo</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Mo/Rh</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28</c:v>
                </c:pt>
                <c:pt idx="1">
                  <c:v>30</c:v>
                </c:pt>
                <c:pt idx="2">
                  <c:v>32</c:v>
                </c:pt>
                <c:pt idx="3">
                  <c:v>34</c:v>
                </c:pt>
                <c:pt idx="4">
                  <c:v>36</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W/Rh</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28</c:v>
                </c:pt>
                <c:pt idx="1">
                  <c:v>30</c:v>
                </c:pt>
                <c:pt idx="2">
                  <c:v>32</c:v>
                </c:pt>
                <c:pt idx="3">
                  <c:v>34</c:v>
                </c:pt>
                <c:pt idx="4">
                  <c:v>38</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209870416"/>
        <c:axId val="209870024"/>
      </c:scatterChart>
      <c:valAx>
        <c:axId val="209870416"/>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70024"/>
        <c:crosses val="autoZero"/>
        <c:crossBetween val="midCat"/>
      </c:valAx>
      <c:valAx>
        <c:axId val="209870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70416"/>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workbookViewId="0">
      <selection sqref="A1:N1"/>
    </sheetView>
  </sheetViews>
  <sheetFormatPr defaultRowHeight="12.75"/>
  <cols>
    <col min="1" max="1" width="5" style="513" customWidth="1"/>
    <col min="2" max="2" width="5.375" style="513" customWidth="1"/>
    <col min="3" max="3" width="5.875" style="513" customWidth="1"/>
    <col min="4" max="4" width="7.375" style="513" customWidth="1"/>
    <col min="5" max="5" width="5.875" style="513" customWidth="1"/>
    <col min="6" max="7" width="7.375" style="513" customWidth="1"/>
    <col min="8" max="10" width="7.625" style="513" customWidth="1"/>
    <col min="11" max="12" width="8.375" style="513" customWidth="1"/>
    <col min="13" max="13" width="6.625" style="513" customWidth="1"/>
    <col min="14" max="14" width="15.125" style="513" customWidth="1"/>
    <col min="15" max="16384" width="9" style="513"/>
  </cols>
  <sheetData>
    <row r="1" spans="1:14" ht="26.25">
      <c r="A1" s="760" t="s">
        <v>379</v>
      </c>
      <c r="B1" s="760"/>
      <c r="C1" s="760"/>
      <c r="D1" s="760"/>
      <c r="E1" s="760"/>
      <c r="F1" s="760"/>
      <c r="G1" s="760"/>
      <c r="H1" s="760"/>
      <c r="I1" s="760"/>
      <c r="J1" s="760"/>
      <c r="K1" s="760"/>
      <c r="L1" s="760"/>
      <c r="M1" s="760"/>
      <c r="N1" s="760"/>
    </row>
    <row r="2" spans="1:14" ht="26.25">
      <c r="A2" s="760" t="s">
        <v>380</v>
      </c>
      <c r="B2" s="760"/>
      <c r="C2" s="760"/>
      <c r="D2" s="760"/>
      <c r="E2" s="760"/>
      <c r="F2" s="760"/>
      <c r="G2" s="760"/>
      <c r="H2" s="760"/>
      <c r="I2" s="760"/>
      <c r="J2" s="760"/>
      <c r="K2" s="760"/>
      <c r="L2" s="760"/>
      <c r="M2" s="760"/>
      <c r="N2" s="760"/>
    </row>
    <row r="3" spans="1:14" ht="16.5" customHeight="1">
      <c r="A3" s="551"/>
      <c r="B3" s="551"/>
      <c r="C3" s="551"/>
      <c r="D3" s="551"/>
      <c r="E3" s="551"/>
      <c r="F3" s="551"/>
      <c r="G3" s="551"/>
      <c r="H3" s="551"/>
      <c r="I3" s="551"/>
      <c r="J3" s="551"/>
      <c r="K3" s="551"/>
      <c r="L3" s="551"/>
      <c r="M3" s="551"/>
      <c r="N3" s="551"/>
    </row>
    <row r="4" spans="1:14" ht="16.5" customHeight="1">
      <c r="A4" s="530" t="s">
        <v>381</v>
      </c>
      <c r="B4" s="530"/>
      <c r="C4" s="761" t="str">
        <f>Sheet1!R10</f>
        <v/>
      </c>
      <c r="D4" s="762"/>
      <c r="E4" s="762"/>
      <c r="F4" s="762"/>
      <c r="G4" s="762"/>
      <c r="H4" s="763"/>
      <c r="J4" s="549"/>
      <c r="K4" s="548" t="s">
        <v>382</v>
      </c>
      <c r="L4" s="767"/>
      <c r="M4" s="768"/>
      <c r="N4" s="769"/>
    </row>
    <row r="5" spans="1:14" ht="16.5" customHeight="1">
      <c r="A5" s="530" t="s">
        <v>383</v>
      </c>
      <c r="B5" s="530"/>
      <c r="C5" s="761"/>
      <c r="D5" s="762"/>
      <c r="E5" s="762"/>
      <c r="F5" s="762"/>
      <c r="G5" s="762"/>
      <c r="H5" s="763"/>
      <c r="J5" s="549"/>
      <c r="K5" s="548" t="s">
        <v>384</v>
      </c>
      <c r="L5" s="767">
        <f>Sheet1!P7</f>
        <v>0</v>
      </c>
      <c r="M5" s="768"/>
      <c r="N5" s="769"/>
    </row>
    <row r="6" spans="1:14" ht="16.5" customHeight="1">
      <c r="A6" s="530" t="s">
        <v>385</v>
      </c>
      <c r="B6" s="530"/>
      <c r="C6" s="530"/>
      <c r="D6" s="530"/>
      <c r="E6" s="745" t="s">
        <v>13</v>
      </c>
      <c r="F6" s="745"/>
      <c r="G6" s="745"/>
      <c r="H6" s="745"/>
      <c r="J6" s="549"/>
      <c r="K6" s="548" t="s">
        <v>386</v>
      </c>
      <c r="L6" s="761"/>
      <c r="M6" s="762"/>
      <c r="N6" s="763"/>
    </row>
    <row r="7" spans="1:14" ht="16.5" customHeight="1">
      <c r="A7" s="530" t="s">
        <v>387</v>
      </c>
      <c r="B7" s="530"/>
      <c r="C7" s="530"/>
      <c r="D7" s="530"/>
      <c r="E7" s="746" t="s">
        <v>388</v>
      </c>
      <c r="F7" s="747"/>
      <c r="G7" s="747"/>
      <c r="H7" s="748"/>
      <c r="J7" s="549"/>
      <c r="K7" s="548" t="s">
        <v>389</v>
      </c>
      <c r="L7" s="761" t="str">
        <f>Sheet1!R18</f>
        <v/>
      </c>
      <c r="M7" s="762"/>
      <c r="N7" s="763"/>
    </row>
    <row r="8" spans="1:14" ht="16.5" customHeight="1">
      <c r="A8" s="530" t="s">
        <v>390</v>
      </c>
      <c r="B8" s="530"/>
      <c r="C8" s="530"/>
      <c r="D8" s="530"/>
      <c r="E8" s="773" t="str">
        <f>Sheet1!V12</f>
        <v/>
      </c>
      <c r="F8" s="774"/>
      <c r="G8" s="774"/>
      <c r="H8" s="775"/>
      <c r="J8" s="549"/>
      <c r="K8" s="548" t="s">
        <v>391</v>
      </c>
      <c r="L8" s="761" t="str">
        <f>Sheet1!R14</f>
        <v/>
      </c>
      <c r="M8" s="762"/>
      <c r="N8" s="763"/>
    </row>
    <row r="9" spans="1:14" ht="11.25" customHeight="1">
      <c r="A9" s="530"/>
      <c r="B9" s="530"/>
      <c r="C9" s="530"/>
      <c r="D9" s="530"/>
      <c r="E9" s="550"/>
      <c r="F9" s="547"/>
      <c r="G9" s="547"/>
      <c r="H9" s="547"/>
      <c r="J9" s="549"/>
      <c r="K9" s="548"/>
      <c r="L9" s="547"/>
      <c r="M9" s="547"/>
      <c r="N9" s="547"/>
    </row>
    <row r="10" spans="1:14" ht="16.5" customHeight="1">
      <c r="A10" s="542" t="s">
        <v>574</v>
      </c>
      <c r="E10" s="770"/>
      <c r="F10" s="771"/>
      <c r="G10" s="771"/>
      <c r="H10" s="772"/>
      <c r="I10" s="546" t="s">
        <v>573</v>
      </c>
    </row>
    <row r="11" spans="1:14" ht="11.25" customHeight="1">
      <c r="C11" s="530"/>
      <c r="D11" s="530"/>
      <c r="E11" s="530"/>
      <c r="F11" s="530"/>
      <c r="G11" s="530"/>
      <c r="H11" s="545"/>
      <c r="I11" s="545"/>
      <c r="K11" s="544"/>
      <c r="L11" s="544"/>
      <c r="M11" s="544"/>
      <c r="N11" s="544"/>
    </row>
    <row r="12" spans="1:14" ht="16.5" customHeight="1" thickBot="1">
      <c r="A12" s="530" t="s">
        <v>393</v>
      </c>
      <c r="B12" s="530"/>
      <c r="C12" s="530"/>
      <c r="D12" s="530"/>
      <c r="E12" s="764" t="s">
        <v>394</v>
      </c>
      <c r="F12" s="766"/>
      <c r="G12" s="764" t="s">
        <v>389</v>
      </c>
      <c r="H12" s="766"/>
      <c r="I12" s="764" t="s">
        <v>17</v>
      </c>
      <c r="J12" s="766"/>
      <c r="K12" s="764" t="s">
        <v>392</v>
      </c>
      <c r="L12" s="765"/>
      <c r="M12" s="765"/>
      <c r="N12" s="766"/>
    </row>
    <row r="13" spans="1:14" ht="16.5" customHeight="1" thickTop="1">
      <c r="A13" s="530"/>
      <c r="B13" s="530"/>
      <c r="C13" s="530"/>
      <c r="D13" s="536" t="s">
        <v>395</v>
      </c>
      <c r="E13" s="742"/>
      <c r="F13" s="744"/>
      <c r="G13" s="742"/>
      <c r="H13" s="744"/>
      <c r="I13" s="758"/>
      <c r="J13" s="759"/>
      <c r="K13" s="742"/>
      <c r="L13" s="743"/>
      <c r="M13" s="743"/>
      <c r="N13" s="744"/>
    </row>
    <row r="14" spans="1:14" ht="16.5" customHeight="1">
      <c r="D14" s="536" t="s">
        <v>396</v>
      </c>
      <c r="E14" s="753"/>
      <c r="F14" s="755"/>
      <c r="G14" s="753"/>
      <c r="H14" s="755"/>
      <c r="I14" s="751"/>
      <c r="J14" s="752"/>
      <c r="K14" s="753"/>
      <c r="L14" s="754"/>
      <c r="M14" s="754"/>
      <c r="N14" s="755"/>
    </row>
    <row r="15" spans="1:14" s="543" customFormat="1" ht="36" customHeight="1">
      <c r="A15" s="757" t="s">
        <v>397</v>
      </c>
      <c r="B15" s="757"/>
      <c r="C15" s="757"/>
      <c r="D15" s="757"/>
      <c r="E15" s="757"/>
      <c r="F15" s="757"/>
      <c r="G15" s="757"/>
      <c r="H15" s="757"/>
      <c r="I15" s="757"/>
      <c r="J15" s="757"/>
      <c r="K15" s="757"/>
      <c r="L15" s="757"/>
      <c r="M15" s="757"/>
      <c r="N15" s="757"/>
    </row>
    <row r="16" spans="1:14" ht="16.5" customHeight="1">
      <c r="A16" s="542" t="s">
        <v>398</v>
      </c>
      <c r="B16" s="542"/>
      <c r="C16" s="541"/>
      <c r="D16" s="537" t="s">
        <v>399</v>
      </c>
      <c r="E16" s="537"/>
      <c r="F16" s="537"/>
      <c r="G16" s="538"/>
      <c r="H16" s="540"/>
      <c r="I16" s="539"/>
      <c r="J16" s="538"/>
      <c r="K16" s="537"/>
      <c r="L16" s="537"/>
      <c r="N16" s="536" t="s">
        <v>400</v>
      </c>
    </row>
    <row r="17" spans="1:14" ht="13.5" customHeight="1">
      <c r="A17" s="535"/>
      <c r="B17" s="535"/>
      <c r="C17" s="534"/>
      <c r="D17" s="533"/>
      <c r="E17" s="534"/>
      <c r="F17" s="534"/>
      <c r="G17" s="533"/>
      <c r="H17" s="532"/>
      <c r="I17" s="531"/>
      <c r="J17" s="531"/>
      <c r="K17" s="531"/>
      <c r="L17" s="531"/>
      <c r="M17" s="531"/>
    </row>
    <row r="18" spans="1:14" ht="21" customHeight="1">
      <c r="A18" s="756" t="s">
        <v>401</v>
      </c>
      <c r="B18" s="756"/>
      <c r="C18" s="756"/>
      <c r="D18" s="756"/>
      <c r="E18" s="756"/>
      <c r="F18" s="756"/>
      <c r="G18" s="756"/>
      <c r="H18" s="756"/>
      <c r="I18" s="756"/>
      <c r="J18" s="756"/>
      <c r="K18" s="756"/>
      <c r="L18" s="756"/>
      <c r="M18" s="756"/>
      <c r="N18" s="756"/>
    </row>
    <row r="19" spans="1:14" ht="15" customHeight="1">
      <c r="A19" s="750" t="s">
        <v>572</v>
      </c>
      <c r="B19" s="750"/>
      <c r="C19" s="750"/>
      <c r="D19" s="750"/>
      <c r="E19" s="750"/>
      <c r="F19" s="750"/>
      <c r="G19" s="750"/>
      <c r="H19" s="750"/>
      <c r="I19" s="750"/>
      <c r="J19" s="750"/>
      <c r="K19" s="750"/>
      <c r="L19" s="750"/>
      <c r="M19" s="750"/>
      <c r="N19" s="750"/>
    </row>
    <row r="20" spans="1:14" ht="15" customHeight="1">
      <c r="A20" s="530"/>
      <c r="B20" s="530"/>
      <c r="C20" s="530"/>
      <c r="D20" s="530"/>
      <c r="E20" s="530"/>
      <c r="F20" s="530"/>
      <c r="G20" s="530"/>
      <c r="H20" s="530"/>
      <c r="I20" s="530"/>
      <c r="J20" s="530"/>
      <c r="K20" s="530"/>
      <c r="L20" s="530"/>
      <c r="M20" s="530"/>
      <c r="N20" s="529" t="s">
        <v>402</v>
      </c>
    </row>
    <row r="21" spans="1:14" ht="15.75" customHeight="1">
      <c r="A21" s="515" t="s">
        <v>571</v>
      </c>
      <c r="B21" s="515"/>
      <c r="C21" s="515"/>
      <c r="D21" s="515"/>
      <c r="E21" s="515"/>
      <c r="F21" s="515"/>
      <c r="G21" s="515"/>
      <c r="H21" s="515"/>
      <c r="I21" s="515"/>
      <c r="J21" s="515"/>
      <c r="K21" s="515"/>
      <c r="L21" s="515"/>
      <c r="M21" s="515"/>
      <c r="N21" s="516"/>
    </row>
    <row r="22" spans="1:14" ht="15.75" customHeight="1">
      <c r="A22" s="515" t="s">
        <v>403</v>
      </c>
      <c r="B22" s="515"/>
      <c r="C22" s="515"/>
      <c r="D22" s="515"/>
      <c r="E22" s="515"/>
      <c r="F22" s="515"/>
      <c r="G22" s="515"/>
      <c r="H22" s="515"/>
      <c r="I22" s="515"/>
      <c r="J22" s="515"/>
      <c r="K22" s="515"/>
      <c r="L22" s="515"/>
      <c r="M22" s="515"/>
      <c r="N22" s="516"/>
    </row>
    <row r="23" spans="1:14" ht="15.75" customHeight="1">
      <c r="A23" s="515" t="s">
        <v>404</v>
      </c>
      <c r="B23" s="515"/>
      <c r="C23" s="515"/>
      <c r="D23" s="515"/>
      <c r="E23" s="515"/>
      <c r="F23" s="515"/>
      <c r="G23" s="515"/>
      <c r="H23" s="515"/>
      <c r="I23" s="515"/>
      <c r="J23" s="515"/>
      <c r="K23" s="515"/>
      <c r="L23" s="515"/>
      <c r="M23" s="515"/>
      <c r="N23" s="516"/>
    </row>
    <row r="24" spans="1:14" ht="15.75" customHeight="1">
      <c r="A24" s="515" t="s">
        <v>405</v>
      </c>
      <c r="B24" s="515"/>
      <c r="C24" s="515"/>
      <c r="D24" s="515"/>
      <c r="E24" s="515"/>
      <c r="F24" s="515"/>
      <c r="G24" s="515"/>
      <c r="H24" s="515"/>
      <c r="I24" s="515"/>
      <c r="J24" s="515"/>
      <c r="K24" s="515"/>
      <c r="L24" s="515"/>
      <c r="M24" s="515"/>
      <c r="N24" s="516"/>
    </row>
    <row r="25" spans="1:14" ht="15.75" customHeight="1">
      <c r="A25" s="515" t="s">
        <v>406</v>
      </c>
      <c r="B25" s="515"/>
      <c r="C25" s="515"/>
      <c r="D25" s="515"/>
      <c r="E25" s="515"/>
      <c r="F25" s="515"/>
      <c r="G25" s="515"/>
      <c r="H25" s="515"/>
      <c r="I25" s="515"/>
      <c r="J25" s="515"/>
      <c r="K25" s="515"/>
      <c r="L25" s="515"/>
      <c r="M25" s="515"/>
      <c r="N25" s="516"/>
    </row>
    <row r="26" spans="1:14" ht="15.75" customHeight="1">
      <c r="A26" s="515" t="s">
        <v>407</v>
      </c>
      <c r="B26" s="515"/>
      <c r="C26" s="515"/>
      <c r="D26" s="515"/>
      <c r="E26" s="515"/>
      <c r="F26" s="515"/>
      <c r="G26" s="515"/>
      <c r="H26" s="515"/>
      <c r="I26" s="515"/>
      <c r="J26" s="515"/>
      <c r="K26" s="515"/>
      <c r="L26" s="515"/>
      <c r="M26" s="515"/>
      <c r="N26" s="516"/>
    </row>
    <row r="27" spans="1:14" ht="15.75" customHeight="1">
      <c r="A27" s="515" t="s">
        <v>408</v>
      </c>
      <c r="B27" s="515"/>
      <c r="C27" s="515"/>
      <c r="D27" s="515"/>
      <c r="E27" s="515"/>
      <c r="F27" s="515"/>
      <c r="G27" s="515"/>
      <c r="H27" s="515"/>
      <c r="I27" s="515"/>
      <c r="J27" s="515"/>
      <c r="K27" s="515"/>
      <c r="L27" s="515"/>
      <c r="M27" s="515"/>
      <c r="N27" s="516"/>
    </row>
    <row r="28" spans="1:14" ht="15.75" customHeight="1">
      <c r="A28" s="515" t="s">
        <v>570</v>
      </c>
      <c r="B28" s="515"/>
      <c r="C28" s="515"/>
      <c r="D28" s="515"/>
      <c r="E28" s="515"/>
      <c r="F28" s="515"/>
      <c r="G28" s="515"/>
      <c r="H28" s="515"/>
      <c r="I28" s="515"/>
      <c r="J28" s="515"/>
      <c r="K28" s="515"/>
      <c r="L28" s="515"/>
      <c r="M28" s="515"/>
      <c r="N28" s="516"/>
    </row>
    <row r="29" spans="1:14" ht="15.75" customHeight="1">
      <c r="A29" s="515" t="s">
        <v>409</v>
      </c>
      <c r="B29" s="515"/>
      <c r="C29" s="515"/>
      <c r="D29" s="515"/>
      <c r="E29" s="515"/>
      <c r="F29" s="521"/>
      <c r="G29" s="527"/>
      <c r="H29" s="528"/>
      <c r="I29" s="527"/>
      <c r="J29" s="515"/>
      <c r="K29" s="515"/>
      <c r="L29" s="515"/>
      <c r="M29" s="515"/>
      <c r="N29" s="516"/>
    </row>
    <row r="30" spans="1:14" ht="15.75" customHeight="1">
      <c r="A30" s="515"/>
      <c r="B30" s="515"/>
      <c r="C30" s="518" t="s">
        <v>410</v>
      </c>
      <c r="D30" s="515"/>
      <c r="E30" s="515"/>
      <c r="F30" s="521" t="s">
        <v>286</v>
      </c>
      <c r="G30" s="583" t="str">
        <f>Sheet1!T442</f>
        <v/>
      </c>
      <c r="H30" s="521" t="s">
        <v>287</v>
      </c>
      <c r="I30" s="583" t="str">
        <f>Sheet1!T443</f>
        <v/>
      </c>
      <c r="J30" s="526"/>
      <c r="K30" s="515"/>
      <c r="L30" s="515"/>
      <c r="M30" s="515"/>
      <c r="N30" s="525"/>
    </row>
    <row r="31" spans="1:14" ht="15.75" customHeight="1">
      <c r="A31" s="515"/>
      <c r="B31" s="515"/>
      <c r="C31" s="518" t="s">
        <v>569</v>
      </c>
      <c r="D31" s="515"/>
      <c r="E31" s="515"/>
      <c r="F31" s="515"/>
      <c r="G31" s="515"/>
      <c r="H31" s="515"/>
      <c r="I31" s="515"/>
      <c r="J31" s="515"/>
      <c r="K31" s="515"/>
      <c r="L31" s="515"/>
      <c r="M31" s="515"/>
      <c r="N31" s="516"/>
    </row>
    <row r="32" spans="1:14" ht="15.75" customHeight="1">
      <c r="A32" s="515"/>
      <c r="B32" s="515"/>
      <c r="C32" s="518" t="s">
        <v>411</v>
      </c>
      <c r="D32" s="515"/>
      <c r="E32" s="515"/>
      <c r="F32" s="515"/>
      <c r="G32" s="515"/>
      <c r="H32" s="515"/>
      <c r="I32" s="515"/>
      <c r="J32" s="515"/>
      <c r="K32" s="515"/>
      <c r="L32" s="515"/>
      <c r="M32" s="515"/>
      <c r="N32" s="516"/>
    </row>
    <row r="33" spans="1:14" ht="15.75" customHeight="1">
      <c r="A33" s="515" t="s">
        <v>412</v>
      </c>
      <c r="B33" s="515"/>
      <c r="C33" s="515"/>
      <c r="D33" s="515"/>
      <c r="E33" s="515"/>
      <c r="F33" s="515"/>
      <c r="G33" s="515"/>
      <c r="H33" s="515"/>
      <c r="I33" s="515"/>
      <c r="J33" s="515"/>
      <c r="K33" s="515"/>
      <c r="L33" s="515"/>
      <c r="M33" s="515"/>
      <c r="N33" s="524"/>
    </row>
    <row r="34" spans="1:14" ht="15.75" customHeight="1">
      <c r="A34" s="515"/>
      <c r="B34" s="515"/>
      <c r="C34" s="518" t="s">
        <v>568</v>
      </c>
      <c r="D34" s="515"/>
      <c r="E34" s="515"/>
      <c r="F34" s="515"/>
      <c r="G34" s="515"/>
      <c r="H34" s="515"/>
      <c r="I34" s="515"/>
      <c r="J34" s="515"/>
      <c r="K34" s="515"/>
      <c r="L34" s="515"/>
      <c r="M34" s="515"/>
      <c r="N34" s="516"/>
    </row>
    <row r="35" spans="1:14" ht="15.75" customHeight="1">
      <c r="A35" s="515"/>
      <c r="B35" s="515"/>
      <c r="C35" s="523" t="s">
        <v>567</v>
      </c>
      <c r="D35" s="515"/>
      <c r="E35" s="515"/>
      <c r="F35" s="515"/>
      <c r="G35" s="515"/>
      <c r="H35" s="515"/>
      <c r="I35" s="515"/>
      <c r="J35" s="515"/>
      <c r="K35" s="515"/>
      <c r="L35" s="515"/>
      <c r="M35" s="515"/>
      <c r="N35" s="514"/>
    </row>
    <row r="36" spans="1:14" ht="15.75" customHeight="1">
      <c r="A36" s="517"/>
      <c r="B36" s="517"/>
      <c r="C36" s="522" t="s">
        <v>413</v>
      </c>
      <c r="D36" s="518"/>
      <c r="E36" s="518"/>
      <c r="F36" s="521"/>
      <c r="G36" s="521" t="s">
        <v>367</v>
      </c>
      <c r="H36" s="520"/>
      <c r="I36" s="521" t="s">
        <v>368</v>
      </c>
      <c r="J36" s="520"/>
      <c r="K36" s="521" t="s">
        <v>369</v>
      </c>
      <c r="L36" s="520"/>
      <c r="M36" s="519"/>
      <c r="N36" s="517"/>
    </row>
    <row r="37" spans="1:14" ht="15.75" customHeight="1">
      <c r="A37" s="515" t="s">
        <v>414</v>
      </c>
      <c r="B37" s="515"/>
      <c r="C37" s="515"/>
      <c r="D37" s="515"/>
      <c r="E37" s="515"/>
      <c r="F37" s="515"/>
      <c r="G37" s="515"/>
      <c r="H37" s="515"/>
      <c r="I37" s="515"/>
      <c r="J37" s="515"/>
      <c r="K37" s="515"/>
      <c r="L37" s="515"/>
      <c r="M37" s="515"/>
      <c r="N37" s="516"/>
    </row>
    <row r="38" spans="1:14" ht="15.75" customHeight="1">
      <c r="A38" s="515"/>
      <c r="B38" s="515"/>
      <c r="C38" s="518" t="s">
        <v>566</v>
      </c>
      <c r="D38" s="518"/>
      <c r="E38" s="518"/>
      <c r="F38" s="515"/>
      <c r="G38" s="515"/>
      <c r="H38" s="515"/>
      <c r="I38" s="515"/>
      <c r="J38" s="515"/>
      <c r="K38" s="515"/>
      <c r="L38" s="583" t="str">
        <f>MGD</f>
        <v/>
      </c>
      <c r="M38" s="518" t="s">
        <v>344</v>
      </c>
      <c r="N38" s="517"/>
    </row>
    <row r="39" spans="1:14" ht="15.75" customHeight="1">
      <c r="A39" s="515" t="s">
        <v>565</v>
      </c>
      <c r="B39" s="515"/>
      <c r="C39" s="515"/>
      <c r="D39" s="515"/>
      <c r="E39" s="515"/>
      <c r="F39" s="515"/>
      <c r="G39" s="515"/>
      <c r="H39" s="515"/>
      <c r="I39" s="515"/>
      <c r="J39" s="515"/>
      <c r="K39" s="515"/>
      <c r="L39" s="515"/>
      <c r="M39" s="515"/>
      <c r="N39" s="516"/>
    </row>
    <row r="40" spans="1:14" ht="15.75" customHeight="1">
      <c r="A40" s="515" t="s">
        <v>415</v>
      </c>
      <c r="B40" s="515"/>
      <c r="C40" s="515"/>
      <c r="D40" s="515"/>
      <c r="E40" s="515"/>
      <c r="F40" s="515"/>
      <c r="G40" s="515"/>
      <c r="H40" s="515"/>
      <c r="I40" s="515"/>
      <c r="J40" s="515"/>
      <c r="K40" s="515"/>
      <c r="L40" s="515"/>
      <c r="M40" s="515"/>
      <c r="N40" s="516"/>
    </row>
    <row r="41" spans="1:14" ht="15.75" customHeight="1">
      <c r="A41" s="515" t="s">
        <v>416</v>
      </c>
      <c r="B41" s="515"/>
      <c r="C41" s="515"/>
      <c r="D41" s="515"/>
      <c r="E41" s="515"/>
      <c r="F41" s="515"/>
      <c r="G41" s="515"/>
      <c r="H41" s="515"/>
      <c r="I41" s="515"/>
      <c r="J41" s="515"/>
      <c r="K41" s="515"/>
      <c r="L41" s="515"/>
      <c r="M41" s="515"/>
      <c r="N41" s="516"/>
    </row>
    <row r="42" spans="1:14" ht="15.75" customHeight="1">
      <c r="A42" s="515" t="s">
        <v>564</v>
      </c>
      <c r="B42" s="515"/>
      <c r="C42" s="515"/>
      <c r="D42" s="515"/>
      <c r="E42" s="515"/>
      <c r="F42" s="515"/>
      <c r="G42" s="515"/>
      <c r="H42" s="515"/>
      <c r="I42" s="515"/>
      <c r="J42" s="515"/>
      <c r="K42" s="515"/>
      <c r="L42" s="515"/>
      <c r="M42" s="515"/>
      <c r="N42" s="516"/>
    </row>
    <row r="43" spans="1:14" ht="15.75" customHeight="1">
      <c r="A43" s="515"/>
      <c r="B43" s="515"/>
      <c r="C43" s="515"/>
      <c r="D43" s="515"/>
      <c r="E43" s="515"/>
      <c r="F43" s="515"/>
      <c r="G43" s="515"/>
      <c r="H43" s="515"/>
      <c r="I43" s="515"/>
      <c r="J43" s="515"/>
      <c r="K43" s="515"/>
      <c r="L43" s="515"/>
      <c r="M43" s="515"/>
      <c r="N43" s="514"/>
    </row>
    <row r="44" spans="1:14" ht="15.75" customHeight="1">
      <c r="A44" s="515"/>
      <c r="B44" s="515"/>
      <c r="C44" s="515"/>
      <c r="D44" s="515"/>
      <c r="E44" s="515"/>
      <c r="F44" s="515"/>
      <c r="G44" s="515"/>
      <c r="H44" s="515"/>
      <c r="I44" s="515"/>
      <c r="J44" s="515"/>
      <c r="K44" s="515"/>
      <c r="L44" s="515"/>
      <c r="M44" s="515"/>
      <c r="N44" s="514"/>
    </row>
    <row r="45" spans="1:14" ht="15.75" customHeight="1">
      <c r="A45" s="515"/>
      <c r="B45" s="515"/>
      <c r="C45" s="515"/>
      <c r="D45" s="515"/>
      <c r="E45" s="515"/>
      <c r="F45" s="515"/>
      <c r="G45" s="515"/>
      <c r="H45" s="515"/>
      <c r="I45" s="515"/>
      <c r="J45" s="515"/>
      <c r="K45" s="515"/>
      <c r="L45" s="515"/>
      <c r="M45" s="515"/>
      <c r="N45" s="514"/>
    </row>
    <row r="46" spans="1:14" ht="15.75" customHeight="1">
      <c r="A46" s="515"/>
      <c r="B46" s="515"/>
      <c r="C46" s="515"/>
      <c r="D46" s="515"/>
      <c r="E46" s="515"/>
      <c r="F46" s="515"/>
      <c r="G46" s="515"/>
      <c r="H46" s="515"/>
      <c r="I46" s="515"/>
      <c r="J46" s="515"/>
      <c r="K46" s="515"/>
      <c r="L46" s="515"/>
      <c r="M46" s="515"/>
      <c r="N46" s="514"/>
    </row>
    <row r="47" spans="1:14" ht="15.75" customHeight="1">
      <c r="A47" s="515"/>
      <c r="B47" s="515"/>
      <c r="C47" s="515"/>
      <c r="D47" s="515"/>
      <c r="E47" s="515"/>
      <c r="F47" s="515"/>
      <c r="G47" s="515"/>
      <c r="H47" s="515"/>
      <c r="I47" s="515"/>
      <c r="J47" s="515"/>
      <c r="K47" s="515"/>
      <c r="L47" s="515"/>
      <c r="M47" s="515"/>
      <c r="N47" s="514"/>
    </row>
    <row r="48" spans="1:14" ht="15.75" customHeight="1">
      <c r="A48" s="515"/>
      <c r="B48" s="515"/>
      <c r="C48" s="515"/>
      <c r="D48" s="515"/>
      <c r="E48" s="515"/>
      <c r="F48" s="515"/>
      <c r="G48" s="515"/>
      <c r="H48" s="515"/>
      <c r="I48" s="515"/>
      <c r="J48" s="515"/>
      <c r="K48" s="515"/>
      <c r="L48" s="515"/>
      <c r="M48" s="515"/>
      <c r="N48" s="514"/>
    </row>
    <row r="49" spans="1:14" ht="15.75" customHeight="1">
      <c r="A49" s="515"/>
      <c r="B49" s="515"/>
      <c r="C49" s="515"/>
      <c r="D49" s="515"/>
      <c r="E49" s="515"/>
      <c r="F49" s="515"/>
      <c r="G49" s="515"/>
      <c r="H49" s="515"/>
      <c r="I49" s="515"/>
      <c r="J49" s="515"/>
      <c r="K49" s="515"/>
      <c r="L49" s="515"/>
      <c r="M49" s="515"/>
      <c r="N49" s="514"/>
    </row>
    <row r="50" spans="1:14" ht="15.75" customHeight="1">
      <c r="A50" s="515"/>
      <c r="B50" s="515"/>
      <c r="C50" s="515"/>
      <c r="D50" s="515"/>
      <c r="E50" s="515"/>
      <c r="F50" s="515"/>
      <c r="G50" s="515"/>
      <c r="H50" s="515"/>
      <c r="I50" s="515"/>
      <c r="J50" s="515"/>
      <c r="K50" s="515"/>
      <c r="L50" s="515"/>
      <c r="M50" s="515"/>
      <c r="N50" s="514"/>
    </row>
    <row r="51" spans="1:14" ht="15.75" customHeight="1">
      <c r="A51" s="515"/>
      <c r="B51" s="515"/>
      <c r="C51" s="515"/>
      <c r="D51" s="515"/>
      <c r="E51" s="515"/>
      <c r="F51" s="515"/>
      <c r="G51" s="515"/>
      <c r="H51" s="515"/>
      <c r="I51" s="515"/>
      <c r="J51" s="515"/>
      <c r="K51" s="515"/>
      <c r="L51" s="515"/>
      <c r="M51" s="515"/>
      <c r="N51" s="514"/>
    </row>
    <row r="52" spans="1:14" ht="15.75" customHeight="1">
      <c r="A52" s="515"/>
      <c r="B52" s="515"/>
      <c r="C52" s="515"/>
      <c r="D52" s="515"/>
      <c r="E52" s="515"/>
      <c r="F52" s="515"/>
      <c r="G52" s="515"/>
      <c r="H52" s="515"/>
      <c r="I52" s="515"/>
      <c r="J52" s="515"/>
      <c r="K52" s="515"/>
      <c r="L52" s="515"/>
      <c r="M52" s="515"/>
      <c r="N52" s="514"/>
    </row>
    <row r="53" spans="1:14" ht="15.75" customHeight="1">
      <c r="A53" s="515"/>
      <c r="B53" s="515"/>
      <c r="C53" s="515"/>
      <c r="D53" s="515"/>
      <c r="E53" s="515"/>
      <c r="F53" s="515"/>
      <c r="G53" s="515"/>
      <c r="H53" s="515"/>
      <c r="I53" s="515"/>
      <c r="J53" s="515"/>
      <c r="K53" s="515"/>
      <c r="L53" s="515"/>
      <c r="M53" s="515"/>
      <c r="N53" s="514"/>
    </row>
    <row r="54" spans="1:14" ht="15.75" customHeight="1">
      <c r="A54" s="515"/>
      <c r="B54" s="515"/>
      <c r="C54" s="515"/>
      <c r="D54" s="515"/>
      <c r="E54" s="515"/>
      <c r="F54" s="515"/>
      <c r="G54" s="515"/>
      <c r="H54" s="515"/>
      <c r="I54" s="515"/>
      <c r="J54" s="515"/>
      <c r="K54" s="515"/>
      <c r="L54" s="515"/>
      <c r="M54" s="515"/>
      <c r="N54" s="514"/>
    </row>
    <row r="55" spans="1:14" ht="15.75" customHeight="1">
      <c r="A55" s="749" t="s">
        <v>563</v>
      </c>
      <c r="B55" s="749"/>
      <c r="C55" s="749"/>
      <c r="D55" s="749"/>
      <c r="E55" s="749"/>
      <c r="F55" s="749"/>
      <c r="G55" s="749"/>
      <c r="H55" s="749"/>
      <c r="I55" s="749"/>
      <c r="J55" s="749"/>
      <c r="K55" s="749"/>
      <c r="L55" s="749"/>
      <c r="M55" s="749"/>
      <c r="N55" s="749"/>
    </row>
  </sheetData>
  <mergeCells count="29">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 ref="K13:N13"/>
    <mergeCell ref="E6:H6"/>
    <mergeCell ref="E7:H7"/>
    <mergeCell ref="A55:N55"/>
    <mergeCell ref="G13:H13"/>
    <mergeCell ref="A19:N19"/>
    <mergeCell ref="I14:J14"/>
    <mergeCell ref="K14:N14"/>
    <mergeCell ref="A18:N18"/>
    <mergeCell ref="E14:F14"/>
    <mergeCell ref="G14:H14"/>
    <mergeCell ref="A15:N15"/>
    <mergeCell ref="E13:F13"/>
    <mergeCell ref="I13:J13"/>
  </mergeCells>
  <conditionalFormatting sqref="N21:N24 N28:N30 N32:N54">
    <cfRule type="cellIs" dxfId="67" priority="5" stopIfTrue="1" operator="equal">
      <formula>"Fail"</formula>
    </cfRule>
  </conditionalFormatting>
  <conditionalFormatting sqref="N25">
    <cfRule type="cellIs" dxfId="66" priority="4" stopIfTrue="1" operator="equal">
      <formula>"Fail"</formula>
    </cfRule>
  </conditionalFormatting>
  <conditionalFormatting sqref="N26">
    <cfRule type="cellIs" dxfId="65" priority="3" stopIfTrue="1" operator="equal">
      <formula>"Fail"</formula>
    </cfRule>
  </conditionalFormatting>
  <conditionalFormatting sqref="N27">
    <cfRule type="cellIs" dxfId="64" priority="2" stopIfTrue="1" operator="equal">
      <formula>"Fail"</formula>
    </cfRule>
  </conditionalFormatting>
  <conditionalFormatting sqref="N31">
    <cfRule type="cellIs" dxfId="6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sqref="A1:K1"/>
    </sheetView>
  </sheetViews>
  <sheetFormatPr defaultRowHeight="12.75"/>
  <cols>
    <col min="1" max="1" width="3.875" style="513" customWidth="1"/>
    <col min="2" max="2" width="19.125" style="513" customWidth="1"/>
    <col min="3" max="4" width="8.625" style="513" customWidth="1"/>
    <col min="5" max="5" width="9" style="513" customWidth="1"/>
    <col min="6" max="6" width="3.25" style="513" customWidth="1"/>
    <col min="7" max="7" width="13.75" style="513" customWidth="1"/>
    <col min="8" max="8" width="8.5" style="513" customWidth="1"/>
    <col min="9" max="9" width="9.5" style="513" customWidth="1"/>
    <col min="10" max="10" width="8.375" style="513" customWidth="1"/>
    <col min="11" max="11" width="8.625" style="513" customWidth="1"/>
    <col min="12" max="16384" width="9" style="513"/>
  </cols>
  <sheetData>
    <row r="1" spans="1:12" ht="27" customHeight="1">
      <c r="A1" s="776" t="s">
        <v>379</v>
      </c>
      <c r="B1" s="776"/>
      <c r="C1" s="776"/>
      <c r="D1" s="776"/>
      <c r="E1" s="776"/>
      <c r="F1" s="776"/>
      <c r="G1" s="776"/>
      <c r="H1" s="776"/>
      <c r="I1" s="776"/>
      <c r="J1" s="776"/>
      <c r="K1" s="776"/>
    </row>
    <row r="2" spans="1:12" ht="18" customHeight="1">
      <c r="A2" s="579" t="s">
        <v>417</v>
      </c>
      <c r="B2" s="578"/>
      <c r="C2" s="578"/>
      <c r="D2" s="578"/>
      <c r="E2" s="578"/>
      <c r="F2" s="578"/>
      <c r="G2" s="578"/>
      <c r="H2" s="578"/>
      <c r="I2" s="578"/>
      <c r="J2" s="578"/>
      <c r="K2" s="578"/>
    </row>
    <row r="3" spans="1:12" ht="15.75" customHeight="1"/>
    <row r="4" spans="1:12" ht="24" customHeight="1">
      <c r="A4" s="577" t="s">
        <v>418</v>
      </c>
      <c r="B4" s="576"/>
      <c r="C4" s="574"/>
      <c r="D4" s="574"/>
      <c r="E4" s="574"/>
      <c r="F4" s="574"/>
      <c r="G4" s="574"/>
      <c r="H4" s="574"/>
      <c r="I4" s="574"/>
      <c r="J4" s="575"/>
      <c r="K4" s="574"/>
    </row>
    <row r="5" spans="1:12" ht="42" customHeight="1">
      <c r="A5" s="779" t="s">
        <v>579</v>
      </c>
      <c r="B5" s="779"/>
      <c r="C5" s="779"/>
      <c r="D5" s="779"/>
      <c r="E5" s="779"/>
      <c r="F5" s="779"/>
      <c r="G5" s="779"/>
      <c r="H5" s="779"/>
      <c r="I5" s="779"/>
      <c r="J5" s="779"/>
      <c r="K5" s="779"/>
    </row>
    <row r="6" spans="1:12" ht="15" customHeight="1">
      <c r="A6" s="573" t="s">
        <v>578</v>
      </c>
      <c r="B6" s="572"/>
      <c r="C6" s="572"/>
      <c r="D6" s="572"/>
      <c r="E6" s="572"/>
      <c r="F6" s="572"/>
      <c r="G6" s="572"/>
      <c r="H6" s="572"/>
      <c r="I6" s="571"/>
      <c r="J6" s="570"/>
      <c r="K6" s="570"/>
    </row>
    <row r="7" spans="1:12" ht="15" customHeight="1">
      <c r="A7" s="569" t="s">
        <v>577</v>
      </c>
      <c r="B7" s="568"/>
      <c r="C7" s="568"/>
      <c r="D7" s="568"/>
      <c r="E7" s="568"/>
      <c r="F7" s="568"/>
      <c r="G7" s="568"/>
      <c r="H7" s="568"/>
      <c r="I7" s="568"/>
      <c r="J7" s="568"/>
      <c r="K7" s="568"/>
    </row>
    <row r="8" spans="1:12" ht="15" customHeight="1">
      <c r="J8" s="778"/>
      <c r="K8" s="778"/>
    </row>
    <row r="9" spans="1:12" ht="15" customHeight="1">
      <c r="A9" s="554"/>
      <c r="E9" s="554"/>
      <c r="H9" s="529" t="s">
        <v>419</v>
      </c>
      <c r="I9" s="567"/>
      <c r="J9" s="777" t="s">
        <v>402</v>
      </c>
      <c r="K9" s="777"/>
    </row>
    <row r="10" spans="1:12" ht="15.75" customHeight="1">
      <c r="A10" s="566" t="s">
        <v>420</v>
      </c>
      <c r="B10" s="518" t="s">
        <v>421</v>
      </c>
      <c r="C10" s="517"/>
      <c r="E10" s="554"/>
      <c r="H10" s="565" t="s">
        <v>422</v>
      </c>
      <c r="J10" s="788"/>
      <c r="K10" s="789"/>
    </row>
    <row r="11" spans="1:12" ht="15.75" customHeight="1">
      <c r="A11" s="561" t="s">
        <v>423</v>
      </c>
      <c r="B11" s="518" t="s">
        <v>424</v>
      </c>
      <c r="C11" s="517"/>
      <c r="E11" s="554"/>
      <c r="H11" s="564" t="s">
        <v>425</v>
      </c>
      <c r="J11" s="788"/>
      <c r="K11" s="789"/>
    </row>
    <row r="12" spans="1:12" ht="15.75" customHeight="1">
      <c r="A12" s="561" t="s">
        <v>426</v>
      </c>
      <c r="B12" s="518" t="s">
        <v>427</v>
      </c>
      <c r="C12" s="517"/>
      <c r="E12" s="554"/>
      <c r="H12" s="562" t="s">
        <v>428</v>
      </c>
      <c r="J12" s="788"/>
      <c r="K12" s="789"/>
    </row>
    <row r="13" spans="1:12" ht="15.75" customHeight="1">
      <c r="A13" s="563" t="s">
        <v>429</v>
      </c>
      <c r="B13" s="518" t="s">
        <v>430</v>
      </c>
      <c r="C13" s="517"/>
      <c r="E13" s="554"/>
      <c r="H13" s="562" t="s">
        <v>428</v>
      </c>
      <c r="J13" s="788"/>
      <c r="K13" s="789"/>
    </row>
    <row r="14" spans="1:12" ht="15.75" customHeight="1">
      <c r="A14" s="563" t="s">
        <v>431</v>
      </c>
      <c r="B14" s="518" t="s">
        <v>432</v>
      </c>
      <c r="C14" s="517"/>
      <c r="E14" s="554"/>
      <c r="H14" s="562" t="s">
        <v>433</v>
      </c>
      <c r="J14" s="788"/>
      <c r="K14" s="789"/>
      <c r="L14" s="554"/>
    </row>
    <row r="15" spans="1:12" ht="15.75" customHeight="1">
      <c r="A15" s="561" t="s">
        <v>434</v>
      </c>
      <c r="B15" s="518" t="s">
        <v>435</v>
      </c>
      <c r="C15" s="517"/>
      <c r="E15" s="554"/>
      <c r="H15" s="562" t="s">
        <v>436</v>
      </c>
      <c r="J15" s="788"/>
      <c r="K15" s="789"/>
      <c r="L15" s="554"/>
    </row>
    <row r="16" spans="1:12" ht="15.75" customHeight="1">
      <c r="A16" s="561" t="s">
        <v>437</v>
      </c>
      <c r="B16" s="518" t="s">
        <v>438</v>
      </c>
      <c r="C16" s="517"/>
      <c r="E16" s="554"/>
      <c r="H16" s="562" t="s">
        <v>439</v>
      </c>
      <c r="J16" s="788"/>
      <c r="K16" s="789"/>
      <c r="L16" s="554"/>
    </row>
    <row r="17" spans="1:12" ht="15.75" customHeight="1">
      <c r="A17" s="561" t="s">
        <v>440</v>
      </c>
      <c r="B17" s="560" t="s">
        <v>576</v>
      </c>
      <c r="C17" s="517"/>
      <c r="H17" s="559" t="s">
        <v>441</v>
      </c>
      <c r="I17" s="514"/>
      <c r="J17" s="788"/>
      <c r="K17" s="789"/>
      <c r="L17" s="558"/>
    </row>
    <row r="18" spans="1:12" ht="15.75" customHeight="1">
      <c r="A18" s="530"/>
      <c r="B18" s="557"/>
      <c r="E18" s="554"/>
      <c r="H18" s="556"/>
      <c r="J18" s="555"/>
      <c r="K18" s="555"/>
      <c r="L18" s="554"/>
    </row>
    <row r="19" spans="1:12" ht="24" customHeight="1">
      <c r="A19" s="790" t="s">
        <v>442</v>
      </c>
      <c r="B19" s="790"/>
      <c r="C19" s="790"/>
      <c r="D19" s="790"/>
      <c r="E19" s="790"/>
      <c r="F19" s="790"/>
      <c r="G19" s="790"/>
      <c r="H19" s="790"/>
      <c r="I19" s="790"/>
      <c r="J19" s="790"/>
      <c r="K19" s="790"/>
    </row>
    <row r="20" spans="1:12" ht="15" customHeight="1">
      <c r="A20" s="553"/>
      <c r="B20" s="552"/>
      <c r="C20" s="552"/>
      <c r="D20" s="552"/>
      <c r="E20" s="552"/>
      <c r="F20" s="552"/>
      <c r="G20" s="552"/>
      <c r="H20" s="552"/>
      <c r="I20" s="552"/>
      <c r="J20" s="552"/>
      <c r="K20" s="552"/>
    </row>
    <row r="21" spans="1:12" ht="290.25" customHeight="1">
      <c r="A21" s="780"/>
      <c r="B21" s="781"/>
      <c r="C21" s="781"/>
      <c r="D21" s="781"/>
      <c r="E21" s="781"/>
      <c r="F21" s="781"/>
      <c r="G21" s="781"/>
      <c r="H21" s="781"/>
      <c r="I21" s="781"/>
      <c r="J21" s="781"/>
      <c r="K21" s="782"/>
    </row>
    <row r="22" spans="1:12" ht="15" customHeight="1" thickBot="1">
      <c r="A22" s="786"/>
      <c r="B22" s="786"/>
      <c r="C22" s="786"/>
      <c r="D22" s="786"/>
      <c r="E22" s="786"/>
      <c r="F22" s="786"/>
      <c r="G22" s="786"/>
      <c r="H22" s="786"/>
      <c r="I22" s="786"/>
      <c r="J22" s="786"/>
      <c r="K22" s="786"/>
    </row>
    <row r="23" spans="1:12" ht="13.5" hidden="1" thickBot="1">
      <c r="A23" s="787"/>
      <c r="B23" s="787"/>
      <c r="C23" s="787"/>
      <c r="D23" s="787"/>
      <c r="E23" s="787"/>
      <c r="F23" s="787"/>
      <c r="G23" s="787"/>
      <c r="H23" s="787"/>
      <c r="I23" s="787"/>
      <c r="J23" s="787"/>
      <c r="K23" s="787"/>
    </row>
    <row r="24" spans="1:12" ht="13.5" hidden="1" thickBot="1">
      <c r="A24" s="787"/>
      <c r="B24" s="787"/>
      <c r="C24" s="787"/>
      <c r="D24" s="787"/>
      <c r="E24" s="787"/>
      <c r="F24" s="787"/>
      <c r="G24" s="787"/>
      <c r="H24" s="787"/>
      <c r="I24" s="787"/>
      <c r="J24" s="787"/>
      <c r="K24" s="787"/>
    </row>
    <row r="25" spans="1:12" ht="13.5" hidden="1" thickBot="1">
      <c r="A25" s="787"/>
      <c r="B25" s="787"/>
      <c r="C25" s="787"/>
      <c r="D25" s="787"/>
      <c r="E25" s="787"/>
      <c r="F25" s="787"/>
      <c r="G25" s="787"/>
      <c r="H25" s="787"/>
      <c r="I25" s="787"/>
      <c r="J25" s="787"/>
      <c r="K25" s="787"/>
    </row>
    <row r="26" spans="1:12" ht="13.5" hidden="1" thickBot="1">
      <c r="A26" s="787"/>
      <c r="B26" s="787"/>
      <c r="C26" s="787"/>
      <c r="D26" s="787"/>
      <c r="E26" s="787"/>
      <c r="F26" s="787"/>
      <c r="G26" s="787"/>
      <c r="H26" s="787"/>
      <c r="I26" s="787"/>
      <c r="J26" s="787"/>
      <c r="K26" s="787"/>
    </row>
    <row r="27" spans="1:12" ht="13.5" hidden="1" thickBot="1">
      <c r="A27" s="787"/>
      <c r="B27" s="787"/>
      <c r="C27" s="787"/>
      <c r="D27" s="787"/>
      <c r="E27" s="787"/>
      <c r="F27" s="787"/>
      <c r="G27" s="787"/>
      <c r="H27" s="787"/>
      <c r="I27" s="787"/>
      <c r="J27" s="787"/>
      <c r="K27" s="787"/>
    </row>
    <row r="28" spans="1:12" ht="13.5" hidden="1" thickBot="1">
      <c r="A28" s="787"/>
      <c r="B28" s="787"/>
      <c r="C28" s="787"/>
      <c r="D28" s="787"/>
      <c r="E28" s="787"/>
      <c r="F28" s="787"/>
      <c r="G28" s="787"/>
      <c r="H28" s="787"/>
      <c r="I28" s="787"/>
      <c r="J28" s="787"/>
      <c r="K28" s="787"/>
    </row>
    <row r="29" spans="1:12" ht="201.75" customHeight="1" thickBot="1">
      <c r="A29" s="783" t="s">
        <v>575</v>
      </c>
      <c r="B29" s="784"/>
      <c r="C29" s="784"/>
      <c r="D29" s="784"/>
      <c r="E29" s="784"/>
      <c r="F29" s="784"/>
      <c r="G29" s="784"/>
      <c r="H29" s="784"/>
      <c r="I29" s="784"/>
      <c r="J29" s="784"/>
      <c r="K29" s="785"/>
    </row>
  </sheetData>
  <mergeCells count="16">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 ref="A21:K21"/>
  </mergeCells>
  <conditionalFormatting sqref="J10:K17">
    <cfRule type="cellIs" dxfId="6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topLeftCell="A416" zoomScale="75" zoomScaleNormal="75" workbookViewId="0">
      <selection activeCell="H411" sqref="H411"/>
    </sheetView>
  </sheetViews>
  <sheetFormatPr defaultRowHeight="14.1" customHeight="1"/>
  <cols>
    <col min="1" max="1" width="2.375" style="601" customWidth="1"/>
    <col min="2" max="2" width="2.375" style="24" customWidth="1"/>
    <col min="3" max="13" width="10.625" style="24" customWidth="1"/>
    <col min="14" max="14" width="2.375" style="24" customWidth="1"/>
    <col min="15" max="35" width="10.625" style="24" customWidth="1"/>
    <col min="36" max="36" width="10.625" style="619" customWidth="1"/>
    <col min="37" max="43" width="10.625" style="24" customWidth="1"/>
    <col min="44" max="16384" width="9" style="6"/>
  </cols>
  <sheetData>
    <row r="1" spans="1:43" ht="14.1" customHeight="1" thickTop="1">
      <c r="A1" s="20"/>
      <c r="B1" s="21"/>
      <c r="C1" s="22"/>
      <c r="D1" s="22"/>
      <c r="E1" s="22"/>
      <c r="F1" s="22"/>
      <c r="G1" s="22"/>
      <c r="H1" s="22"/>
      <c r="I1" s="22"/>
      <c r="J1" s="22"/>
      <c r="K1" s="22"/>
      <c r="L1" s="22"/>
      <c r="M1" s="23"/>
      <c r="O1" s="25" t="s">
        <v>0</v>
      </c>
      <c r="P1" s="26"/>
      <c r="Q1" s="26"/>
      <c r="R1" s="26"/>
      <c r="S1" s="26"/>
      <c r="T1" s="26"/>
      <c r="U1" s="26"/>
      <c r="V1" s="26"/>
      <c r="W1" s="26"/>
      <c r="X1" s="26"/>
      <c r="Y1" s="27"/>
      <c r="AA1" s="28" t="s">
        <v>1</v>
      </c>
    </row>
    <row r="2" spans="1:43" ht="14.1" customHeight="1">
      <c r="A2" s="20">
        <v>2</v>
      </c>
      <c r="B2" s="29"/>
      <c r="C2" s="30"/>
      <c r="D2" s="30"/>
      <c r="E2" s="30"/>
      <c r="F2" s="30"/>
      <c r="G2" s="30"/>
      <c r="H2" s="31" t="s">
        <v>2</v>
      </c>
      <c r="I2" s="30"/>
      <c r="J2" s="30"/>
      <c r="K2" s="30"/>
      <c r="L2" s="30"/>
      <c r="M2" s="32"/>
      <c r="O2" s="33"/>
      <c r="T2" s="34" t="s">
        <v>2</v>
      </c>
      <c r="Y2" s="35"/>
      <c r="AA2" s="36" t="s">
        <v>3</v>
      </c>
    </row>
    <row r="3" spans="1:43" ht="14.1" customHeight="1">
      <c r="A3" s="20">
        <v>3</v>
      </c>
      <c r="B3" s="29"/>
      <c r="C3" s="30"/>
      <c r="D3" s="30"/>
      <c r="E3" s="30"/>
      <c r="F3" s="30"/>
      <c r="G3" s="30"/>
      <c r="H3" s="31" t="s">
        <v>4</v>
      </c>
      <c r="I3" s="30"/>
      <c r="J3" s="30"/>
      <c r="K3" s="30"/>
      <c r="L3" s="30"/>
      <c r="M3" s="32"/>
      <c r="O3" s="33"/>
      <c r="T3" s="34" t="s">
        <v>4</v>
      </c>
      <c r="Y3" s="35"/>
      <c r="AA3" s="37" t="str">
        <f>IF(AB7="","",AB7)</f>
        <v/>
      </c>
    </row>
    <row r="4" spans="1:43" ht="14.1" customHeight="1">
      <c r="A4" s="20">
        <v>4</v>
      </c>
      <c r="B4" s="29"/>
      <c r="C4" s="30"/>
      <c r="D4" s="30"/>
      <c r="E4" s="30"/>
      <c r="F4" s="30"/>
      <c r="G4" s="30"/>
      <c r="H4" s="30"/>
      <c r="I4" s="30"/>
      <c r="J4" s="30"/>
      <c r="K4" s="30"/>
      <c r="L4" s="30"/>
      <c r="M4" s="32"/>
      <c r="O4" s="33"/>
      <c r="T4" s="601"/>
      <c r="Y4" s="35"/>
      <c r="AA4" s="38" t="s">
        <v>5</v>
      </c>
      <c r="AB4" s="39" t="s">
        <v>6</v>
      </c>
    </row>
    <row r="5" spans="1:43" ht="14.1" customHeight="1">
      <c r="A5" s="20">
        <v>5</v>
      </c>
      <c r="B5" s="29"/>
      <c r="C5" s="30"/>
      <c r="D5" s="30"/>
      <c r="E5" s="30"/>
      <c r="F5" s="30"/>
      <c r="G5" s="30"/>
      <c r="H5" s="31" t="s">
        <v>7</v>
      </c>
      <c r="I5" s="30"/>
      <c r="J5" s="30"/>
      <c r="K5" s="30"/>
      <c r="L5" s="30"/>
      <c r="M5" s="32"/>
      <c r="O5" s="33"/>
      <c r="T5" s="34" t="s">
        <v>7</v>
      </c>
      <c r="Y5" s="35"/>
    </row>
    <row r="6" spans="1:43" ht="14.1" customHeight="1" thickBot="1">
      <c r="A6" s="20">
        <v>6</v>
      </c>
      <c r="B6" s="40"/>
      <c r="C6" s="41"/>
      <c r="D6" s="41"/>
      <c r="E6" s="41"/>
      <c r="F6" s="41"/>
      <c r="G6" s="41"/>
      <c r="H6" s="41"/>
      <c r="I6" s="41"/>
      <c r="J6" s="41"/>
      <c r="K6" s="41"/>
      <c r="L6" s="41"/>
      <c r="M6" s="42"/>
      <c r="O6" s="43"/>
      <c r="P6" s="44"/>
      <c r="Q6" s="44"/>
      <c r="R6" s="44"/>
      <c r="S6" s="44"/>
      <c r="T6" s="44"/>
      <c r="U6" s="44"/>
      <c r="V6" s="44"/>
      <c r="W6" s="44"/>
      <c r="X6" s="44"/>
      <c r="Y6" s="45"/>
      <c r="AA6" s="46" t="s">
        <v>8</v>
      </c>
      <c r="AB6" s="24" t="s">
        <v>9</v>
      </c>
      <c r="AD6" s="24" t="s">
        <v>10</v>
      </c>
    </row>
    <row r="7" spans="1:43" ht="14.1" customHeight="1" thickTop="1">
      <c r="A7" s="20">
        <v>7</v>
      </c>
      <c r="O7" s="24" t="s">
        <v>11</v>
      </c>
      <c r="P7" s="47"/>
      <c r="Q7" s="48"/>
      <c r="W7" s="24" t="s">
        <v>12</v>
      </c>
      <c r="X7" s="49" t="str">
        <f>IF(Y7&lt;&gt;"",Y7,IF(AB9="","",AB9))</f>
        <v>Eugene Mah</v>
      </c>
      <c r="Y7" s="50" t="s">
        <v>13</v>
      </c>
      <c r="AA7" s="38" t="s">
        <v>1</v>
      </c>
      <c r="AB7" s="51"/>
      <c r="AC7" s="52" t="str">
        <f t="shared" ref="AC7:AC19" si="0">IF(AB7&lt;&gt;AD7,"Change","")</f>
        <v>Change</v>
      </c>
      <c r="AD7" s="53" t="str">
        <f>IF(OR(AA2="",AA2=0),"",AA2)</f>
        <v>Page1,HVLPage,ExpChart,ImgQuality,Compg1,GraphAcryl,LeedsTO10</v>
      </c>
    </row>
    <row r="8" spans="1:43" ht="14.1" customHeight="1" thickBot="1">
      <c r="A8" s="20">
        <v>8</v>
      </c>
      <c r="G8" s="54"/>
      <c r="H8" s="54" t="s">
        <v>14</v>
      </c>
      <c r="O8" s="24" t="s">
        <v>15</v>
      </c>
      <c r="P8" s="55" t="str">
        <f>IF(AB8="","",AB8)</f>
        <v/>
      </c>
      <c r="Q8" s="56"/>
      <c r="T8" s="266" t="s">
        <v>14</v>
      </c>
      <c r="W8" s="58"/>
      <c r="X8" s="58"/>
      <c r="Y8" s="59"/>
      <c r="AA8" s="38" t="s">
        <v>16</v>
      </c>
      <c r="AB8" s="60"/>
      <c r="AC8" s="52" t="str">
        <f t="shared" si="0"/>
        <v/>
      </c>
      <c r="AD8" s="61" t="str">
        <f>IF(P7="","",P7)</f>
        <v/>
      </c>
    </row>
    <row r="9" spans="1:43" ht="14.1" customHeight="1" thickTop="1" thickBot="1">
      <c r="A9" s="20">
        <v>9</v>
      </c>
      <c r="B9" s="62"/>
      <c r="C9" s="63"/>
      <c r="D9" s="64" t="s">
        <v>17</v>
      </c>
      <c r="E9" s="63"/>
      <c r="F9" s="63"/>
      <c r="G9" s="63"/>
      <c r="H9" s="63"/>
      <c r="I9" s="63"/>
      <c r="J9" s="63"/>
      <c r="K9" s="63"/>
      <c r="L9" s="63"/>
      <c r="M9" s="65"/>
      <c r="O9" s="66"/>
      <c r="P9" s="67" t="s">
        <v>17</v>
      </c>
      <c r="Q9" s="26"/>
      <c r="R9" s="26"/>
      <c r="S9" s="68" t="s">
        <v>18</v>
      </c>
      <c r="T9" s="26"/>
      <c r="U9" s="26"/>
      <c r="V9" s="26"/>
      <c r="W9" s="68" t="s">
        <v>18</v>
      </c>
      <c r="X9" s="26"/>
      <c r="Y9" s="27"/>
      <c r="AA9" s="38" t="s">
        <v>19</v>
      </c>
      <c r="AB9" s="69" t="s">
        <v>13</v>
      </c>
      <c r="AC9" s="52" t="str">
        <f t="shared" si="0"/>
        <v/>
      </c>
      <c r="AD9" s="70" t="str">
        <f>IF(X7="","",X7)</f>
        <v>Eugene Mah</v>
      </c>
      <c r="AH9" s="601" t="s">
        <v>20</v>
      </c>
      <c r="AI9" s="601" t="s">
        <v>21</v>
      </c>
      <c r="AJ9" s="620" t="s">
        <v>22</v>
      </c>
      <c r="AK9" s="601" t="s">
        <v>23</v>
      </c>
      <c r="AL9" s="601" t="s">
        <v>24</v>
      </c>
      <c r="AM9" s="601" t="s">
        <v>25</v>
      </c>
      <c r="AN9" s="601" t="s">
        <v>26</v>
      </c>
      <c r="AO9" s="601" t="s">
        <v>27</v>
      </c>
      <c r="AP9" s="601" t="s">
        <v>28</v>
      </c>
      <c r="AQ9" s="601" t="s">
        <v>29</v>
      </c>
    </row>
    <row r="10" spans="1:43" ht="14.1" customHeight="1">
      <c r="A10" s="20">
        <v>10</v>
      </c>
      <c r="B10" s="71"/>
      <c r="C10" s="72"/>
      <c r="E10" s="38" t="s">
        <v>30</v>
      </c>
      <c r="F10" s="805" t="str">
        <f>IF(R10="","",R10)</f>
        <v/>
      </c>
      <c r="G10" s="805"/>
      <c r="J10" s="38" t="s">
        <v>31</v>
      </c>
      <c r="K10" s="805" t="str">
        <f>IF(V10="","",V10)</f>
        <v/>
      </c>
      <c r="L10" s="805"/>
      <c r="M10" s="73"/>
      <c r="O10" s="33"/>
      <c r="Q10" s="38" t="s">
        <v>30</v>
      </c>
      <c r="R10" s="49" t="str">
        <f>IF(S10&lt;&gt;"",S10,IF(AB10="","",AB10))</f>
        <v/>
      </c>
      <c r="S10" s="50"/>
      <c r="U10" s="38" t="s">
        <v>31</v>
      </c>
      <c r="V10" s="49" t="str">
        <f>IF(W10&lt;&gt;"",W10,IF(AB15="","",AB15))</f>
        <v/>
      </c>
      <c r="W10" s="50"/>
      <c r="Y10" s="35"/>
      <c r="AA10" s="38" t="s">
        <v>30</v>
      </c>
      <c r="AB10" s="69"/>
      <c r="AC10" s="52" t="str">
        <f t="shared" si="0"/>
        <v/>
      </c>
      <c r="AD10" s="70" t="str">
        <f>IF(R10="","",R10)</f>
        <v/>
      </c>
      <c r="AH10" s="605">
        <v>24</v>
      </c>
      <c r="AI10" s="603">
        <v>50</v>
      </c>
      <c r="AJ10" s="214">
        <v>0</v>
      </c>
      <c r="AK10" s="603" t="str">
        <f>IF($V$21="","",$V$21)</f>
        <v>Mo</v>
      </c>
      <c r="AL10" s="603" t="str">
        <f>IF($V$24="","",$V$24)</f>
        <v>Mo</v>
      </c>
      <c r="AM10" s="603"/>
      <c r="AN10" s="603"/>
      <c r="AO10" s="603"/>
      <c r="AP10" s="603"/>
      <c r="AQ10" s="606" t="s">
        <v>580</v>
      </c>
    </row>
    <row r="11" spans="1:43" ht="14.1" customHeight="1">
      <c r="A11" s="20">
        <v>11</v>
      </c>
      <c r="B11" s="71"/>
      <c r="C11" s="72"/>
      <c r="E11" s="38" t="s">
        <v>33</v>
      </c>
      <c r="F11" s="813" t="str">
        <f>IF(R11="","",R11)</f>
        <v/>
      </c>
      <c r="G11" s="813"/>
      <c r="J11" s="38" t="s">
        <v>34</v>
      </c>
      <c r="K11" s="805" t="str">
        <f>IF(V11="","",V11)</f>
        <v/>
      </c>
      <c r="L11" s="805"/>
      <c r="M11" s="73"/>
      <c r="O11" s="33"/>
      <c r="Q11" s="38" t="s">
        <v>33</v>
      </c>
      <c r="R11" s="49" t="str">
        <f>IF(S11&lt;&gt;"",S11,IF(AB11="","",AB11))</f>
        <v/>
      </c>
      <c r="S11" s="50"/>
      <c r="U11" s="38" t="s">
        <v>34</v>
      </c>
      <c r="V11" s="49" t="str">
        <f>IF(W11&lt;&gt;"",W11,IF(AB16="","",AB16))</f>
        <v/>
      </c>
      <c r="W11" s="50"/>
      <c r="Y11" s="35"/>
      <c r="AA11" s="38" t="s">
        <v>33</v>
      </c>
      <c r="AB11" s="69"/>
      <c r="AC11" s="52" t="str">
        <f t="shared" si="0"/>
        <v/>
      </c>
      <c r="AD11" s="70" t="str">
        <f>IF(R11="","",R11)</f>
        <v/>
      </c>
      <c r="AH11" s="611">
        <v>24</v>
      </c>
      <c r="AI11" s="612">
        <v>50</v>
      </c>
      <c r="AJ11" s="613">
        <v>0</v>
      </c>
      <c r="AK11" s="612" t="str">
        <f t="shared" ref="AK11:AK74" si="1">IF($V$21="","",$V$21)</f>
        <v>Mo</v>
      </c>
      <c r="AL11" s="612" t="str">
        <f t="shared" ref="AL11:AL56" si="2">IF($V$24="","",$V$24)</f>
        <v>Mo</v>
      </c>
      <c r="AM11" s="612"/>
      <c r="AN11" s="612"/>
      <c r="AO11" s="612"/>
      <c r="AP11" s="612"/>
      <c r="AQ11" s="614" t="s">
        <v>580</v>
      </c>
    </row>
    <row r="12" spans="1:43" ht="14.1" customHeight="1">
      <c r="A12" s="20">
        <v>12</v>
      </c>
      <c r="B12" s="71"/>
      <c r="C12" s="72"/>
      <c r="E12" s="38" t="s">
        <v>35</v>
      </c>
      <c r="F12" s="813" t="str">
        <f>IF(R12="","",R12)</f>
        <v/>
      </c>
      <c r="G12" s="813"/>
      <c r="J12" s="38" t="s">
        <v>36</v>
      </c>
      <c r="K12" s="814" t="str">
        <f>IF(V12="","",V12)</f>
        <v/>
      </c>
      <c r="L12" s="814"/>
      <c r="M12" s="73"/>
      <c r="O12" s="33"/>
      <c r="Q12" s="38" t="s">
        <v>35</v>
      </c>
      <c r="R12" s="49" t="str">
        <f>IF(S12&lt;&gt;"",S12,IF(AB12="","",AB12))</f>
        <v/>
      </c>
      <c r="S12" s="50"/>
      <c r="U12" s="38" t="s">
        <v>36</v>
      </c>
      <c r="V12" s="76" t="str">
        <f>IF(W12&lt;&gt;"",W12,IF(AB17="","",AB17))</f>
        <v/>
      </c>
      <c r="W12" s="77"/>
      <c r="Y12" s="35"/>
      <c r="AA12" s="38" t="s">
        <v>35</v>
      </c>
      <c r="AB12" s="69"/>
      <c r="AC12" s="52" t="str">
        <f t="shared" si="0"/>
        <v/>
      </c>
      <c r="AD12" s="70" t="str">
        <f>IF(R12="","",R12)</f>
        <v/>
      </c>
      <c r="AH12" s="611">
        <v>24</v>
      </c>
      <c r="AI12" s="612">
        <v>50</v>
      </c>
      <c r="AJ12" s="613">
        <v>0.2</v>
      </c>
      <c r="AK12" s="612" t="str">
        <f t="shared" si="1"/>
        <v>Mo</v>
      </c>
      <c r="AL12" s="612" t="str">
        <f t="shared" si="2"/>
        <v>Mo</v>
      </c>
      <c r="AM12" s="612"/>
      <c r="AN12" s="612"/>
      <c r="AO12" s="612"/>
      <c r="AP12" s="612"/>
      <c r="AQ12" s="614" t="s">
        <v>580</v>
      </c>
    </row>
    <row r="13" spans="1:43" ht="14.1" customHeight="1">
      <c r="A13" s="20">
        <v>13</v>
      </c>
      <c r="B13" s="71"/>
      <c r="C13" s="72"/>
      <c r="E13" s="38" t="s">
        <v>37</v>
      </c>
      <c r="F13" s="813" t="str">
        <f>IF(R13="","",R13)</f>
        <v/>
      </c>
      <c r="G13" s="813"/>
      <c r="J13" s="38" t="s">
        <v>38</v>
      </c>
      <c r="K13" s="805" t="str">
        <f>IF(V13="","",V13)</f>
        <v/>
      </c>
      <c r="L13" s="805"/>
      <c r="M13" s="73"/>
      <c r="O13" s="33"/>
      <c r="Q13" s="38" t="s">
        <v>37</v>
      </c>
      <c r="R13" s="49" t="str">
        <f>IF(S13&lt;&gt;"",S13,IF(AB13="","",AB13))</f>
        <v/>
      </c>
      <c r="S13" s="50"/>
      <c r="U13" s="38" t="s">
        <v>38</v>
      </c>
      <c r="V13" s="49" t="str">
        <f>IF(W13&lt;&gt;"",W13,IF(AB18="","",AB18))</f>
        <v/>
      </c>
      <c r="W13" s="50"/>
      <c r="Y13" s="35"/>
      <c r="AA13" s="38" t="s">
        <v>37</v>
      </c>
      <c r="AB13" s="69"/>
      <c r="AC13" s="52" t="str">
        <f t="shared" si="0"/>
        <v/>
      </c>
      <c r="AD13" s="70" t="str">
        <f>IF(R13="","",R13)</f>
        <v/>
      </c>
      <c r="AH13" s="611">
        <v>24</v>
      </c>
      <c r="AI13" s="612">
        <v>50</v>
      </c>
      <c r="AJ13" s="613">
        <v>0.2</v>
      </c>
      <c r="AK13" s="612" t="str">
        <f t="shared" si="1"/>
        <v>Mo</v>
      </c>
      <c r="AL13" s="612" t="str">
        <f t="shared" si="2"/>
        <v>Mo</v>
      </c>
      <c r="AM13" s="612"/>
      <c r="AN13" s="612"/>
      <c r="AO13" s="612"/>
      <c r="AP13" s="612"/>
      <c r="AQ13" s="614" t="s">
        <v>580</v>
      </c>
    </row>
    <row r="14" spans="1:43" ht="14.1" customHeight="1">
      <c r="A14" s="20">
        <v>14</v>
      </c>
      <c r="B14" s="71"/>
      <c r="C14" s="72"/>
      <c r="M14" s="73"/>
      <c r="O14" s="33"/>
      <c r="Q14" s="38" t="s">
        <v>39</v>
      </c>
      <c r="R14" s="49" t="str">
        <f>IF(S14&lt;&gt;"",S14,IF(AB14="","",AB14))</f>
        <v/>
      </c>
      <c r="S14" s="50"/>
      <c r="U14" s="38" t="s">
        <v>40</v>
      </c>
      <c r="V14" s="49" t="str">
        <f>IF(W14&lt;&gt;"",W14,IF(AB19="","",AB19))</f>
        <v/>
      </c>
      <c r="W14" s="50"/>
      <c r="Y14" s="35"/>
      <c r="AA14" s="38" t="s">
        <v>39</v>
      </c>
      <c r="AB14" s="78"/>
      <c r="AC14" s="52" t="str">
        <f t="shared" si="0"/>
        <v/>
      </c>
      <c r="AD14" s="70" t="str">
        <f>IF(R14="","",R14)</f>
        <v/>
      </c>
      <c r="AH14" s="611">
        <v>24</v>
      </c>
      <c r="AI14" s="612">
        <v>50</v>
      </c>
      <c r="AJ14" s="613">
        <v>0.3</v>
      </c>
      <c r="AK14" s="612" t="str">
        <f t="shared" si="1"/>
        <v>Mo</v>
      </c>
      <c r="AL14" s="612" t="str">
        <f t="shared" si="2"/>
        <v>Mo</v>
      </c>
      <c r="AM14" s="612"/>
      <c r="AN14" s="612"/>
      <c r="AO14" s="612"/>
      <c r="AP14" s="612"/>
      <c r="AQ14" s="614" t="s">
        <v>580</v>
      </c>
    </row>
    <row r="15" spans="1:43" ht="14.1" customHeight="1">
      <c r="A15" s="20">
        <v>15</v>
      </c>
      <c r="B15" s="71"/>
      <c r="C15" s="72"/>
      <c r="D15" s="79" t="s">
        <v>41</v>
      </c>
      <c r="M15" s="73"/>
      <c r="O15" s="33"/>
      <c r="Y15" s="35"/>
      <c r="AA15" s="38" t="s">
        <v>31</v>
      </c>
      <c r="AB15" s="69"/>
      <c r="AC15" s="52" t="str">
        <f t="shared" si="0"/>
        <v/>
      </c>
      <c r="AD15" s="70" t="str">
        <f>IF(V10="","",V10)</f>
        <v/>
      </c>
      <c r="AH15" s="611">
        <v>24</v>
      </c>
      <c r="AI15" s="612">
        <v>50</v>
      </c>
      <c r="AJ15" s="613">
        <v>0.3</v>
      </c>
      <c r="AK15" s="612" t="str">
        <f t="shared" si="1"/>
        <v>Mo</v>
      </c>
      <c r="AL15" s="612" t="str">
        <f t="shared" si="2"/>
        <v>Mo</v>
      </c>
      <c r="AM15" s="612"/>
      <c r="AN15" s="612"/>
      <c r="AO15" s="612"/>
      <c r="AP15" s="612"/>
      <c r="AQ15" s="614" t="s">
        <v>580</v>
      </c>
    </row>
    <row r="16" spans="1:43" ht="14.1" customHeight="1">
      <c r="A16" s="20">
        <v>16</v>
      </c>
      <c r="B16" s="71"/>
      <c r="C16" s="72"/>
      <c r="E16" s="38" t="s">
        <v>42</v>
      </c>
      <c r="F16" s="805" t="str">
        <f>IF(R17="","",R17)</f>
        <v/>
      </c>
      <c r="G16" s="805"/>
      <c r="J16" s="38" t="s">
        <v>43</v>
      </c>
      <c r="K16" s="814" t="str">
        <f>IF(V17="","",V17)</f>
        <v/>
      </c>
      <c r="L16" s="814"/>
      <c r="M16" s="73"/>
      <c r="O16" s="33"/>
      <c r="P16" s="79" t="s">
        <v>41</v>
      </c>
      <c r="Y16" s="35"/>
      <c r="AA16" s="38" t="s">
        <v>34</v>
      </c>
      <c r="AB16" s="69"/>
      <c r="AC16" s="52" t="str">
        <f t="shared" si="0"/>
        <v/>
      </c>
      <c r="AD16" s="70" t="str">
        <f>IF(V11="","",V11)</f>
        <v/>
      </c>
      <c r="AH16" s="611">
        <v>24</v>
      </c>
      <c r="AI16" s="612">
        <v>50</v>
      </c>
      <c r="AJ16" s="613">
        <v>0.4</v>
      </c>
      <c r="AK16" s="612" t="str">
        <f t="shared" si="1"/>
        <v>Mo</v>
      </c>
      <c r="AL16" s="612" t="str">
        <f t="shared" si="2"/>
        <v>Mo</v>
      </c>
      <c r="AM16" s="612"/>
      <c r="AN16" s="612"/>
      <c r="AO16" s="612"/>
      <c r="AP16" s="612"/>
      <c r="AQ16" s="614" t="s">
        <v>580</v>
      </c>
    </row>
    <row r="17" spans="1:43" ht="14.1" customHeight="1">
      <c r="A17" s="20">
        <v>17</v>
      </c>
      <c r="B17" s="71"/>
      <c r="C17" s="72"/>
      <c r="E17" s="38" t="s">
        <v>44</v>
      </c>
      <c r="F17" s="805" t="str">
        <f>IF(R18="","",R18)</f>
        <v/>
      </c>
      <c r="G17" s="805"/>
      <c r="J17" s="38" t="s">
        <v>45</v>
      </c>
      <c r="K17" s="815" t="str">
        <f>IF(V18="","",V18)</f>
        <v/>
      </c>
      <c r="L17" s="815"/>
      <c r="M17" s="73"/>
      <c r="O17" s="33"/>
      <c r="Q17" s="38" t="s">
        <v>42</v>
      </c>
      <c r="R17" s="49" t="str">
        <f>IF(S17&lt;&gt;"",S17,IF(AB21="","",AB21))</f>
        <v/>
      </c>
      <c r="S17" s="50"/>
      <c r="U17" s="38" t="s">
        <v>43</v>
      </c>
      <c r="V17" s="76" t="str">
        <f>IF(W17&lt;&gt;"",W17,IF(AB24="","",AB24))</f>
        <v/>
      </c>
      <c r="W17" s="80"/>
      <c r="Y17" s="35"/>
      <c r="AA17" s="38" t="s">
        <v>36</v>
      </c>
      <c r="AB17" s="81"/>
      <c r="AC17" s="52" t="str">
        <f t="shared" si="0"/>
        <v/>
      </c>
      <c r="AD17" s="82" t="str">
        <f>IF(V12="","",V12)</f>
        <v/>
      </c>
      <c r="AH17" s="611">
        <v>24</v>
      </c>
      <c r="AI17" s="612">
        <v>50</v>
      </c>
      <c r="AJ17" s="613">
        <v>0.4</v>
      </c>
      <c r="AK17" s="612" t="str">
        <f t="shared" si="1"/>
        <v>Mo</v>
      </c>
      <c r="AL17" s="612" t="str">
        <f t="shared" si="2"/>
        <v>Mo</v>
      </c>
      <c r="AM17" s="612"/>
      <c r="AN17" s="612"/>
      <c r="AO17" s="612"/>
      <c r="AP17" s="612"/>
      <c r="AQ17" s="614" t="s">
        <v>580</v>
      </c>
    </row>
    <row r="18" spans="1:43" ht="14.1" customHeight="1">
      <c r="A18" s="20">
        <v>18</v>
      </c>
      <c r="B18" s="71"/>
      <c r="C18" s="72"/>
      <c r="E18" s="38" t="s">
        <v>46</v>
      </c>
      <c r="F18" s="805" t="str">
        <f>IF(R19="","",R19)</f>
        <v/>
      </c>
      <c r="G18" s="805"/>
      <c r="J18" s="38" t="s">
        <v>47</v>
      </c>
      <c r="K18" s="805" t="str">
        <f>IF(V19="","",V19)</f>
        <v/>
      </c>
      <c r="L18" s="805"/>
      <c r="M18" s="73"/>
      <c r="O18" s="33"/>
      <c r="Q18" s="38" t="s">
        <v>44</v>
      </c>
      <c r="R18" s="49" t="str">
        <f>IF(S18&lt;&gt;"",S18,IF(AB22="","",AB22))</f>
        <v/>
      </c>
      <c r="S18" s="50"/>
      <c r="U18" s="38" t="s">
        <v>45</v>
      </c>
      <c r="V18" s="49" t="str">
        <f>IF(W18&lt;&gt;"",W18,IF(AB25="","",AB25))</f>
        <v/>
      </c>
      <c r="W18" s="50"/>
      <c r="Y18" s="35"/>
      <c r="AA18" s="38" t="s">
        <v>38</v>
      </c>
      <c r="AB18" s="69"/>
      <c r="AC18" s="52" t="str">
        <f t="shared" si="0"/>
        <v/>
      </c>
      <c r="AD18" s="70" t="str">
        <f>IF(V13="","",V13)</f>
        <v/>
      </c>
      <c r="AH18" s="607">
        <v>25</v>
      </c>
      <c r="AI18" s="19">
        <v>50</v>
      </c>
      <c r="AJ18" s="74">
        <v>0</v>
      </c>
      <c r="AK18" s="19" t="str">
        <f t="shared" si="1"/>
        <v>Mo</v>
      </c>
      <c r="AL18" s="19" t="str">
        <f t="shared" si="2"/>
        <v>Mo</v>
      </c>
      <c r="AM18" s="19"/>
      <c r="AN18" s="19"/>
      <c r="AO18" s="19"/>
      <c r="AP18" s="19"/>
      <c r="AQ18" s="608" t="s">
        <v>580</v>
      </c>
    </row>
    <row r="19" spans="1:43" ht="14.1" customHeight="1">
      <c r="A19" s="20">
        <v>19</v>
      </c>
      <c r="B19" s="71"/>
      <c r="C19" s="72"/>
      <c r="M19" s="73"/>
      <c r="O19" s="33"/>
      <c r="Q19" s="38" t="s">
        <v>46</v>
      </c>
      <c r="R19" s="49" t="str">
        <f>IF(S19&lt;&gt;"",S19,IF(AB23="","",AB23))</f>
        <v/>
      </c>
      <c r="S19" s="50"/>
      <c r="U19" s="38" t="s">
        <v>47</v>
      </c>
      <c r="V19" s="49" t="str">
        <f>IF(W19&lt;&gt;"",W19,IF(AB26="","",AB26))</f>
        <v/>
      </c>
      <c r="W19" s="50"/>
      <c r="Y19" s="35"/>
      <c r="AA19" s="38" t="s">
        <v>48</v>
      </c>
      <c r="AB19" s="69"/>
      <c r="AC19" s="52" t="str">
        <f t="shared" si="0"/>
        <v/>
      </c>
      <c r="AD19" s="70" t="str">
        <f>IF(V14="","",V14)</f>
        <v/>
      </c>
      <c r="AH19" s="611">
        <v>25</v>
      </c>
      <c r="AI19" s="612">
        <v>50</v>
      </c>
      <c r="AJ19" s="613">
        <v>0</v>
      </c>
      <c r="AK19" s="612" t="str">
        <f t="shared" si="1"/>
        <v>Mo</v>
      </c>
      <c r="AL19" s="612" t="str">
        <f t="shared" si="2"/>
        <v>Mo</v>
      </c>
      <c r="AM19" s="612"/>
      <c r="AN19" s="612"/>
      <c r="AO19" s="612"/>
      <c r="AP19" s="612"/>
      <c r="AQ19" s="614" t="s">
        <v>580</v>
      </c>
    </row>
    <row r="20" spans="1:43" ht="14.1" customHeight="1">
      <c r="A20" s="20">
        <v>20</v>
      </c>
      <c r="B20" s="71"/>
      <c r="C20" s="72"/>
      <c r="D20" s="79" t="s">
        <v>49</v>
      </c>
      <c r="J20" s="83"/>
      <c r="M20" s="73"/>
      <c r="O20" s="33"/>
      <c r="Y20" s="35"/>
      <c r="AA20" s="46" t="s">
        <v>41</v>
      </c>
      <c r="AH20" s="611">
        <v>25</v>
      </c>
      <c r="AI20" s="612">
        <v>50</v>
      </c>
      <c r="AJ20" s="613">
        <v>0.2</v>
      </c>
      <c r="AK20" s="612" t="str">
        <f t="shared" si="1"/>
        <v>Mo</v>
      </c>
      <c r="AL20" s="612" t="str">
        <f t="shared" si="2"/>
        <v>Mo</v>
      </c>
      <c r="AM20" s="612"/>
      <c r="AN20" s="612"/>
      <c r="AO20" s="612"/>
      <c r="AP20" s="612"/>
      <c r="AQ20" s="614" t="s">
        <v>580</v>
      </c>
    </row>
    <row r="21" spans="1:43" ht="14.1" customHeight="1">
      <c r="A21" s="20">
        <v>21</v>
      </c>
      <c r="B21" s="71"/>
      <c r="C21" s="72"/>
      <c r="E21" s="38" t="s">
        <v>50</v>
      </c>
      <c r="F21" s="805" t="str">
        <f>IF(R22="","",R22)</f>
        <v/>
      </c>
      <c r="G21" s="805"/>
      <c r="J21" s="38" t="s">
        <v>51</v>
      </c>
      <c r="K21" s="805" t="str">
        <f>IF(V21="","",V21)</f>
        <v>Mo</v>
      </c>
      <c r="L21" s="805"/>
      <c r="M21" s="73"/>
      <c r="O21" s="33"/>
      <c r="P21" s="79" t="s">
        <v>49</v>
      </c>
      <c r="U21" s="79" t="s">
        <v>51</v>
      </c>
      <c r="V21" s="49" t="str">
        <f>IF(W21&lt;&gt;"",W21,IF(AB38="","",AB38))</f>
        <v>Mo</v>
      </c>
      <c r="W21" s="50" t="s">
        <v>32</v>
      </c>
      <c r="Y21" s="35"/>
      <c r="AA21" s="38" t="s">
        <v>42</v>
      </c>
      <c r="AB21" s="69"/>
      <c r="AC21" s="52" t="str">
        <f t="shared" ref="AC21:AC26" si="3">IF(AB21&lt;&gt;AD21,"Change","")</f>
        <v/>
      </c>
      <c r="AD21" s="70" t="str">
        <f>IF(R17="","",R17)</f>
        <v/>
      </c>
      <c r="AH21" s="611">
        <v>25</v>
      </c>
      <c r="AI21" s="612">
        <v>50</v>
      </c>
      <c r="AJ21" s="613">
        <v>0.2</v>
      </c>
      <c r="AK21" s="612" t="str">
        <f t="shared" si="1"/>
        <v>Mo</v>
      </c>
      <c r="AL21" s="612" t="str">
        <f t="shared" si="2"/>
        <v>Mo</v>
      </c>
      <c r="AM21" s="612"/>
      <c r="AN21" s="612"/>
      <c r="AO21" s="612"/>
      <c r="AP21" s="612"/>
      <c r="AQ21" s="614" t="s">
        <v>580</v>
      </c>
    </row>
    <row r="22" spans="1:43" ht="14.1" customHeight="1">
      <c r="A22" s="20">
        <v>22</v>
      </c>
      <c r="B22" s="71"/>
      <c r="C22" s="72"/>
      <c r="E22" s="38" t="s">
        <v>43</v>
      </c>
      <c r="F22" s="814" t="str">
        <f>IF(R23="","",R23)</f>
        <v/>
      </c>
      <c r="G22" s="814"/>
      <c r="J22" s="38"/>
      <c r="K22" s="805" t="str">
        <f>IF(V22="","",V22)</f>
        <v>W</v>
      </c>
      <c r="L22" s="805"/>
      <c r="M22" s="73"/>
      <c r="O22" s="33"/>
      <c r="Q22" s="38" t="s">
        <v>50</v>
      </c>
      <c r="R22" s="49" t="str">
        <f>IF(S22&lt;&gt;"",S22,IF(AB28="","",AB28))</f>
        <v/>
      </c>
      <c r="S22" s="50"/>
      <c r="V22" s="49" t="str">
        <f>IF(W22&lt;&gt;"",W22,IF(AB39="","",AB39))</f>
        <v>W</v>
      </c>
      <c r="W22" s="50" t="s">
        <v>52</v>
      </c>
      <c r="Y22" s="35"/>
      <c r="AA22" s="38" t="s">
        <v>44</v>
      </c>
      <c r="AB22" s="69"/>
      <c r="AC22" s="52" t="str">
        <f t="shared" si="3"/>
        <v/>
      </c>
      <c r="AD22" s="70" t="str">
        <f>IF(R18="","",R18)</f>
        <v/>
      </c>
      <c r="AH22" s="611">
        <v>25</v>
      </c>
      <c r="AI22" s="612">
        <v>50</v>
      </c>
      <c r="AJ22" s="613">
        <v>0.3</v>
      </c>
      <c r="AK22" s="612" t="str">
        <f t="shared" si="1"/>
        <v>Mo</v>
      </c>
      <c r="AL22" s="612" t="str">
        <f t="shared" si="2"/>
        <v>Mo</v>
      </c>
      <c r="AM22" s="612"/>
      <c r="AN22" s="612"/>
      <c r="AO22" s="612"/>
      <c r="AP22" s="612"/>
      <c r="AQ22" s="614" t="s">
        <v>580</v>
      </c>
    </row>
    <row r="23" spans="1:43" ht="14.1" customHeight="1">
      <c r="A23" s="20">
        <v>23</v>
      </c>
      <c r="B23" s="71"/>
      <c r="C23" s="72"/>
      <c r="D23" s="79" t="s">
        <v>53</v>
      </c>
      <c r="J23" s="38" t="s">
        <v>54</v>
      </c>
      <c r="K23" s="805" t="str">
        <f>IF(V24="","",V24)</f>
        <v>Mo</v>
      </c>
      <c r="L23" s="805"/>
      <c r="M23" s="73"/>
      <c r="O23" s="33"/>
      <c r="Q23" s="38" t="s">
        <v>43</v>
      </c>
      <c r="R23" s="76" t="str">
        <f>IF(S23&lt;&gt;"",S23,IF(AB29="","",AB29))</f>
        <v/>
      </c>
      <c r="S23" s="80"/>
      <c r="V23" s="6"/>
      <c r="W23" s="6"/>
      <c r="Y23" s="35"/>
      <c r="AA23" s="38" t="s">
        <v>46</v>
      </c>
      <c r="AB23" s="69"/>
      <c r="AC23" s="52" t="str">
        <f t="shared" si="3"/>
        <v/>
      </c>
      <c r="AD23" s="70" t="str">
        <f>IF(R19="","",R19)</f>
        <v/>
      </c>
      <c r="AH23" s="611">
        <v>25</v>
      </c>
      <c r="AI23" s="612">
        <v>50</v>
      </c>
      <c r="AJ23" s="613">
        <v>0.3</v>
      </c>
      <c r="AK23" s="612" t="str">
        <f t="shared" si="1"/>
        <v>Mo</v>
      </c>
      <c r="AL23" s="612" t="str">
        <f t="shared" si="2"/>
        <v>Mo</v>
      </c>
      <c r="AM23" s="612"/>
      <c r="AN23" s="612"/>
      <c r="AO23" s="612"/>
      <c r="AP23" s="612"/>
      <c r="AQ23" s="614" t="s">
        <v>580</v>
      </c>
    </row>
    <row r="24" spans="1:43" ht="14.1" customHeight="1">
      <c r="A24" s="20">
        <v>24</v>
      </c>
      <c r="B24" s="71"/>
      <c r="C24" s="72"/>
      <c r="E24" s="38" t="s">
        <v>42</v>
      </c>
      <c r="F24" s="805" t="str">
        <f>IF(R25="","",R25)</f>
        <v/>
      </c>
      <c r="G24" s="805"/>
      <c r="K24" s="805" t="str">
        <f>IF(V25="","",V25)</f>
        <v>Rh</v>
      </c>
      <c r="L24" s="805"/>
      <c r="M24" s="73"/>
      <c r="O24" s="33"/>
      <c r="P24" s="79" t="s">
        <v>53</v>
      </c>
      <c r="U24" s="79" t="s">
        <v>54</v>
      </c>
      <c r="V24" s="49" t="str">
        <f>IF(W24&lt;&gt;"",W24,IF(AB40="","",AB40))</f>
        <v>Mo</v>
      </c>
      <c r="W24" s="50" t="s">
        <v>32</v>
      </c>
      <c r="Y24" s="35"/>
      <c r="AA24" s="38" t="s">
        <v>43</v>
      </c>
      <c r="AB24" s="81"/>
      <c r="AC24" s="52" t="str">
        <f t="shared" si="3"/>
        <v/>
      </c>
      <c r="AD24" s="82" t="str">
        <f>IF(V17="","",V17)</f>
        <v/>
      </c>
      <c r="AH24" s="611">
        <v>25</v>
      </c>
      <c r="AI24" s="612">
        <v>50</v>
      </c>
      <c r="AJ24" s="613">
        <v>0.4</v>
      </c>
      <c r="AK24" s="612" t="str">
        <f t="shared" si="1"/>
        <v>Mo</v>
      </c>
      <c r="AL24" s="612" t="str">
        <f t="shared" si="2"/>
        <v>Mo</v>
      </c>
      <c r="AM24" s="612"/>
      <c r="AN24" s="612"/>
      <c r="AO24" s="612"/>
      <c r="AP24" s="612"/>
      <c r="AQ24" s="614" t="s">
        <v>580</v>
      </c>
    </row>
    <row r="25" spans="1:43" ht="14.1" customHeight="1">
      <c r="A25" s="20">
        <v>25</v>
      </c>
      <c r="B25" s="71"/>
      <c r="C25" s="72"/>
      <c r="E25" s="38" t="s">
        <v>44</v>
      </c>
      <c r="F25" s="805" t="str">
        <f>IF(R26="","",R26)</f>
        <v/>
      </c>
      <c r="G25" s="805"/>
      <c r="J25" s="6"/>
      <c r="K25" s="6"/>
      <c r="L25" s="6"/>
      <c r="M25" s="73"/>
      <c r="O25" s="33"/>
      <c r="Q25" s="38" t="s">
        <v>42</v>
      </c>
      <c r="R25" s="49" t="str">
        <f>IF(S25&lt;&gt;"",S25,IF(AB30="","",AB30))</f>
        <v/>
      </c>
      <c r="S25" s="50"/>
      <c r="V25" s="49" t="str">
        <f>IF(W25&lt;&gt;"",W25,IF(AB44="","",AB44))</f>
        <v>Rh</v>
      </c>
      <c r="W25" s="50" t="s">
        <v>55</v>
      </c>
      <c r="Y25" s="35"/>
      <c r="AA25" s="38" t="s">
        <v>45</v>
      </c>
      <c r="AB25" s="69"/>
      <c r="AC25" s="52" t="str">
        <f t="shared" si="3"/>
        <v/>
      </c>
      <c r="AD25" s="70" t="str">
        <f>IF(V18="","",V18)</f>
        <v/>
      </c>
      <c r="AH25" s="611">
        <v>25</v>
      </c>
      <c r="AI25" s="612">
        <v>50</v>
      </c>
      <c r="AJ25" s="613">
        <v>0.4</v>
      </c>
      <c r="AK25" s="612" t="str">
        <f t="shared" si="1"/>
        <v>Mo</v>
      </c>
      <c r="AL25" s="612" t="str">
        <f t="shared" si="2"/>
        <v>Mo</v>
      </c>
      <c r="AM25" s="612"/>
      <c r="AN25" s="612"/>
      <c r="AO25" s="612"/>
      <c r="AP25" s="612"/>
      <c r="AQ25" s="614" t="s">
        <v>580</v>
      </c>
    </row>
    <row r="26" spans="1:43" ht="14.1" customHeight="1">
      <c r="A26" s="20">
        <v>26</v>
      </c>
      <c r="B26" s="71"/>
      <c r="C26" s="72"/>
      <c r="E26" s="38" t="s">
        <v>45</v>
      </c>
      <c r="F26" s="805" t="str">
        <f>IF(R27="","",R27)</f>
        <v/>
      </c>
      <c r="G26" s="805"/>
      <c r="I26" s="79" t="s">
        <v>56</v>
      </c>
      <c r="J26" s="6"/>
      <c r="K26" s="6"/>
      <c r="L26" s="6"/>
      <c r="M26" s="73"/>
      <c r="O26" s="33"/>
      <c r="Q26" s="38" t="s">
        <v>44</v>
      </c>
      <c r="R26" s="49" t="str">
        <f>IF(S26&lt;&gt;"",S26,IF(AB31="","",AB31))</f>
        <v/>
      </c>
      <c r="S26" s="50"/>
      <c r="V26" s="6"/>
      <c r="W26" s="6"/>
      <c r="Y26" s="35"/>
      <c r="AA26" s="38" t="s">
        <v>47</v>
      </c>
      <c r="AB26" s="69"/>
      <c r="AC26" s="52" t="str">
        <f t="shared" si="3"/>
        <v/>
      </c>
      <c r="AD26" s="70" t="str">
        <f>IF(V19="","",V19)</f>
        <v/>
      </c>
      <c r="AH26" s="607">
        <v>26</v>
      </c>
      <c r="AI26" s="19">
        <v>50</v>
      </c>
      <c r="AJ26" s="74">
        <v>0</v>
      </c>
      <c r="AK26" s="19" t="str">
        <f t="shared" si="1"/>
        <v>Mo</v>
      </c>
      <c r="AL26" s="19" t="str">
        <f t="shared" si="2"/>
        <v>Mo</v>
      </c>
      <c r="AM26" s="19"/>
      <c r="AN26" s="19"/>
      <c r="AO26" s="19"/>
      <c r="AP26" s="19"/>
      <c r="AQ26" s="608" t="s">
        <v>580</v>
      </c>
    </row>
    <row r="27" spans="1:43" ht="14.1" customHeight="1">
      <c r="A27" s="20">
        <v>27</v>
      </c>
      <c r="B27" s="71"/>
      <c r="C27" s="72"/>
      <c r="D27" s="79" t="s">
        <v>57</v>
      </c>
      <c r="J27" s="38" t="s">
        <v>58</v>
      </c>
      <c r="K27" s="805" t="str">
        <f>IF(V28="","",V28)</f>
        <v/>
      </c>
      <c r="L27" s="805"/>
      <c r="M27" s="73"/>
      <c r="O27" s="33"/>
      <c r="Q27" s="38" t="s">
        <v>45</v>
      </c>
      <c r="R27" s="49" t="str">
        <f>IF(S27&lt;&gt;"",S27,IF(AB32="","",AB32))</f>
        <v/>
      </c>
      <c r="S27" s="50"/>
      <c r="U27" s="83" t="s">
        <v>56</v>
      </c>
      <c r="Y27" s="35"/>
      <c r="AA27" s="79" t="s">
        <v>49</v>
      </c>
      <c r="AH27" s="607">
        <v>28</v>
      </c>
      <c r="AI27" s="19">
        <v>20</v>
      </c>
      <c r="AJ27" s="74">
        <v>0</v>
      </c>
      <c r="AK27" s="19" t="str">
        <f t="shared" si="1"/>
        <v>Mo</v>
      </c>
      <c r="AL27" s="19" t="str">
        <f t="shared" si="2"/>
        <v>Mo</v>
      </c>
      <c r="AM27" s="19"/>
      <c r="AN27" s="19"/>
      <c r="AO27" s="19"/>
      <c r="AP27" s="19"/>
      <c r="AQ27" s="608" t="s">
        <v>580</v>
      </c>
    </row>
    <row r="28" spans="1:43" ht="14.1" customHeight="1">
      <c r="A28" s="20">
        <v>28</v>
      </c>
      <c r="B28" s="71"/>
      <c r="C28" s="72"/>
      <c r="E28" s="38" t="s">
        <v>42</v>
      </c>
      <c r="F28" s="805" t="str">
        <f>IF(R29="","",R29)</f>
        <v/>
      </c>
      <c r="G28" s="805"/>
      <c r="I28" s="6"/>
      <c r="J28" s="38" t="s">
        <v>59</v>
      </c>
      <c r="K28" s="805" t="str">
        <f>IF(V29="","",V29)</f>
        <v/>
      </c>
      <c r="L28" s="805"/>
      <c r="M28" s="73"/>
      <c r="O28" s="33"/>
      <c r="P28" s="79" t="s">
        <v>57</v>
      </c>
      <c r="U28" s="38" t="s">
        <v>58</v>
      </c>
      <c r="V28" s="49" t="str">
        <f>IF(W28&lt;&gt;"",W28,IF(AB36="","",AB36))</f>
        <v/>
      </c>
      <c r="W28" s="50"/>
      <c r="Y28" s="35"/>
      <c r="AA28" s="38" t="s">
        <v>50</v>
      </c>
      <c r="AB28" s="69"/>
      <c r="AC28" s="52" t="str">
        <f t="shared" ref="AC28:AC43" si="4">IF(AB28&lt;&gt;AD28,"Change","")</f>
        <v/>
      </c>
      <c r="AD28" s="70" t="str">
        <f>IF(R22="","",R22)</f>
        <v/>
      </c>
      <c r="AH28" s="607">
        <v>28</v>
      </c>
      <c r="AI28" s="19">
        <v>50</v>
      </c>
      <c r="AJ28" s="74">
        <v>0</v>
      </c>
      <c r="AK28" s="19" t="str">
        <f t="shared" si="1"/>
        <v>Mo</v>
      </c>
      <c r="AL28" s="19" t="str">
        <f t="shared" si="2"/>
        <v>Mo</v>
      </c>
      <c r="AM28" s="19"/>
      <c r="AN28" s="19"/>
      <c r="AO28" s="19"/>
      <c r="AP28" s="19"/>
      <c r="AQ28" s="608" t="s">
        <v>580</v>
      </c>
    </row>
    <row r="29" spans="1:43" ht="14.1" customHeight="1">
      <c r="A29" s="20">
        <v>29</v>
      </c>
      <c r="B29" s="71"/>
      <c r="C29" s="72"/>
      <c r="E29" s="38" t="s">
        <v>44</v>
      </c>
      <c r="F29" s="805" t="str">
        <f>IF(R30="","",R30)</f>
        <v/>
      </c>
      <c r="G29" s="805"/>
      <c r="I29" s="79" t="s">
        <v>60</v>
      </c>
      <c r="J29" s="38" t="s">
        <v>61</v>
      </c>
      <c r="K29" s="805" t="str">
        <f>IF(V32="","",V32)</f>
        <v/>
      </c>
      <c r="L29" s="805"/>
      <c r="M29" s="73"/>
      <c r="O29" s="33"/>
      <c r="Q29" s="38" t="s">
        <v>42</v>
      </c>
      <c r="R29" s="49" t="str">
        <f>IF(S29&lt;&gt;"",S29,IF(AB33="","",AB33))</f>
        <v/>
      </c>
      <c r="S29" s="50"/>
      <c r="U29" s="38" t="s">
        <v>59</v>
      </c>
      <c r="V29" s="49" t="str">
        <f>IF(W29&lt;&gt;"",W29,IF(AB37="","",AB37))</f>
        <v/>
      </c>
      <c r="W29" s="50"/>
      <c r="Y29" s="35"/>
      <c r="AA29" s="38" t="s">
        <v>43</v>
      </c>
      <c r="AB29" s="81"/>
      <c r="AC29" s="52" t="str">
        <f t="shared" si="4"/>
        <v/>
      </c>
      <c r="AD29" s="82" t="str">
        <f>IF(R23="","",R23)</f>
        <v/>
      </c>
      <c r="AH29" s="607">
        <v>28</v>
      </c>
      <c r="AI29" s="19">
        <v>50</v>
      </c>
      <c r="AJ29" s="74">
        <v>0</v>
      </c>
      <c r="AK29" s="19" t="str">
        <f t="shared" si="1"/>
        <v>Mo</v>
      </c>
      <c r="AL29" s="19" t="str">
        <f t="shared" si="2"/>
        <v>Mo</v>
      </c>
      <c r="AM29" s="19"/>
      <c r="AN29" s="19"/>
      <c r="AO29" s="19"/>
      <c r="AP29" s="19"/>
      <c r="AQ29" s="608" t="s">
        <v>580</v>
      </c>
    </row>
    <row r="30" spans="1:43" ht="14.1" customHeight="1">
      <c r="A30" s="20">
        <v>30</v>
      </c>
      <c r="B30" s="71"/>
      <c r="C30" s="72"/>
      <c r="E30" s="38" t="s">
        <v>45</v>
      </c>
      <c r="F30" s="805" t="str">
        <f>IF(R31="","",R31)</f>
        <v/>
      </c>
      <c r="G30" s="805"/>
      <c r="J30" s="38" t="s">
        <v>62</v>
      </c>
      <c r="K30" s="805" t="str">
        <f>IF(V33="","",V33)</f>
        <v/>
      </c>
      <c r="L30" s="805"/>
      <c r="M30" s="73"/>
      <c r="O30" s="33"/>
      <c r="Q30" s="38" t="s">
        <v>44</v>
      </c>
      <c r="R30" s="49" t="str">
        <f>IF(S30&lt;&gt;"",S30,IF(AB34="","",AB34))</f>
        <v/>
      </c>
      <c r="S30" s="50"/>
      <c r="Y30" s="35"/>
      <c r="AA30" s="38" t="s">
        <v>42</v>
      </c>
      <c r="AB30" s="69"/>
      <c r="AC30" s="52" t="str">
        <f t="shared" si="4"/>
        <v/>
      </c>
      <c r="AD30" s="70" t="str">
        <f>IF(R25="","",R25)</f>
        <v/>
      </c>
      <c r="AH30" s="607">
        <v>28</v>
      </c>
      <c r="AI30" s="19">
        <v>50</v>
      </c>
      <c r="AJ30" s="74">
        <v>0</v>
      </c>
      <c r="AK30" s="19" t="str">
        <f t="shared" si="1"/>
        <v>Mo</v>
      </c>
      <c r="AL30" s="19" t="str">
        <f t="shared" si="2"/>
        <v>Mo</v>
      </c>
      <c r="AM30" s="19"/>
      <c r="AN30" s="19"/>
      <c r="AO30" s="19"/>
      <c r="AP30" s="19"/>
      <c r="AQ30" s="608" t="s">
        <v>580</v>
      </c>
    </row>
    <row r="31" spans="1:43" ht="14.1" customHeight="1" thickBot="1">
      <c r="A31" s="20">
        <v>31</v>
      </c>
      <c r="B31" s="84"/>
      <c r="C31" s="85"/>
      <c r="D31" s="85"/>
      <c r="E31" s="85"/>
      <c r="F31" s="85"/>
      <c r="G31" s="85"/>
      <c r="H31" s="85"/>
      <c r="I31" s="85"/>
      <c r="J31" s="85"/>
      <c r="K31" s="85"/>
      <c r="L31" s="85"/>
      <c r="M31" s="86"/>
      <c r="O31" s="33"/>
      <c r="Q31" s="38" t="s">
        <v>45</v>
      </c>
      <c r="R31" s="49" t="str">
        <f>IF(S31&lt;&gt;"",S31,IF(AB35="","",AB35))</f>
        <v/>
      </c>
      <c r="S31" s="50"/>
      <c r="U31" s="79" t="s">
        <v>60</v>
      </c>
      <c r="Y31" s="35"/>
      <c r="AA31" s="38" t="s">
        <v>44</v>
      </c>
      <c r="AB31" s="69"/>
      <c r="AC31" s="52" t="str">
        <f t="shared" si="4"/>
        <v/>
      </c>
      <c r="AD31" s="70" t="str">
        <f>IF(R26="","",R26)</f>
        <v/>
      </c>
      <c r="AH31" s="611">
        <v>28</v>
      </c>
      <c r="AI31" s="612">
        <v>50</v>
      </c>
      <c r="AJ31" s="613">
        <v>0</v>
      </c>
      <c r="AK31" s="612" t="str">
        <f t="shared" si="1"/>
        <v>Mo</v>
      </c>
      <c r="AL31" s="612" t="str">
        <f t="shared" si="2"/>
        <v>Mo</v>
      </c>
      <c r="AM31" s="612"/>
      <c r="AN31" s="612"/>
      <c r="AO31" s="612"/>
      <c r="AP31" s="612"/>
      <c r="AQ31" s="614" t="s">
        <v>580</v>
      </c>
    </row>
    <row r="32" spans="1:43" ht="14.1" customHeight="1" thickTop="1">
      <c r="A32" s="20">
        <v>32</v>
      </c>
      <c r="O32" s="33"/>
      <c r="U32" s="38" t="s">
        <v>61</v>
      </c>
      <c r="V32" s="49" t="str">
        <f>IF(W32&lt;&gt;"",W32,IF(AB45="","",AB45))</f>
        <v/>
      </c>
      <c r="W32" s="50"/>
      <c r="Y32" s="35"/>
      <c r="AA32" s="38" t="s">
        <v>45</v>
      </c>
      <c r="AB32" s="69"/>
      <c r="AC32" s="52" t="str">
        <f t="shared" si="4"/>
        <v/>
      </c>
      <c r="AD32" s="70" t="str">
        <f>IF(R27="","",R27)</f>
        <v/>
      </c>
      <c r="AH32" s="611">
        <v>28</v>
      </c>
      <c r="AI32" s="612">
        <v>50</v>
      </c>
      <c r="AJ32" s="613">
        <v>0.3</v>
      </c>
      <c r="AK32" s="612" t="str">
        <f t="shared" si="1"/>
        <v>Mo</v>
      </c>
      <c r="AL32" s="612" t="str">
        <f t="shared" si="2"/>
        <v>Mo</v>
      </c>
      <c r="AM32" s="612"/>
      <c r="AN32" s="612"/>
      <c r="AO32" s="612"/>
      <c r="AP32" s="612"/>
      <c r="AQ32" s="614" t="s">
        <v>580</v>
      </c>
    </row>
    <row r="33" spans="1:43" ht="14.1" customHeight="1" thickBot="1">
      <c r="A33" s="20">
        <v>33</v>
      </c>
      <c r="H33" s="54" t="s">
        <v>63</v>
      </c>
      <c r="O33" s="33"/>
      <c r="U33" s="38" t="s">
        <v>62</v>
      </c>
      <c r="V33" s="49" t="str">
        <f>IF(W33&lt;&gt;"",W33,IF(AB46="","",AB46))</f>
        <v/>
      </c>
      <c r="W33" s="50"/>
      <c r="Y33" s="35"/>
      <c r="AA33" s="38" t="s">
        <v>42</v>
      </c>
      <c r="AB33" s="69"/>
      <c r="AC33" s="52" t="str">
        <f t="shared" si="4"/>
        <v/>
      </c>
      <c r="AD33" s="70" t="str">
        <f>IF(R29="","",R29)</f>
        <v/>
      </c>
      <c r="AH33" s="611">
        <v>28</v>
      </c>
      <c r="AI33" s="612">
        <v>50</v>
      </c>
      <c r="AJ33" s="613">
        <v>0.3</v>
      </c>
      <c r="AK33" s="612" t="str">
        <f t="shared" si="1"/>
        <v>Mo</v>
      </c>
      <c r="AL33" s="612" t="str">
        <f t="shared" si="2"/>
        <v>Mo</v>
      </c>
      <c r="AM33" s="612"/>
      <c r="AN33" s="612"/>
      <c r="AO33" s="612"/>
      <c r="AP33" s="612"/>
      <c r="AQ33" s="614" t="s">
        <v>580</v>
      </c>
    </row>
    <row r="34" spans="1:43" ht="14.1" customHeight="1" thickTop="1" thickBot="1">
      <c r="A34" s="20">
        <v>34</v>
      </c>
      <c r="B34" s="62"/>
      <c r="C34" s="63"/>
      <c r="D34" s="63"/>
      <c r="E34" s="63"/>
      <c r="F34" s="63"/>
      <c r="G34" s="63"/>
      <c r="H34" s="63"/>
      <c r="I34" s="63"/>
      <c r="J34" s="63"/>
      <c r="K34" s="63"/>
      <c r="L34" s="63"/>
      <c r="M34" s="65"/>
      <c r="O34" s="33"/>
      <c r="U34" s="6"/>
      <c r="V34" s="6"/>
      <c r="W34" s="6"/>
      <c r="Y34" s="35"/>
      <c r="AA34" s="38" t="s">
        <v>44</v>
      </c>
      <c r="AB34" s="69"/>
      <c r="AC34" s="52" t="str">
        <f t="shared" si="4"/>
        <v/>
      </c>
      <c r="AD34" s="70" t="str">
        <f>IF(R30="","",R30)</f>
        <v/>
      </c>
      <c r="AH34" s="611">
        <v>28</v>
      </c>
      <c r="AI34" s="612">
        <v>50</v>
      </c>
      <c r="AJ34" s="613">
        <v>0.4</v>
      </c>
      <c r="AK34" s="612" t="str">
        <f t="shared" si="1"/>
        <v>Mo</v>
      </c>
      <c r="AL34" s="612" t="str">
        <f t="shared" si="2"/>
        <v>Mo</v>
      </c>
      <c r="AM34" s="612"/>
      <c r="AN34" s="612"/>
      <c r="AO34" s="612"/>
      <c r="AP34" s="612"/>
      <c r="AQ34" s="614" t="s">
        <v>580</v>
      </c>
    </row>
    <row r="35" spans="1:43" ht="14.1" customHeight="1" thickBot="1">
      <c r="A35" s="20">
        <v>35</v>
      </c>
      <c r="B35" s="71"/>
      <c r="C35" s="87" t="s">
        <v>64</v>
      </c>
      <c r="D35" s="812" t="s">
        <v>65</v>
      </c>
      <c r="E35" s="812"/>
      <c r="F35" s="812"/>
      <c r="G35" s="812" t="s">
        <v>66</v>
      </c>
      <c r="H35" s="812"/>
      <c r="I35" s="812"/>
      <c r="J35" s="812" t="s">
        <v>67</v>
      </c>
      <c r="K35" s="812"/>
      <c r="L35" s="812"/>
      <c r="M35" s="73"/>
      <c r="O35" s="43"/>
      <c r="P35" s="44"/>
      <c r="Q35" s="44"/>
      <c r="R35" s="44"/>
      <c r="S35" s="44"/>
      <c r="T35" s="44"/>
      <c r="U35" s="44"/>
      <c r="V35" s="44"/>
      <c r="W35" s="44"/>
      <c r="X35" s="44"/>
      <c r="Y35" s="45"/>
      <c r="AA35" s="38" t="s">
        <v>45</v>
      </c>
      <c r="AB35" s="69"/>
      <c r="AC35" s="52" t="str">
        <f t="shared" si="4"/>
        <v/>
      </c>
      <c r="AD35" s="70" t="str">
        <f>IF(R31="","",R31)</f>
        <v/>
      </c>
      <c r="AH35" s="611">
        <v>28</v>
      </c>
      <c r="AI35" s="612">
        <v>50</v>
      </c>
      <c r="AJ35" s="613">
        <v>0.4</v>
      </c>
      <c r="AK35" s="612" t="str">
        <f t="shared" si="1"/>
        <v>Mo</v>
      </c>
      <c r="AL35" s="612" t="str">
        <f t="shared" si="2"/>
        <v>Mo</v>
      </c>
      <c r="AM35" s="612"/>
      <c r="AN35" s="612"/>
      <c r="AO35" s="612"/>
      <c r="AP35" s="612"/>
      <c r="AQ35" s="614" t="s">
        <v>580</v>
      </c>
    </row>
    <row r="36" spans="1:43" ht="14.1" customHeight="1">
      <c r="A36" s="20">
        <v>36</v>
      </c>
      <c r="B36" s="71"/>
      <c r="C36" s="88" t="s">
        <v>68</v>
      </c>
      <c r="D36" s="596"/>
      <c r="E36" s="597"/>
      <c r="F36" s="602"/>
      <c r="G36" s="808" t="s">
        <v>69</v>
      </c>
      <c r="H36" s="808"/>
      <c r="I36" s="808"/>
      <c r="J36" s="596"/>
      <c r="K36" s="597"/>
      <c r="L36" s="602"/>
      <c r="M36" s="73"/>
      <c r="AA36" s="38" t="s">
        <v>58</v>
      </c>
      <c r="AB36" s="69"/>
      <c r="AC36" s="52" t="str">
        <f t="shared" si="4"/>
        <v/>
      </c>
      <c r="AD36" s="70" t="str">
        <f>IF(V28="","",V28)</f>
        <v/>
      </c>
      <c r="AH36" s="611">
        <v>28</v>
      </c>
      <c r="AI36" s="612">
        <v>50</v>
      </c>
      <c r="AJ36" s="613">
        <v>0.5</v>
      </c>
      <c r="AK36" s="612" t="str">
        <f t="shared" si="1"/>
        <v>Mo</v>
      </c>
      <c r="AL36" s="612" t="str">
        <f t="shared" si="2"/>
        <v>Mo</v>
      </c>
      <c r="AM36" s="612"/>
      <c r="AN36" s="612"/>
      <c r="AO36" s="612"/>
      <c r="AP36" s="612"/>
      <c r="AQ36" s="614" t="s">
        <v>580</v>
      </c>
    </row>
    <row r="37" spans="1:43" ht="14.1" customHeight="1" thickBot="1">
      <c r="A37" s="20">
        <v>37</v>
      </c>
      <c r="B37" s="71"/>
      <c r="C37" s="88" t="s">
        <v>70</v>
      </c>
      <c r="D37" s="89" t="s">
        <v>71</v>
      </c>
      <c r="E37" s="90" t="s">
        <v>25</v>
      </c>
      <c r="F37" s="91" t="s">
        <v>72</v>
      </c>
      <c r="G37" s="89" t="s">
        <v>71</v>
      </c>
      <c r="H37" s="90" t="s">
        <v>25</v>
      </c>
      <c r="I37" s="91" t="s">
        <v>72</v>
      </c>
      <c r="J37" s="89" t="s">
        <v>71</v>
      </c>
      <c r="K37" s="90" t="s">
        <v>25</v>
      </c>
      <c r="L37" s="91" t="s">
        <v>72</v>
      </c>
      <c r="M37" s="73"/>
      <c r="T37" s="266" t="s">
        <v>73</v>
      </c>
      <c r="AA37" s="38" t="s">
        <v>59</v>
      </c>
      <c r="AB37" s="69"/>
      <c r="AC37" s="52" t="str">
        <f t="shared" si="4"/>
        <v/>
      </c>
      <c r="AD37" s="70" t="str">
        <f>IF(V29="","",V29)</f>
        <v/>
      </c>
      <c r="AH37" s="611">
        <v>28</v>
      </c>
      <c r="AI37" s="612">
        <v>50</v>
      </c>
      <c r="AJ37" s="613">
        <v>0.5</v>
      </c>
      <c r="AK37" s="612" t="str">
        <f t="shared" si="1"/>
        <v>Mo</v>
      </c>
      <c r="AL37" s="612" t="str">
        <f t="shared" si="2"/>
        <v>Mo</v>
      </c>
      <c r="AM37" s="612"/>
      <c r="AN37" s="612"/>
      <c r="AO37" s="612"/>
      <c r="AP37" s="612"/>
      <c r="AQ37" s="614" t="s">
        <v>580</v>
      </c>
    </row>
    <row r="38" spans="1:43" ht="14.1" customHeight="1" thickTop="1">
      <c r="A38" s="20">
        <v>38</v>
      </c>
      <c r="B38" s="71"/>
      <c r="C38" s="92" t="s">
        <v>74</v>
      </c>
      <c r="D38" s="93" t="str">
        <f t="shared" ref="D38:L41" si="5">P124</f>
        <v/>
      </c>
      <c r="E38" s="94" t="str">
        <f t="shared" si="5"/>
        <v/>
      </c>
      <c r="F38" s="95" t="str">
        <f t="shared" si="5"/>
        <v/>
      </c>
      <c r="G38" s="93" t="str">
        <f t="shared" si="5"/>
        <v/>
      </c>
      <c r="H38" s="94" t="str">
        <f t="shared" si="5"/>
        <v/>
      </c>
      <c r="I38" s="95" t="str">
        <f t="shared" si="5"/>
        <v/>
      </c>
      <c r="J38" s="93" t="str">
        <f t="shared" si="5"/>
        <v/>
      </c>
      <c r="K38" s="94" t="str">
        <f t="shared" si="5"/>
        <v/>
      </c>
      <c r="L38" s="95" t="str">
        <f t="shared" si="5"/>
        <v/>
      </c>
      <c r="M38" s="73"/>
      <c r="O38" s="96" t="s">
        <v>75</v>
      </c>
      <c r="P38" s="26"/>
      <c r="Q38" s="26"/>
      <c r="R38" s="26"/>
      <c r="S38" s="26"/>
      <c r="T38" s="26"/>
      <c r="U38" s="26"/>
      <c r="V38" s="26"/>
      <c r="W38" s="26"/>
      <c r="X38" s="26"/>
      <c r="Y38" s="27"/>
      <c r="AA38" s="38" t="s">
        <v>76</v>
      </c>
      <c r="AB38" s="69"/>
      <c r="AC38" s="52" t="str">
        <f t="shared" si="4"/>
        <v>Change</v>
      </c>
      <c r="AD38" s="70" t="str">
        <f>IF(V21="","",V21)</f>
        <v>Mo</v>
      </c>
      <c r="AH38" s="607">
        <v>28</v>
      </c>
      <c r="AI38" s="19">
        <v>100</v>
      </c>
      <c r="AJ38" s="74">
        <v>0</v>
      </c>
      <c r="AK38" s="19" t="str">
        <f t="shared" si="1"/>
        <v>Mo</v>
      </c>
      <c r="AL38" s="19" t="str">
        <f t="shared" si="2"/>
        <v>Mo</v>
      </c>
      <c r="AM38" s="19"/>
      <c r="AN38" s="19"/>
      <c r="AO38" s="19"/>
      <c r="AP38" s="19"/>
      <c r="AQ38" s="608" t="s">
        <v>580</v>
      </c>
    </row>
    <row r="39" spans="1:43" ht="14.1" customHeight="1">
      <c r="A39" s="20">
        <v>39</v>
      </c>
      <c r="B39" s="71"/>
      <c r="C39" s="97" t="s">
        <v>77</v>
      </c>
      <c r="D39" s="98" t="str">
        <f t="shared" si="5"/>
        <v/>
      </c>
      <c r="E39" s="19" t="str">
        <f t="shared" si="5"/>
        <v/>
      </c>
      <c r="F39" s="99" t="str">
        <f t="shared" si="5"/>
        <v/>
      </c>
      <c r="G39" s="98" t="str">
        <f t="shared" si="5"/>
        <v/>
      </c>
      <c r="H39" s="19" t="str">
        <f t="shared" si="5"/>
        <v/>
      </c>
      <c r="I39" s="99" t="str">
        <f t="shared" si="5"/>
        <v/>
      </c>
      <c r="J39" s="98" t="str">
        <f t="shared" si="5"/>
        <v/>
      </c>
      <c r="K39" s="19" t="str">
        <f t="shared" si="5"/>
        <v/>
      </c>
      <c r="L39" s="99" t="str">
        <f t="shared" si="5"/>
        <v/>
      </c>
      <c r="M39" s="73"/>
      <c r="O39" s="100">
        <v>1</v>
      </c>
      <c r="P39" s="39" t="s">
        <v>78</v>
      </c>
      <c r="Y39" s="35"/>
      <c r="AA39" s="38" t="s">
        <v>79</v>
      </c>
      <c r="AB39" s="69"/>
      <c r="AC39" s="52" t="str">
        <f t="shared" si="4"/>
        <v>Change</v>
      </c>
      <c r="AD39" s="70" t="str">
        <f>IF(V22="","",V22)</f>
        <v>W</v>
      </c>
      <c r="AH39" s="607">
        <v>28</v>
      </c>
      <c r="AI39" s="19">
        <v>300</v>
      </c>
      <c r="AJ39" s="74">
        <v>0</v>
      </c>
      <c r="AK39" s="19" t="str">
        <f t="shared" si="1"/>
        <v>Mo</v>
      </c>
      <c r="AL39" s="19" t="str">
        <f t="shared" si="2"/>
        <v>Mo</v>
      </c>
      <c r="AM39" s="19"/>
      <c r="AN39" s="19"/>
      <c r="AO39" s="19"/>
      <c r="AP39" s="19"/>
      <c r="AQ39" s="608" t="s">
        <v>580</v>
      </c>
    </row>
    <row r="40" spans="1:43" ht="14.1" customHeight="1">
      <c r="A40" s="20">
        <v>40</v>
      </c>
      <c r="B40" s="71"/>
      <c r="C40" s="97" t="s">
        <v>80</v>
      </c>
      <c r="D40" s="98" t="str">
        <f t="shared" si="5"/>
        <v/>
      </c>
      <c r="E40" s="19" t="str">
        <f t="shared" si="5"/>
        <v/>
      </c>
      <c r="F40" s="99" t="str">
        <f t="shared" si="5"/>
        <v/>
      </c>
      <c r="G40" s="98" t="str">
        <f t="shared" si="5"/>
        <v/>
      </c>
      <c r="H40" s="19" t="str">
        <f t="shared" si="5"/>
        <v/>
      </c>
      <c r="I40" s="99" t="str">
        <f t="shared" si="5"/>
        <v/>
      </c>
      <c r="J40" s="98" t="str">
        <f t="shared" si="5"/>
        <v/>
      </c>
      <c r="K40" s="19" t="str">
        <f t="shared" si="5"/>
        <v/>
      </c>
      <c r="L40" s="99" t="str">
        <f t="shared" si="5"/>
        <v/>
      </c>
      <c r="M40" s="73"/>
      <c r="O40" s="100">
        <v>1</v>
      </c>
      <c r="P40" s="39" t="s">
        <v>81</v>
      </c>
      <c r="Y40" s="35"/>
      <c r="AA40" s="38" t="s">
        <v>82</v>
      </c>
      <c r="AB40" s="69"/>
      <c r="AC40" s="52" t="str">
        <f t="shared" si="4"/>
        <v>Change</v>
      </c>
      <c r="AD40" s="70" t="str">
        <f>IF(V24="","",V24)</f>
        <v>Mo</v>
      </c>
      <c r="AH40" s="607">
        <v>30</v>
      </c>
      <c r="AI40" s="19">
        <v>50</v>
      </c>
      <c r="AJ40" s="74">
        <v>0</v>
      </c>
      <c r="AK40" s="19" t="str">
        <f t="shared" si="1"/>
        <v>Mo</v>
      </c>
      <c r="AL40" s="19" t="str">
        <f t="shared" si="2"/>
        <v>Mo</v>
      </c>
      <c r="AM40" s="19"/>
      <c r="AN40" s="19"/>
      <c r="AO40" s="19"/>
      <c r="AP40" s="19"/>
      <c r="AQ40" s="608" t="s">
        <v>580</v>
      </c>
    </row>
    <row r="41" spans="1:43" ht="14.1" customHeight="1" thickBot="1">
      <c r="A41" s="20">
        <v>41</v>
      </c>
      <c r="B41" s="71"/>
      <c r="C41" s="101" t="s">
        <v>83</v>
      </c>
      <c r="D41" s="102" t="str">
        <f t="shared" si="5"/>
        <v/>
      </c>
      <c r="E41" s="103" t="str">
        <f t="shared" si="5"/>
        <v/>
      </c>
      <c r="F41" s="104" t="str">
        <f t="shared" si="5"/>
        <v/>
      </c>
      <c r="G41" s="102" t="str">
        <f t="shared" si="5"/>
        <v/>
      </c>
      <c r="H41" s="103" t="str">
        <f t="shared" si="5"/>
        <v/>
      </c>
      <c r="I41" s="104" t="str">
        <f t="shared" si="5"/>
        <v/>
      </c>
      <c r="J41" s="102" t="str">
        <f t="shared" si="5"/>
        <v/>
      </c>
      <c r="K41" s="103" t="str">
        <f t="shared" si="5"/>
        <v/>
      </c>
      <c r="L41" s="104" t="str">
        <f t="shared" si="5"/>
        <v/>
      </c>
      <c r="M41" s="73"/>
      <c r="O41" s="100">
        <v>1</v>
      </c>
      <c r="P41" s="39" t="s">
        <v>84</v>
      </c>
      <c r="Y41" s="35"/>
      <c r="AA41" s="38" t="s">
        <v>85</v>
      </c>
      <c r="AB41" s="69"/>
      <c r="AC41" s="52" t="str">
        <f t="shared" si="4"/>
        <v>Change</v>
      </c>
      <c r="AD41" s="70" t="str">
        <f>IF(V25="","",V25)</f>
        <v>Rh</v>
      </c>
      <c r="AH41" s="607">
        <v>32</v>
      </c>
      <c r="AI41" s="19">
        <v>50</v>
      </c>
      <c r="AJ41" s="74">
        <v>0</v>
      </c>
      <c r="AK41" s="19" t="str">
        <f t="shared" si="1"/>
        <v>Mo</v>
      </c>
      <c r="AL41" s="19" t="str">
        <f t="shared" si="2"/>
        <v>Mo</v>
      </c>
      <c r="AM41" s="19"/>
      <c r="AN41" s="19"/>
      <c r="AO41" s="19"/>
      <c r="AP41" s="19"/>
      <c r="AQ41" s="608" t="s">
        <v>580</v>
      </c>
    </row>
    <row r="42" spans="1:43" ht="14.1" customHeight="1">
      <c r="A42" s="20">
        <v>42</v>
      </c>
      <c r="B42" s="71"/>
      <c r="M42" s="73"/>
      <c r="O42" s="100">
        <v>1</v>
      </c>
      <c r="P42" s="39" t="s">
        <v>86</v>
      </c>
      <c r="Y42" s="35"/>
      <c r="AA42" s="38" t="s">
        <v>61</v>
      </c>
      <c r="AB42" s="69"/>
      <c r="AC42" s="52" t="str">
        <f t="shared" si="4"/>
        <v/>
      </c>
      <c r="AD42" s="70" t="str">
        <f>IF(V32="","",V32)</f>
        <v/>
      </c>
      <c r="AH42" s="611">
        <v>32</v>
      </c>
      <c r="AI42" s="612">
        <v>50</v>
      </c>
      <c r="AJ42" s="613">
        <v>0</v>
      </c>
      <c r="AK42" s="612" t="str">
        <f t="shared" si="1"/>
        <v>Mo</v>
      </c>
      <c r="AL42" s="612" t="str">
        <f t="shared" si="2"/>
        <v>Mo</v>
      </c>
      <c r="AM42" s="612"/>
      <c r="AN42" s="612"/>
      <c r="AO42" s="612"/>
      <c r="AP42" s="612"/>
      <c r="AQ42" s="614" t="s">
        <v>580</v>
      </c>
    </row>
    <row r="43" spans="1:43" ht="14.1" customHeight="1">
      <c r="A43" s="20">
        <v>43</v>
      </c>
      <c r="B43" s="71"/>
      <c r="H43" s="54" t="s">
        <v>73</v>
      </c>
      <c r="M43" s="73"/>
      <c r="O43" s="100">
        <v>1</v>
      </c>
      <c r="P43" s="39" t="s">
        <v>87</v>
      </c>
      <c r="Y43" s="35"/>
      <c r="AA43" s="38" t="s">
        <v>88</v>
      </c>
      <c r="AB43" s="69"/>
      <c r="AC43" s="52" t="str">
        <f t="shared" si="4"/>
        <v/>
      </c>
      <c r="AD43" s="70" t="str">
        <f>IF(V33="","",V33)</f>
        <v/>
      </c>
      <c r="AH43" s="611">
        <v>32</v>
      </c>
      <c r="AI43" s="612">
        <v>50</v>
      </c>
      <c r="AJ43" s="613">
        <v>0.5</v>
      </c>
      <c r="AK43" s="612" t="str">
        <f t="shared" si="1"/>
        <v>Mo</v>
      </c>
      <c r="AL43" s="612" t="str">
        <f t="shared" si="2"/>
        <v>Mo</v>
      </c>
      <c r="AM43" s="612"/>
      <c r="AN43" s="612"/>
      <c r="AO43" s="612"/>
      <c r="AP43" s="612"/>
      <c r="AQ43" s="614" t="s">
        <v>580</v>
      </c>
    </row>
    <row r="44" spans="1:43" ht="14.1" customHeight="1">
      <c r="A44" s="20">
        <v>44</v>
      </c>
      <c r="B44" s="71"/>
      <c r="C44" s="105" t="s">
        <v>89</v>
      </c>
      <c r="L44" s="809" t="s">
        <v>90</v>
      </c>
      <c r="M44" s="809"/>
      <c r="O44" s="33"/>
      <c r="Y44" s="35"/>
      <c r="AA44" s="79" t="s">
        <v>63</v>
      </c>
      <c r="AH44" s="611">
        <v>32</v>
      </c>
      <c r="AI44" s="612">
        <v>50</v>
      </c>
      <c r="AJ44" s="613">
        <v>0.5</v>
      </c>
      <c r="AK44" s="612" t="str">
        <f t="shared" si="1"/>
        <v>Mo</v>
      </c>
      <c r="AL44" s="612" t="str">
        <f t="shared" si="2"/>
        <v>Mo</v>
      </c>
      <c r="AM44" s="612"/>
      <c r="AN44" s="612"/>
      <c r="AO44" s="612"/>
      <c r="AP44" s="612"/>
      <c r="AQ44" s="614" t="s">
        <v>580</v>
      </c>
    </row>
    <row r="45" spans="1:43" ht="14.1" customHeight="1">
      <c r="A45" s="20">
        <v>45</v>
      </c>
      <c r="B45" s="71"/>
      <c r="C45" s="106" t="s">
        <v>91</v>
      </c>
      <c r="E45" s="39" t="s">
        <v>78</v>
      </c>
      <c r="L45" s="107" t="str">
        <f>IF(O39="","TBD",IF(O39=1,"YES",IF(O39=3,"NA","")))</f>
        <v>YES</v>
      </c>
      <c r="M45" s="108" t="str">
        <f>IF(O39=2,"NO","")</f>
        <v/>
      </c>
      <c r="O45" s="100">
        <v>1</v>
      </c>
      <c r="P45" s="24" t="s">
        <v>521</v>
      </c>
      <c r="Y45" s="35"/>
      <c r="AA45" s="46" t="s">
        <v>65</v>
      </c>
      <c r="AH45" s="611">
        <v>32</v>
      </c>
      <c r="AI45" s="612">
        <v>50</v>
      </c>
      <c r="AJ45" s="613">
        <v>0.6</v>
      </c>
      <c r="AK45" s="612" t="str">
        <f t="shared" si="1"/>
        <v>Mo</v>
      </c>
      <c r="AL45" s="612" t="str">
        <f t="shared" si="2"/>
        <v>Mo</v>
      </c>
      <c r="AM45" s="612"/>
      <c r="AN45" s="612"/>
      <c r="AO45" s="612"/>
      <c r="AP45" s="612"/>
      <c r="AQ45" s="614" t="s">
        <v>580</v>
      </c>
    </row>
    <row r="46" spans="1:43" ht="14.1" customHeight="1">
      <c r="A46" s="20">
        <v>46</v>
      </c>
      <c r="B46" s="71"/>
      <c r="C46" s="106" t="s">
        <v>93</v>
      </c>
      <c r="E46" s="39" t="s">
        <v>81</v>
      </c>
      <c r="L46" s="107" t="str">
        <f>IF(O40="","TBD",IF(O40=1,"YES",IF(O40=3,"NA","")))</f>
        <v>YES</v>
      </c>
      <c r="M46" s="108" t="str">
        <f>IF(O40=2,"NO","")</f>
        <v/>
      </c>
      <c r="O46" s="100">
        <v>1</v>
      </c>
      <c r="P46" s="24" t="s">
        <v>522</v>
      </c>
      <c r="Y46" s="35"/>
      <c r="AA46" s="38" t="s">
        <v>95</v>
      </c>
      <c r="AB46" s="69"/>
      <c r="AD46" s="70" t="str">
        <f>IF(P124="","",P124)</f>
        <v/>
      </c>
      <c r="AH46" s="611">
        <v>32</v>
      </c>
      <c r="AI46" s="612">
        <v>50</v>
      </c>
      <c r="AJ46" s="613">
        <v>0.6</v>
      </c>
      <c r="AK46" s="612" t="str">
        <f t="shared" si="1"/>
        <v>Mo</v>
      </c>
      <c r="AL46" s="612" t="str">
        <f t="shared" si="2"/>
        <v>Mo</v>
      </c>
      <c r="AM46" s="612"/>
      <c r="AN46" s="612"/>
      <c r="AO46" s="612"/>
      <c r="AP46" s="612"/>
      <c r="AQ46" s="614" t="s">
        <v>580</v>
      </c>
    </row>
    <row r="47" spans="1:43" ht="14.1" customHeight="1">
      <c r="A47" s="20">
        <v>47</v>
      </c>
      <c r="B47" s="71"/>
      <c r="C47" s="106" t="s">
        <v>96</v>
      </c>
      <c r="E47" s="39" t="s">
        <v>84</v>
      </c>
      <c r="L47" s="107" t="str">
        <f>IF(O41="","TBD",IF(O41=1,"YES",IF(O41=3,"NA","")))</f>
        <v>YES</v>
      </c>
      <c r="M47" s="108" t="str">
        <f>IF(O41=2,"NO","")</f>
        <v/>
      </c>
      <c r="O47" s="100">
        <v>1</v>
      </c>
      <c r="P47" s="24" t="s">
        <v>523</v>
      </c>
      <c r="Y47" s="35"/>
      <c r="AA47" s="38" t="s">
        <v>98</v>
      </c>
      <c r="AB47" s="69"/>
      <c r="AD47" s="70" t="str">
        <f>IF(Q124="","",Q124)</f>
        <v/>
      </c>
      <c r="AH47" s="611">
        <v>32</v>
      </c>
      <c r="AI47" s="612">
        <v>50</v>
      </c>
      <c r="AJ47" s="613">
        <v>0.7</v>
      </c>
      <c r="AK47" s="612" t="str">
        <f t="shared" si="1"/>
        <v>Mo</v>
      </c>
      <c r="AL47" s="612" t="str">
        <f t="shared" si="2"/>
        <v>Mo</v>
      </c>
      <c r="AM47" s="612"/>
      <c r="AN47" s="612"/>
      <c r="AO47" s="612"/>
      <c r="AP47" s="612"/>
      <c r="AQ47" s="614" t="s">
        <v>580</v>
      </c>
    </row>
    <row r="48" spans="1:43" ht="14.1" customHeight="1">
      <c r="A48" s="20">
        <v>48</v>
      </c>
      <c r="B48" s="71"/>
      <c r="E48" s="39" t="s">
        <v>86</v>
      </c>
      <c r="L48" s="107" t="str">
        <f>IF(O42="","TBD",IF(O42=1,"YES",IF(O42=3,"NA","")))</f>
        <v>YES</v>
      </c>
      <c r="M48" s="108" t="str">
        <f>IF(O42=2,"NO","")</f>
        <v/>
      </c>
      <c r="O48" s="100">
        <v>1</v>
      </c>
      <c r="P48" s="24" t="s">
        <v>524</v>
      </c>
      <c r="Y48" s="35"/>
      <c r="AA48" s="38" t="s">
        <v>100</v>
      </c>
      <c r="AB48" s="69"/>
      <c r="AD48" s="70" t="str">
        <f>IF(R124="","",R124)</f>
        <v/>
      </c>
      <c r="AH48" s="611">
        <v>32</v>
      </c>
      <c r="AI48" s="612">
        <v>50</v>
      </c>
      <c r="AJ48" s="613">
        <v>0.7</v>
      </c>
      <c r="AK48" s="612" t="str">
        <f t="shared" si="1"/>
        <v>Mo</v>
      </c>
      <c r="AL48" s="612" t="str">
        <f t="shared" si="2"/>
        <v>Mo</v>
      </c>
      <c r="AM48" s="612"/>
      <c r="AN48" s="612"/>
      <c r="AO48" s="612"/>
      <c r="AP48" s="612"/>
      <c r="AQ48" s="614" t="s">
        <v>580</v>
      </c>
    </row>
    <row r="49" spans="1:43" ht="14.1" customHeight="1">
      <c r="A49" s="20">
        <v>49</v>
      </c>
      <c r="B49" s="71"/>
      <c r="E49" s="39" t="s">
        <v>87</v>
      </c>
      <c r="L49" s="107" t="str">
        <f>IF(O43="","TBD",IF(O43=1,"YES",IF(O43=3,"NA","")))</f>
        <v>YES</v>
      </c>
      <c r="M49" s="108" t="str">
        <f>IF(O43=2,"NO","")</f>
        <v/>
      </c>
      <c r="O49" s="100">
        <v>1</v>
      </c>
      <c r="P49" s="24" t="s">
        <v>525</v>
      </c>
      <c r="Y49" s="35"/>
      <c r="AA49" s="38" t="s">
        <v>95</v>
      </c>
      <c r="AB49" s="69"/>
      <c r="AD49" s="70" t="str">
        <f>IF(P125="","",P125)</f>
        <v/>
      </c>
      <c r="AH49" s="607">
        <v>34</v>
      </c>
      <c r="AI49" s="19">
        <v>50</v>
      </c>
      <c r="AJ49" s="74">
        <v>0</v>
      </c>
      <c r="AK49" s="19" t="str">
        <f t="shared" si="1"/>
        <v>Mo</v>
      </c>
      <c r="AL49" s="19" t="str">
        <f t="shared" si="2"/>
        <v>Mo</v>
      </c>
      <c r="AM49" s="19"/>
      <c r="AN49" s="19"/>
      <c r="AO49" s="19"/>
      <c r="AP49" s="19"/>
      <c r="AQ49" s="608" t="s">
        <v>580</v>
      </c>
    </row>
    <row r="50" spans="1:43" ht="14.1" customHeight="1">
      <c r="A50" s="20">
        <v>50</v>
      </c>
      <c r="B50" s="71"/>
      <c r="H50" s="266" t="s">
        <v>92</v>
      </c>
      <c r="M50" s="73"/>
      <c r="O50" s="100">
        <v>1</v>
      </c>
      <c r="P50" s="24" t="s">
        <v>526</v>
      </c>
      <c r="Y50" s="35"/>
      <c r="AA50" s="38" t="s">
        <v>98</v>
      </c>
      <c r="AB50" s="69"/>
      <c r="AD50" s="70" t="str">
        <f>IF(Q125="","",Q125)</f>
        <v/>
      </c>
      <c r="AH50" s="611">
        <v>34</v>
      </c>
      <c r="AI50" s="612">
        <v>50</v>
      </c>
      <c r="AJ50" s="613">
        <v>0</v>
      </c>
      <c r="AK50" s="612" t="str">
        <f t="shared" si="1"/>
        <v>Mo</v>
      </c>
      <c r="AL50" s="612" t="str">
        <f t="shared" si="2"/>
        <v>Mo</v>
      </c>
      <c r="AM50" s="612"/>
      <c r="AN50" s="612"/>
      <c r="AO50" s="612"/>
      <c r="AP50" s="612"/>
      <c r="AQ50" s="614" t="s">
        <v>580</v>
      </c>
    </row>
    <row r="51" spans="1:43" ht="14.1" customHeight="1">
      <c r="A51" s="20">
        <v>51</v>
      </c>
      <c r="B51" s="71"/>
      <c r="E51" s="72" t="s">
        <v>94</v>
      </c>
      <c r="L51" s="107" t="str">
        <f t="shared" ref="L51:L63" si="6">IF(O64="","TBD",IF(O64=1,"YES",IF(O64=3,"NA","")))</f>
        <v>YES</v>
      </c>
      <c r="M51" s="108" t="str">
        <f t="shared" ref="M51:M63" si="7">IF(O64=2,"NO","")</f>
        <v/>
      </c>
      <c r="O51" s="100">
        <v>1</v>
      </c>
      <c r="P51" s="24" t="s">
        <v>527</v>
      </c>
      <c r="Y51" s="35"/>
      <c r="AA51" s="38" t="s">
        <v>100</v>
      </c>
      <c r="AB51" s="69"/>
      <c r="AD51" s="70" t="str">
        <f>IF(R125="","",R125)</f>
        <v/>
      </c>
      <c r="AH51" s="611">
        <v>34</v>
      </c>
      <c r="AI51" s="612">
        <v>50</v>
      </c>
      <c r="AJ51" s="613">
        <v>0.5</v>
      </c>
      <c r="AK51" s="612" t="str">
        <f t="shared" si="1"/>
        <v>Mo</v>
      </c>
      <c r="AL51" s="612" t="str">
        <f t="shared" si="2"/>
        <v>Mo</v>
      </c>
      <c r="AM51" s="612"/>
      <c r="AN51" s="612"/>
      <c r="AO51" s="612"/>
      <c r="AP51" s="612"/>
      <c r="AQ51" s="614" t="s">
        <v>580</v>
      </c>
    </row>
    <row r="52" spans="1:43" ht="14.1" customHeight="1">
      <c r="A52" s="20">
        <v>52</v>
      </c>
      <c r="B52" s="71"/>
      <c r="E52" s="72" t="s">
        <v>97</v>
      </c>
      <c r="L52" s="107" t="str">
        <f t="shared" si="6"/>
        <v>YES</v>
      </c>
      <c r="M52" s="108" t="str">
        <f t="shared" si="7"/>
        <v/>
      </c>
      <c r="O52" s="100">
        <v>1</v>
      </c>
      <c r="P52" s="24" t="s">
        <v>528</v>
      </c>
      <c r="Y52" s="35"/>
      <c r="AA52" s="38" t="s">
        <v>95</v>
      </c>
      <c r="AB52" s="69"/>
      <c r="AD52" s="70" t="str">
        <f>IF(P126="","",P126)</f>
        <v/>
      </c>
      <c r="AH52" s="611">
        <v>34</v>
      </c>
      <c r="AI52" s="612">
        <v>50</v>
      </c>
      <c r="AJ52" s="613">
        <v>0.5</v>
      </c>
      <c r="AK52" s="612" t="str">
        <f t="shared" si="1"/>
        <v>Mo</v>
      </c>
      <c r="AL52" s="612" t="str">
        <f t="shared" si="2"/>
        <v>Mo</v>
      </c>
      <c r="AM52" s="612"/>
      <c r="AN52" s="612"/>
      <c r="AO52" s="612"/>
      <c r="AP52" s="612"/>
      <c r="AQ52" s="614" t="s">
        <v>580</v>
      </c>
    </row>
    <row r="53" spans="1:43" ht="14.1" customHeight="1">
      <c r="A53" s="20">
        <v>53</v>
      </c>
      <c r="B53" s="71"/>
      <c r="E53" s="72" t="s">
        <v>99</v>
      </c>
      <c r="L53" s="107" t="str">
        <f t="shared" si="6"/>
        <v>YES</v>
      </c>
      <c r="M53" s="108" t="str">
        <f t="shared" si="7"/>
        <v/>
      </c>
      <c r="O53" s="100">
        <v>1</v>
      </c>
      <c r="P53" s="24" t="s">
        <v>529</v>
      </c>
      <c r="Y53" s="35"/>
      <c r="AA53" s="38" t="s">
        <v>98</v>
      </c>
      <c r="AB53" s="69"/>
      <c r="AD53" s="70" t="str">
        <f>IF(Q126="","",Q126)</f>
        <v/>
      </c>
      <c r="AH53" s="611">
        <v>34</v>
      </c>
      <c r="AI53" s="612">
        <v>50</v>
      </c>
      <c r="AJ53" s="613">
        <v>0.6</v>
      </c>
      <c r="AK53" s="612" t="str">
        <f t="shared" si="1"/>
        <v>Mo</v>
      </c>
      <c r="AL53" s="612" t="str">
        <f t="shared" si="2"/>
        <v>Mo</v>
      </c>
      <c r="AM53" s="612"/>
      <c r="AN53" s="612"/>
      <c r="AO53" s="612"/>
      <c r="AP53" s="612"/>
      <c r="AQ53" s="614" t="s">
        <v>580</v>
      </c>
    </row>
    <row r="54" spans="1:43" ht="14.1" customHeight="1">
      <c r="A54" s="20">
        <v>54</v>
      </c>
      <c r="B54" s="71"/>
      <c r="E54" s="72" t="s">
        <v>101</v>
      </c>
      <c r="L54" s="107" t="str">
        <f t="shared" si="6"/>
        <v>YES</v>
      </c>
      <c r="M54" s="108" t="str">
        <f t="shared" si="7"/>
        <v/>
      </c>
      <c r="O54" s="100">
        <v>1</v>
      </c>
      <c r="P54" s="24" t="s">
        <v>530</v>
      </c>
      <c r="Y54" s="35"/>
      <c r="AA54" s="38" t="s">
        <v>100</v>
      </c>
      <c r="AB54" s="69"/>
      <c r="AD54" s="70" t="str">
        <f>IF(R126="","",R126)</f>
        <v/>
      </c>
      <c r="AH54" s="611">
        <v>34</v>
      </c>
      <c r="AI54" s="612">
        <v>50</v>
      </c>
      <c r="AJ54" s="613">
        <v>0.6</v>
      </c>
      <c r="AK54" s="612" t="str">
        <f t="shared" si="1"/>
        <v>Mo</v>
      </c>
      <c r="AL54" s="612" t="str">
        <f t="shared" si="2"/>
        <v>Mo</v>
      </c>
      <c r="AM54" s="612"/>
      <c r="AN54" s="612"/>
      <c r="AO54" s="612"/>
      <c r="AP54" s="612"/>
      <c r="AQ54" s="614" t="s">
        <v>580</v>
      </c>
    </row>
    <row r="55" spans="1:43" ht="14.1" customHeight="1">
      <c r="A55" s="20">
        <v>55</v>
      </c>
      <c r="B55" s="71"/>
      <c r="E55" s="72" t="s">
        <v>102</v>
      </c>
      <c r="L55" s="107" t="str">
        <f t="shared" si="6"/>
        <v>NA</v>
      </c>
      <c r="M55" s="108" t="str">
        <f t="shared" si="7"/>
        <v/>
      </c>
      <c r="O55" s="100">
        <v>1</v>
      </c>
      <c r="P55" s="24" t="s">
        <v>531</v>
      </c>
      <c r="Y55" s="35"/>
      <c r="AA55" s="38" t="s">
        <v>95</v>
      </c>
      <c r="AB55" s="69"/>
      <c r="AD55" s="70" t="str">
        <f>IF(P127="","",P127)</f>
        <v/>
      </c>
      <c r="AH55" s="611">
        <v>34</v>
      </c>
      <c r="AI55" s="612">
        <v>50</v>
      </c>
      <c r="AJ55" s="613">
        <v>0.7</v>
      </c>
      <c r="AK55" s="612" t="str">
        <f t="shared" si="1"/>
        <v>Mo</v>
      </c>
      <c r="AL55" s="612" t="str">
        <f t="shared" si="2"/>
        <v>Mo</v>
      </c>
      <c r="AM55" s="612"/>
      <c r="AN55" s="612"/>
      <c r="AO55" s="612"/>
      <c r="AP55" s="612"/>
      <c r="AQ55" s="614" t="s">
        <v>580</v>
      </c>
    </row>
    <row r="56" spans="1:43" ht="14.1" customHeight="1" thickBot="1">
      <c r="A56" s="20">
        <v>56</v>
      </c>
      <c r="B56" s="71"/>
      <c r="E56" s="72" t="s">
        <v>103</v>
      </c>
      <c r="L56" s="107" t="str">
        <f t="shared" si="6"/>
        <v>NA</v>
      </c>
      <c r="M56" s="108" t="str">
        <f t="shared" si="7"/>
        <v/>
      </c>
      <c r="O56" s="100">
        <v>1</v>
      </c>
      <c r="P56" s="24" t="s">
        <v>532</v>
      </c>
      <c r="Y56" s="35"/>
      <c r="AA56" s="38" t="s">
        <v>98</v>
      </c>
      <c r="AB56" s="69"/>
      <c r="AD56" s="70"/>
      <c r="AH56" s="615">
        <v>34</v>
      </c>
      <c r="AI56" s="616">
        <v>50</v>
      </c>
      <c r="AJ56" s="617">
        <v>0.7</v>
      </c>
      <c r="AK56" s="616" t="str">
        <f t="shared" si="1"/>
        <v>Mo</v>
      </c>
      <c r="AL56" s="616" t="str">
        <f t="shared" si="2"/>
        <v>Mo</v>
      </c>
      <c r="AM56" s="616"/>
      <c r="AN56" s="616"/>
      <c r="AO56" s="616"/>
      <c r="AP56" s="616"/>
      <c r="AQ56" s="618" t="s">
        <v>580</v>
      </c>
    </row>
    <row r="57" spans="1:43" ht="14.1" customHeight="1">
      <c r="A57" s="20">
        <v>57</v>
      </c>
      <c r="B57" s="71"/>
      <c r="E57" s="72" t="s">
        <v>109</v>
      </c>
      <c r="L57" s="107" t="str">
        <f t="shared" si="6"/>
        <v>YES</v>
      </c>
      <c r="M57" s="108" t="str">
        <f t="shared" si="7"/>
        <v/>
      </c>
      <c r="O57" s="100">
        <v>1</v>
      </c>
      <c r="P57" s="24" t="s">
        <v>533</v>
      </c>
      <c r="Y57" s="35"/>
      <c r="AA57" s="38" t="s">
        <v>100</v>
      </c>
      <c r="AB57" s="69"/>
      <c r="AD57" s="70"/>
      <c r="AH57" s="605">
        <v>28</v>
      </c>
      <c r="AI57" s="603">
        <v>50</v>
      </c>
      <c r="AJ57" s="214">
        <v>0</v>
      </c>
      <c r="AK57" s="603" t="str">
        <f t="shared" si="1"/>
        <v>Mo</v>
      </c>
      <c r="AL57" s="603" t="str">
        <f>IF($V$25="","",$V$25)</f>
        <v>Rh</v>
      </c>
      <c r="AM57" s="603"/>
      <c r="AN57" s="603"/>
      <c r="AO57" s="603"/>
      <c r="AP57" s="603"/>
      <c r="AQ57" s="606" t="s">
        <v>580</v>
      </c>
    </row>
    <row r="58" spans="1:43" ht="14.1" customHeight="1">
      <c r="A58" s="20">
        <v>58</v>
      </c>
      <c r="B58" s="71"/>
      <c r="E58" s="72" t="s">
        <v>105</v>
      </c>
      <c r="L58" s="107" t="str">
        <f t="shared" si="6"/>
        <v>YES</v>
      </c>
      <c r="M58" s="108" t="str">
        <f t="shared" si="7"/>
        <v/>
      </c>
      <c r="O58" s="100">
        <v>1</v>
      </c>
      <c r="P58" s="24" t="s">
        <v>534</v>
      </c>
      <c r="Y58" s="35"/>
      <c r="AA58" s="46" t="s">
        <v>112</v>
      </c>
      <c r="AH58" s="622">
        <v>28</v>
      </c>
      <c r="AI58" s="623">
        <v>50</v>
      </c>
      <c r="AJ58" s="624">
        <v>0</v>
      </c>
      <c r="AK58" s="623" t="str">
        <f t="shared" si="1"/>
        <v>Mo</v>
      </c>
      <c r="AL58" s="623" t="str">
        <f t="shared" ref="AL58:AL90" si="8">IF($V$25="","",$V$25)</f>
        <v>Rh</v>
      </c>
      <c r="AM58" s="623"/>
      <c r="AN58" s="623"/>
      <c r="AO58" s="623"/>
      <c r="AP58" s="623"/>
      <c r="AQ58" s="625" t="s">
        <v>580</v>
      </c>
    </row>
    <row r="59" spans="1:43" ht="14.1" customHeight="1">
      <c r="A59" s="20">
        <v>59</v>
      </c>
      <c r="B59" s="71"/>
      <c r="E59" s="72" t="s">
        <v>106</v>
      </c>
      <c r="L59" s="107" t="str">
        <f t="shared" si="6"/>
        <v>YES</v>
      </c>
      <c r="M59" s="108" t="str">
        <f t="shared" si="7"/>
        <v/>
      </c>
      <c r="O59" s="100">
        <v>1</v>
      </c>
      <c r="P59" s="24" t="s">
        <v>535</v>
      </c>
      <c r="Y59" s="35"/>
      <c r="AA59" s="38" t="s">
        <v>95</v>
      </c>
      <c r="AB59" s="69"/>
      <c r="AD59" s="70" t="str">
        <f>IF(S124="","",S124)</f>
        <v/>
      </c>
      <c r="AH59" s="622">
        <v>28</v>
      </c>
      <c r="AI59" s="623">
        <v>50</v>
      </c>
      <c r="AJ59" s="624">
        <v>0.4</v>
      </c>
      <c r="AK59" s="623" t="str">
        <f t="shared" si="1"/>
        <v>Mo</v>
      </c>
      <c r="AL59" s="623" t="str">
        <f t="shared" si="8"/>
        <v>Rh</v>
      </c>
      <c r="AM59" s="623"/>
      <c r="AN59" s="623"/>
      <c r="AO59" s="623"/>
      <c r="AP59" s="623"/>
      <c r="AQ59" s="625" t="s">
        <v>580</v>
      </c>
    </row>
    <row r="60" spans="1:43" ht="14.1" customHeight="1">
      <c r="A60" s="20">
        <v>60</v>
      </c>
      <c r="B60" s="71"/>
      <c r="E60" s="72" t="s">
        <v>107</v>
      </c>
      <c r="L60" s="107" t="str">
        <f t="shared" si="6"/>
        <v>YES</v>
      </c>
      <c r="M60" s="108" t="str">
        <f t="shared" si="7"/>
        <v/>
      </c>
      <c r="O60" s="100">
        <v>1</v>
      </c>
      <c r="P60" s="24" t="s">
        <v>536</v>
      </c>
      <c r="Y60" s="35"/>
      <c r="AA60" s="38" t="s">
        <v>98</v>
      </c>
      <c r="AB60" s="69"/>
      <c r="AD60" s="70" t="str">
        <f>IF(T124="","",T124)</f>
        <v/>
      </c>
      <c r="AH60" s="622">
        <v>28</v>
      </c>
      <c r="AI60" s="623">
        <v>50</v>
      </c>
      <c r="AJ60" s="624">
        <v>0.4</v>
      </c>
      <c r="AK60" s="623" t="str">
        <f t="shared" si="1"/>
        <v>Mo</v>
      </c>
      <c r="AL60" s="623" t="str">
        <f t="shared" si="8"/>
        <v>Rh</v>
      </c>
      <c r="AM60" s="623"/>
      <c r="AN60" s="623"/>
      <c r="AO60" s="623"/>
      <c r="AP60" s="623"/>
      <c r="AQ60" s="625" t="s">
        <v>580</v>
      </c>
    </row>
    <row r="61" spans="1:43" ht="14.1" customHeight="1">
      <c r="A61" s="20">
        <v>61</v>
      </c>
      <c r="B61" s="71"/>
      <c r="E61" s="72" t="s">
        <v>108</v>
      </c>
      <c r="L61" s="107" t="str">
        <f t="shared" si="6"/>
        <v>YES</v>
      </c>
      <c r="M61" s="108" t="str">
        <f t="shared" si="7"/>
        <v/>
      </c>
      <c r="O61" s="100">
        <v>1</v>
      </c>
      <c r="P61" s="24" t="s">
        <v>537</v>
      </c>
      <c r="Y61" s="35"/>
      <c r="AA61" s="38" t="s">
        <v>100</v>
      </c>
      <c r="AB61" s="69"/>
      <c r="AD61" s="70" t="str">
        <f>IF(U124="","",U124)</f>
        <v/>
      </c>
      <c r="AH61" s="622">
        <v>28</v>
      </c>
      <c r="AI61" s="623">
        <v>50</v>
      </c>
      <c r="AJ61" s="624">
        <v>0.5</v>
      </c>
      <c r="AK61" s="623" t="str">
        <f t="shared" si="1"/>
        <v>Mo</v>
      </c>
      <c r="AL61" s="623" t="str">
        <f t="shared" si="8"/>
        <v>Rh</v>
      </c>
      <c r="AM61" s="623"/>
      <c r="AN61" s="623"/>
      <c r="AO61" s="623"/>
      <c r="AP61" s="623"/>
      <c r="AQ61" s="625" t="s">
        <v>580</v>
      </c>
    </row>
    <row r="62" spans="1:43" ht="14.1" customHeight="1">
      <c r="A62" s="20">
        <v>62</v>
      </c>
      <c r="B62" s="71"/>
      <c r="E62" s="72" t="s">
        <v>115</v>
      </c>
      <c r="L62" s="107" t="str">
        <f t="shared" si="6"/>
        <v>YES</v>
      </c>
      <c r="M62" s="108" t="str">
        <f t="shared" si="7"/>
        <v/>
      </c>
      <c r="O62" s="33"/>
      <c r="Y62" s="35"/>
      <c r="AA62" s="38" t="s">
        <v>95</v>
      </c>
      <c r="AB62" s="69"/>
      <c r="AD62" s="70" t="str">
        <f>IF(S125="","",S125)</f>
        <v/>
      </c>
      <c r="AH62" s="622">
        <v>28</v>
      </c>
      <c r="AI62" s="623">
        <v>50</v>
      </c>
      <c r="AJ62" s="624">
        <v>0.5</v>
      </c>
      <c r="AK62" s="623" t="str">
        <f t="shared" si="1"/>
        <v>Mo</v>
      </c>
      <c r="AL62" s="623" t="str">
        <f t="shared" si="8"/>
        <v>Rh</v>
      </c>
      <c r="AM62" s="623"/>
      <c r="AN62" s="623"/>
      <c r="AO62" s="623"/>
      <c r="AP62" s="623"/>
      <c r="AQ62" s="625" t="s">
        <v>580</v>
      </c>
    </row>
    <row r="63" spans="1:43" ht="14.1" customHeight="1">
      <c r="A63" s="20">
        <v>63</v>
      </c>
      <c r="B63" s="71"/>
      <c r="E63" s="24" t="s">
        <v>117</v>
      </c>
      <c r="L63" s="107" t="str">
        <f t="shared" si="6"/>
        <v>YES</v>
      </c>
      <c r="M63" s="108" t="str">
        <f t="shared" si="7"/>
        <v/>
      </c>
      <c r="O63" s="33"/>
      <c r="T63" s="266" t="s">
        <v>92</v>
      </c>
      <c r="Y63" s="35"/>
      <c r="AA63" s="38" t="s">
        <v>98</v>
      </c>
      <c r="AB63" s="69"/>
      <c r="AD63" s="70" t="str">
        <f>IF(T125="","",T125)</f>
        <v/>
      </c>
      <c r="AH63" s="622">
        <v>28</v>
      </c>
      <c r="AI63" s="623">
        <v>50</v>
      </c>
      <c r="AJ63" s="624">
        <v>0.6</v>
      </c>
      <c r="AK63" s="623" t="str">
        <f t="shared" si="1"/>
        <v>Mo</v>
      </c>
      <c r="AL63" s="623" t="str">
        <f t="shared" si="8"/>
        <v>Rh</v>
      </c>
      <c r="AM63" s="623"/>
      <c r="AN63" s="623"/>
      <c r="AO63" s="623"/>
      <c r="AP63" s="623"/>
      <c r="AQ63" s="626" t="s">
        <v>580</v>
      </c>
    </row>
    <row r="64" spans="1:43" ht="14.1" customHeight="1">
      <c r="A64" s="20">
        <v>64</v>
      </c>
      <c r="B64" s="71"/>
      <c r="C64" s="72"/>
      <c r="D64" s="72"/>
      <c r="E64" s="72"/>
      <c r="F64" s="72"/>
      <c r="G64" s="72"/>
      <c r="H64" s="72"/>
      <c r="I64" s="72"/>
      <c r="J64" s="72"/>
      <c r="K64" s="72"/>
      <c r="L64" s="72"/>
      <c r="M64" s="73"/>
      <c r="O64" s="100">
        <v>1</v>
      </c>
      <c r="P64" s="72" t="s">
        <v>94</v>
      </c>
      <c r="Y64" s="35"/>
      <c r="AA64" s="38" t="s">
        <v>100</v>
      </c>
      <c r="AB64" s="69"/>
      <c r="AD64" s="70" t="str">
        <f>IF(U125="","",U125)</f>
        <v/>
      </c>
      <c r="AH64" s="622">
        <v>28</v>
      </c>
      <c r="AI64" s="623">
        <v>50</v>
      </c>
      <c r="AJ64" s="624">
        <v>0.6</v>
      </c>
      <c r="AK64" s="623" t="str">
        <f t="shared" si="1"/>
        <v>Mo</v>
      </c>
      <c r="AL64" s="623" t="str">
        <f t="shared" si="8"/>
        <v>Rh</v>
      </c>
      <c r="AM64" s="623"/>
      <c r="AN64" s="623"/>
      <c r="AO64" s="623"/>
      <c r="AP64" s="623"/>
      <c r="AQ64" s="626" t="s">
        <v>580</v>
      </c>
    </row>
    <row r="65" spans="1:43" ht="14.1" customHeight="1">
      <c r="A65" s="20">
        <v>65</v>
      </c>
      <c r="B65" s="71"/>
      <c r="C65" s="72"/>
      <c r="D65" s="72"/>
      <c r="E65" s="72"/>
      <c r="F65" s="72"/>
      <c r="G65" s="72"/>
      <c r="H65" s="72"/>
      <c r="I65" s="72"/>
      <c r="J65" s="72"/>
      <c r="K65" s="72"/>
      <c r="L65" s="72"/>
      <c r="M65" s="73"/>
      <c r="O65" s="100">
        <v>1</v>
      </c>
      <c r="P65" s="72" t="s">
        <v>97</v>
      </c>
      <c r="Y65" s="35"/>
      <c r="AA65" s="38" t="s">
        <v>95</v>
      </c>
      <c r="AB65" s="69"/>
      <c r="AD65" s="70" t="str">
        <f>IF(S126="","",S126)</f>
        <v/>
      </c>
      <c r="AH65" s="210">
        <v>30</v>
      </c>
      <c r="AI65" s="14">
        <v>50</v>
      </c>
      <c r="AJ65" s="110">
        <v>0</v>
      </c>
      <c r="AK65" s="14" t="str">
        <f t="shared" si="1"/>
        <v>Mo</v>
      </c>
      <c r="AL65" s="14" t="str">
        <f t="shared" si="8"/>
        <v>Rh</v>
      </c>
      <c r="AM65" s="14"/>
      <c r="AN65" s="14"/>
      <c r="AO65" s="14"/>
      <c r="AP65" s="14"/>
      <c r="AQ65" s="228" t="s">
        <v>580</v>
      </c>
    </row>
    <row r="66" spans="1:43" ht="14.1" customHeight="1">
      <c r="A66" s="20">
        <v>66</v>
      </c>
      <c r="B66" s="71"/>
      <c r="C66" s="72"/>
      <c r="D66" s="72"/>
      <c r="E66" s="72"/>
      <c r="F66" s="72"/>
      <c r="G66" s="72"/>
      <c r="H66" s="72"/>
      <c r="I66" s="72"/>
      <c r="J66" s="72"/>
      <c r="K66" s="72"/>
      <c r="L66" s="72"/>
      <c r="M66" s="73"/>
      <c r="O66" s="100">
        <v>1</v>
      </c>
      <c r="P66" s="72" t="s">
        <v>99</v>
      </c>
      <c r="Y66" s="35"/>
      <c r="AA66" s="38" t="s">
        <v>98</v>
      </c>
      <c r="AB66" s="69"/>
      <c r="AD66" s="70" t="str">
        <f>IF(T126="","",T126)</f>
        <v/>
      </c>
      <c r="AH66" s="622">
        <v>30</v>
      </c>
      <c r="AI66" s="623">
        <v>50</v>
      </c>
      <c r="AJ66" s="624">
        <v>0</v>
      </c>
      <c r="AK66" s="623" t="str">
        <f t="shared" si="1"/>
        <v>Mo</v>
      </c>
      <c r="AL66" s="623" t="str">
        <f t="shared" si="8"/>
        <v>Rh</v>
      </c>
      <c r="AM66" s="623"/>
      <c r="AN66" s="623"/>
      <c r="AO66" s="623"/>
      <c r="AP66" s="623"/>
      <c r="AQ66" s="626" t="s">
        <v>580</v>
      </c>
    </row>
    <row r="67" spans="1:43" ht="14.1" customHeight="1">
      <c r="A67" s="20">
        <v>67</v>
      </c>
      <c r="B67" s="71"/>
      <c r="C67" s="72"/>
      <c r="D67" s="72"/>
      <c r="E67" s="72"/>
      <c r="F67" s="72"/>
      <c r="G67" s="72"/>
      <c r="H67" s="72"/>
      <c r="I67" s="72"/>
      <c r="J67" s="72"/>
      <c r="K67" s="72"/>
      <c r="L67" s="72"/>
      <c r="M67" s="73"/>
      <c r="O67" s="100">
        <v>1</v>
      </c>
      <c r="P67" s="72" t="s">
        <v>101</v>
      </c>
      <c r="Y67" s="35"/>
      <c r="AA67" s="38" t="s">
        <v>100</v>
      </c>
      <c r="AB67" s="69"/>
      <c r="AD67" s="70" t="str">
        <f>IF(U126="","",U126)</f>
        <v/>
      </c>
      <c r="AH67" s="622">
        <v>30</v>
      </c>
      <c r="AI67" s="623">
        <v>50</v>
      </c>
      <c r="AJ67" s="624">
        <v>0.5</v>
      </c>
      <c r="AK67" s="623" t="str">
        <f t="shared" si="1"/>
        <v>Mo</v>
      </c>
      <c r="AL67" s="623" t="str">
        <f t="shared" si="8"/>
        <v>Rh</v>
      </c>
      <c r="AM67" s="623"/>
      <c r="AN67" s="623"/>
      <c r="AO67" s="623"/>
      <c r="AP67" s="623"/>
      <c r="AQ67" s="626" t="s">
        <v>580</v>
      </c>
    </row>
    <row r="68" spans="1:43" ht="14.1" customHeight="1">
      <c r="A68" s="20">
        <v>68</v>
      </c>
      <c r="B68" s="71"/>
      <c r="C68" s="72"/>
      <c r="D68" s="72"/>
      <c r="E68" s="72"/>
      <c r="F68" s="72"/>
      <c r="G68" s="72"/>
      <c r="H68" s="72"/>
      <c r="I68" s="72"/>
      <c r="J68" s="72"/>
      <c r="K68" s="72"/>
      <c r="L68" s="72"/>
      <c r="M68" s="73"/>
      <c r="O68" s="100">
        <v>3</v>
      </c>
      <c r="P68" s="72" t="s">
        <v>102</v>
      </c>
      <c r="Y68" s="35"/>
      <c r="AA68" s="38" t="s">
        <v>95</v>
      </c>
      <c r="AB68" s="69"/>
      <c r="AD68" s="70" t="str">
        <f>IF(S127="","",S127)</f>
        <v/>
      </c>
      <c r="AH68" s="622">
        <v>30</v>
      </c>
      <c r="AI68" s="623">
        <v>50</v>
      </c>
      <c r="AJ68" s="624">
        <v>0.5</v>
      </c>
      <c r="AK68" s="623" t="str">
        <f t="shared" si="1"/>
        <v>Mo</v>
      </c>
      <c r="AL68" s="623" t="str">
        <f t="shared" si="8"/>
        <v>Rh</v>
      </c>
      <c r="AM68" s="623"/>
      <c r="AN68" s="623"/>
      <c r="AO68" s="623"/>
      <c r="AP68" s="623"/>
      <c r="AQ68" s="626" t="s">
        <v>580</v>
      </c>
    </row>
    <row r="69" spans="1:43" ht="14.1" customHeight="1">
      <c r="A69" s="20">
        <v>69</v>
      </c>
      <c r="B69" s="71"/>
      <c r="C69" s="72"/>
      <c r="D69" s="72"/>
      <c r="E69" s="72"/>
      <c r="F69" s="72"/>
      <c r="G69" s="72"/>
      <c r="H69" s="72"/>
      <c r="I69" s="72"/>
      <c r="J69" s="72"/>
      <c r="K69" s="72"/>
      <c r="L69" s="72"/>
      <c r="M69" s="73"/>
      <c r="O69" s="100">
        <v>3</v>
      </c>
      <c r="P69" s="72" t="s">
        <v>103</v>
      </c>
      <c r="Y69" s="35"/>
      <c r="AA69" s="38" t="s">
        <v>98</v>
      </c>
      <c r="AB69" s="69"/>
      <c r="AD69" s="70" t="str">
        <f>IF(T127="","",T127)</f>
        <v/>
      </c>
      <c r="AH69" s="622">
        <v>30</v>
      </c>
      <c r="AI69" s="623">
        <v>50</v>
      </c>
      <c r="AJ69" s="624">
        <v>0.6</v>
      </c>
      <c r="AK69" s="623" t="str">
        <f t="shared" si="1"/>
        <v>Mo</v>
      </c>
      <c r="AL69" s="623" t="str">
        <f t="shared" si="8"/>
        <v>Rh</v>
      </c>
      <c r="AM69" s="623"/>
      <c r="AN69" s="623"/>
      <c r="AO69" s="623"/>
      <c r="AP69" s="623"/>
      <c r="AQ69" s="626" t="s">
        <v>580</v>
      </c>
    </row>
    <row r="70" spans="1:43" ht="14.1" customHeight="1" thickBot="1">
      <c r="A70" s="20">
        <v>70</v>
      </c>
      <c r="B70" s="84"/>
      <c r="C70" s="85"/>
      <c r="D70" s="85"/>
      <c r="E70" s="85"/>
      <c r="F70" s="85"/>
      <c r="G70" s="85"/>
      <c r="H70" s="85"/>
      <c r="I70" s="85"/>
      <c r="J70" s="85"/>
      <c r="K70" s="85"/>
      <c r="L70" s="85"/>
      <c r="M70" s="86"/>
      <c r="O70" s="100">
        <v>1</v>
      </c>
      <c r="P70" s="72" t="s">
        <v>104</v>
      </c>
      <c r="Y70" s="35"/>
      <c r="AA70" s="38" t="s">
        <v>100</v>
      </c>
      <c r="AB70" s="69"/>
      <c r="AD70" s="70" t="str">
        <f>IF(U127="","",U127)</f>
        <v/>
      </c>
      <c r="AH70" s="622">
        <v>30</v>
      </c>
      <c r="AI70" s="623">
        <v>50</v>
      </c>
      <c r="AJ70" s="624">
        <v>0.6</v>
      </c>
      <c r="AK70" s="623" t="str">
        <f t="shared" si="1"/>
        <v>Mo</v>
      </c>
      <c r="AL70" s="623" t="str">
        <f t="shared" si="8"/>
        <v>Rh</v>
      </c>
      <c r="AM70" s="623"/>
      <c r="AN70" s="623"/>
      <c r="AO70" s="623"/>
      <c r="AP70" s="623"/>
      <c r="AQ70" s="626" t="s">
        <v>580</v>
      </c>
    </row>
    <row r="71" spans="1:43" ht="14.1" customHeight="1" thickTop="1">
      <c r="A71" s="20">
        <v>71</v>
      </c>
      <c r="C71" s="113" t="s">
        <v>11</v>
      </c>
      <c r="D71" s="386" t="str">
        <f>IF($P$7="","",$P$7)</f>
        <v/>
      </c>
      <c r="E71" s="30"/>
      <c r="F71" s="30"/>
      <c r="G71" s="30"/>
      <c r="H71" s="30"/>
      <c r="I71" s="30"/>
      <c r="J71" s="30"/>
      <c r="K71" s="30"/>
      <c r="L71" s="113" t="s">
        <v>12</v>
      </c>
      <c r="M71" s="387" t="str">
        <f>IF($X$7="","",$X$7)</f>
        <v>Eugene Mah</v>
      </c>
      <c r="O71" s="100">
        <v>1</v>
      </c>
      <c r="P71" s="72" t="s">
        <v>105</v>
      </c>
      <c r="Y71" s="35"/>
      <c r="AA71" s="46" t="s">
        <v>67</v>
      </c>
      <c r="AH71" s="622">
        <v>30</v>
      </c>
      <c r="AI71" s="623">
        <v>50</v>
      </c>
      <c r="AJ71" s="624">
        <v>0.7</v>
      </c>
      <c r="AK71" s="623" t="str">
        <f t="shared" si="1"/>
        <v>Mo</v>
      </c>
      <c r="AL71" s="623" t="str">
        <f t="shared" si="8"/>
        <v>Rh</v>
      </c>
      <c r="AM71" s="623"/>
      <c r="AN71" s="623"/>
      <c r="AO71" s="623"/>
      <c r="AP71" s="623"/>
      <c r="AQ71" s="626" t="s">
        <v>580</v>
      </c>
    </row>
    <row r="72" spans="1:43" ht="14.1" customHeight="1">
      <c r="A72" s="20">
        <v>72</v>
      </c>
      <c r="C72" s="113" t="s">
        <v>121</v>
      </c>
      <c r="D72" s="387" t="str">
        <f>IF($R$14="","",$R$14)</f>
        <v/>
      </c>
      <c r="E72" s="30"/>
      <c r="F72" s="30"/>
      <c r="G72" s="30"/>
      <c r="H72" s="30"/>
      <c r="I72" s="30"/>
      <c r="J72" s="30"/>
      <c r="K72" s="30"/>
      <c r="L72" s="113" t="s">
        <v>37</v>
      </c>
      <c r="M72" s="387" t="str">
        <f>IF($R$13="","",$R$13)</f>
        <v/>
      </c>
      <c r="O72" s="100">
        <v>1</v>
      </c>
      <c r="P72" s="72" t="s">
        <v>106</v>
      </c>
      <c r="Y72" s="35"/>
      <c r="AA72" s="38" t="s">
        <v>95</v>
      </c>
      <c r="AB72" s="69"/>
      <c r="AD72" s="70" t="str">
        <f>IF(V124="","",V124)</f>
        <v/>
      </c>
      <c r="AH72" s="622">
        <v>30</v>
      </c>
      <c r="AI72" s="623">
        <v>50</v>
      </c>
      <c r="AJ72" s="624">
        <v>0.7</v>
      </c>
      <c r="AK72" s="623" t="str">
        <f t="shared" si="1"/>
        <v>Mo</v>
      </c>
      <c r="AL72" s="623" t="str">
        <f t="shared" si="8"/>
        <v>Rh</v>
      </c>
      <c r="AM72" s="623"/>
      <c r="AN72" s="623"/>
      <c r="AO72" s="623"/>
      <c r="AP72" s="623"/>
      <c r="AQ72" s="626" t="s">
        <v>580</v>
      </c>
    </row>
    <row r="73" spans="1:43" ht="14.1" customHeight="1">
      <c r="A73" s="20">
        <v>1</v>
      </c>
      <c r="M73" s="116" t="str">
        <f>$H$2</f>
        <v>Medical University of South Carolina</v>
      </c>
      <c r="O73" s="100">
        <v>1</v>
      </c>
      <c r="P73" s="72" t="s">
        <v>107</v>
      </c>
      <c r="Y73" s="35"/>
      <c r="AA73" s="38" t="s">
        <v>98</v>
      </c>
      <c r="AB73" s="69"/>
      <c r="AD73" s="70" t="str">
        <f>IF(W124="","",W124)</f>
        <v/>
      </c>
      <c r="AH73" s="609">
        <v>32</v>
      </c>
      <c r="AI73" s="604">
        <v>50</v>
      </c>
      <c r="AJ73" s="621">
        <v>0</v>
      </c>
      <c r="AK73" s="604" t="str">
        <f t="shared" si="1"/>
        <v>Mo</v>
      </c>
      <c r="AL73" s="604" t="str">
        <f t="shared" si="8"/>
        <v>Rh</v>
      </c>
      <c r="AM73" s="604"/>
      <c r="AN73" s="604"/>
      <c r="AO73" s="604"/>
      <c r="AP73" s="604"/>
      <c r="AQ73" s="610" t="s">
        <v>580</v>
      </c>
    </row>
    <row r="74" spans="1:43" ht="14.1" customHeight="1" thickBot="1">
      <c r="A74" s="20">
        <v>2</v>
      </c>
      <c r="H74" s="54" t="s">
        <v>73</v>
      </c>
      <c r="M74" s="117" t="str">
        <f>$H$5</f>
        <v>Mammography System Compliance Inspection</v>
      </c>
      <c r="O74" s="100">
        <v>1</v>
      </c>
      <c r="P74" s="72" t="s">
        <v>108</v>
      </c>
      <c r="Y74" s="35"/>
      <c r="AA74" s="38" t="s">
        <v>100</v>
      </c>
      <c r="AB74" s="69"/>
      <c r="AD74" s="70" t="str">
        <f>IF(X124="","",X124)</f>
        <v/>
      </c>
      <c r="AH74" s="622">
        <v>32</v>
      </c>
      <c r="AI74" s="623">
        <v>50</v>
      </c>
      <c r="AJ74" s="624">
        <v>0</v>
      </c>
      <c r="AK74" s="623" t="str">
        <f t="shared" si="1"/>
        <v>Mo</v>
      </c>
      <c r="AL74" s="623" t="str">
        <f t="shared" si="8"/>
        <v>Rh</v>
      </c>
      <c r="AM74" s="623"/>
      <c r="AN74" s="623"/>
      <c r="AO74" s="623"/>
      <c r="AP74" s="623"/>
      <c r="AQ74" s="626" t="s">
        <v>580</v>
      </c>
    </row>
    <row r="75" spans="1:43" ht="14.1" customHeight="1" thickTop="1">
      <c r="A75" s="20">
        <v>3</v>
      </c>
      <c r="B75" s="62"/>
      <c r="C75" s="118" t="s">
        <v>89</v>
      </c>
      <c r="D75" s="63"/>
      <c r="E75" s="63"/>
      <c r="F75" s="63"/>
      <c r="G75" s="63"/>
      <c r="H75" s="119" t="s">
        <v>113</v>
      </c>
      <c r="I75" s="63"/>
      <c r="J75" s="63"/>
      <c r="K75" s="63"/>
      <c r="L75" s="63"/>
      <c r="M75" s="65"/>
      <c r="O75" s="100">
        <v>1</v>
      </c>
      <c r="P75" s="72" t="s">
        <v>110</v>
      </c>
      <c r="Y75" s="35"/>
      <c r="AA75" s="38" t="s">
        <v>95</v>
      </c>
      <c r="AB75" s="69"/>
      <c r="AD75" s="70" t="str">
        <f>IF(V125="","",V125)</f>
        <v/>
      </c>
      <c r="AH75" s="622">
        <v>32</v>
      </c>
      <c r="AI75" s="623">
        <v>50</v>
      </c>
      <c r="AJ75" s="624">
        <v>0.5</v>
      </c>
      <c r="AK75" s="623" t="str">
        <f t="shared" ref="AK75:AK90" si="9">IF($V$21="","",$V$21)</f>
        <v>Mo</v>
      </c>
      <c r="AL75" s="623" t="str">
        <f t="shared" si="8"/>
        <v>Rh</v>
      </c>
      <c r="AM75" s="623"/>
      <c r="AN75" s="623"/>
      <c r="AO75" s="623"/>
      <c r="AP75" s="623"/>
      <c r="AQ75" s="626" t="s">
        <v>580</v>
      </c>
    </row>
    <row r="76" spans="1:43" ht="14.1" customHeight="1">
      <c r="A76" s="20">
        <v>4</v>
      </c>
      <c r="B76" s="71"/>
      <c r="C76" s="72" t="s">
        <v>126</v>
      </c>
      <c r="D76" s="72"/>
      <c r="E76" s="72" t="s">
        <v>127</v>
      </c>
      <c r="F76" s="72"/>
      <c r="G76" s="72"/>
      <c r="H76" s="72"/>
      <c r="I76" s="72"/>
      <c r="J76" s="72"/>
      <c r="K76" s="72"/>
      <c r="L76" s="152" t="str">
        <f t="shared" ref="L76:L107" si="10">IF(O79="","TBD",IF(O79=1,"YES",IF(O79=3,"NA","")))</f>
        <v>YES</v>
      </c>
      <c r="M76" s="108" t="str">
        <f t="shared" ref="M76:M107" si="11">IF(O79=2,"NO","")</f>
        <v/>
      </c>
      <c r="O76" s="100">
        <v>1</v>
      </c>
      <c r="P76" s="24" t="s">
        <v>111</v>
      </c>
      <c r="Y76" s="35"/>
      <c r="AA76" s="38" t="s">
        <v>98</v>
      </c>
      <c r="AB76" s="69"/>
      <c r="AD76" s="70" t="str">
        <f>IF(W125="","",W125)</f>
        <v/>
      </c>
      <c r="AH76" s="622">
        <v>32</v>
      </c>
      <c r="AI76" s="623">
        <v>50</v>
      </c>
      <c r="AJ76" s="624">
        <v>0.5</v>
      </c>
      <c r="AK76" s="623" t="str">
        <f t="shared" si="9"/>
        <v>Mo</v>
      </c>
      <c r="AL76" s="623" t="str">
        <f t="shared" si="8"/>
        <v>Rh</v>
      </c>
      <c r="AM76" s="623"/>
      <c r="AN76" s="623"/>
      <c r="AO76" s="623"/>
      <c r="AP76" s="623"/>
      <c r="AQ76" s="626" t="s">
        <v>580</v>
      </c>
    </row>
    <row r="77" spans="1:43" ht="14.1" customHeight="1">
      <c r="A77" s="20">
        <v>5</v>
      </c>
      <c r="B77" s="71"/>
      <c r="C77" s="72" t="s">
        <v>129</v>
      </c>
      <c r="D77" s="72"/>
      <c r="E77" s="72" t="s">
        <v>130</v>
      </c>
      <c r="F77" s="72"/>
      <c r="G77" s="72"/>
      <c r="H77" s="72"/>
      <c r="I77" s="72"/>
      <c r="J77" s="72"/>
      <c r="K77" s="72"/>
      <c r="L77" s="152" t="str">
        <f t="shared" si="10"/>
        <v>YES</v>
      </c>
      <c r="M77" s="108" t="str">
        <f t="shared" si="11"/>
        <v/>
      </c>
      <c r="O77" s="33"/>
      <c r="Y77" s="35"/>
      <c r="AA77" s="38" t="s">
        <v>100</v>
      </c>
      <c r="AB77" s="69"/>
      <c r="AD77" s="70" t="str">
        <f>IF(X125="","",X125)</f>
        <v/>
      </c>
      <c r="AH77" s="622">
        <v>32</v>
      </c>
      <c r="AI77" s="623">
        <v>50</v>
      </c>
      <c r="AJ77" s="624">
        <v>0.6</v>
      </c>
      <c r="AK77" s="623" t="str">
        <f t="shared" si="9"/>
        <v>Mo</v>
      </c>
      <c r="AL77" s="623" t="str">
        <f t="shared" si="8"/>
        <v>Rh</v>
      </c>
      <c r="AM77" s="623"/>
      <c r="AN77" s="623"/>
      <c r="AO77" s="623"/>
      <c r="AP77" s="623"/>
      <c r="AQ77" s="626" t="s">
        <v>580</v>
      </c>
    </row>
    <row r="78" spans="1:43" ht="14.1" customHeight="1">
      <c r="A78" s="20">
        <v>6</v>
      </c>
      <c r="B78" s="71"/>
      <c r="C78" s="72" t="s">
        <v>132</v>
      </c>
      <c r="D78" s="72"/>
      <c r="E78" s="72" t="s">
        <v>118</v>
      </c>
      <c r="F78" s="72"/>
      <c r="G78" s="72"/>
      <c r="H78" s="72"/>
      <c r="I78" s="72"/>
      <c r="J78" s="72"/>
      <c r="K78" s="72"/>
      <c r="L78" s="152" t="str">
        <f t="shared" si="10"/>
        <v>YES</v>
      </c>
      <c r="M78" s="108" t="str">
        <f t="shared" si="11"/>
        <v/>
      </c>
      <c r="O78" s="33"/>
      <c r="T78" s="266" t="s">
        <v>113</v>
      </c>
      <c r="Y78" s="35"/>
      <c r="AA78" s="38" t="s">
        <v>95</v>
      </c>
      <c r="AB78" s="69"/>
      <c r="AD78" s="70" t="str">
        <f>IF(V126="","",V126)</f>
        <v/>
      </c>
      <c r="AH78" s="622">
        <v>32</v>
      </c>
      <c r="AI78" s="623">
        <v>50</v>
      </c>
      <c r="AJ78" s="624">
        <v>0.6</v>
      </c>
      <c r="AK78" s="623" t="str">
        <f t="shared" si="9"/>
        <v>Mo</v>
      </c>
      <c r="AL78" s="623" t="str">
        <f t="shared" si="8"/>
        <v>Rh</v>
      </c>
      <c r="AM78" s="623"/>
      <c r="AN78" s="623"/>
      <c r="AO78" s="623"/>
      <c r="AP78" s="623"/>
      <c r="AQ78" s="626" t="s">
        <v>580</v>
      </c>
    </row>
    <row r="79" spans="1:43" ht="14.1" customHeight="1">
      <c r="A79" s="20">
        <v>7</v>
      </c>
      <c r="B79" s="71"/>
      <c r="C79" s="72" t="s">
        <v>134</v>
      </c>
      <c r="D79" s="72"/>
      <c r="E79" s="72" t="s">
        <v>135</v>
      </c>
      <c r="F79" s="72"/>
      <c r="G79" s="72"/>
      <c r="H79" s="72"/>
      <c r="I79" s="72"/>
      <c r="J79" s="72"/>
      <c r="K79" s="72"/>
      <c r="L79" s="152" t="str">
        <f t="shared" si="10"/>
        <v>YES</v>
      </c>
      <c r="M79" s="108" t="str">
        <f t="shared" si="11"/>
        <v/>
      </c>
      <c r="O79" s="100">
        <v>1</v>
      </c>
      <c r="P79" s="24" t="s">
        <v>114</v>
      </c>
      <c r="Y79" s="35"/>
      <c r="AA79" s="38" t="s">
        <v>98</v>
      </c>
      <c r="AB79" s="69"/>
      <c r="AD79" s="70" t="str">
        <f>IF(W126="","",W126)</f>
        <v/>
      </c>
      <c r="AH79" s="622">
        <v>32</v>
      </c>
      <c r="AI79" s="623">
        <v>50</v>
      </c>
      <c r="AJ79" s="624">
        <v>0.7</v>
      </c>
      <c r="AK79" s="623" t="str">
        <f t="shared" si="9"/>
        <v>Mo</v>
      </c>
      <c r="AL79" s="623" t="str">
        <f t="shared" si="8"/>
        <v>Rh</v>
      </c>
      <c r="AM79" s="623"/>
      <c r="AN79" s="623"/>
      <c r="AO79" s="623"/>
      <c r="AP79" s="623"/>
      <c r="AQ79" s="626" t="s">
        <v>580</v>
      </c>
    </row>
    <row r="80" spans="1:43" ht="14.1" customHeight="1">
      <c r="A80" s="20">
        <v>8</v>
      </c>
      <c r="B80" s="71"/>
      <c r="C80" s="72" t="s">
        <v>137</v>
      </c>
      <c r="D80" s="72"/>
      <c r="E80" s="72" t="s">
        <v>120</v>
      </c>
      <c r="F80" s="72"/>
      <c r="G80" s="72"/>
      <c r="H80" s="72"/>
      <c r="I80" s="72"/>
      <c r="J80" s="72"/>
      <c r="K80" s="72"/>
      <c r="L80" s="152" t="str">
        <f t="shared" si="10"/>
        <v>YES</v>
      </c>
      <c r="M80" s="108" t="str">
        <f t="shared" si="11"/>
        <v/>
      </c>
      <c r="O80" s="100">
        <v>1</v>
      </c>
      <c r="P80" s="24" t="s">
        <v>116</v>
      </c>
      <c r="Y80" s="35"/>
      <c r="AA80" s="38" t="s">
        <v>100</v>
      </c>
      <c r="AB80" s="69"/>
      <c r="AD80" s="70" t="str">
        <f>IF(X126="","",X126)</f>
        <v/>
      </c>
      <c r="AH80" s="622">
        <v>32</v>
      </c>
      <c r="AI80" s="623">
        <v>50</v>
      </c>
      <c r="AJ80" s="624">
        <v>0.7</v>
      </c>
      <c r="AK80" s="623" t="str">
        <f t="shared" si="9"/>
        <v>Mo</v>
      </c>
      <c r="AL80" s="623" t="str">
        <f t="shared" si="8"/>
        <v>Rh</v>
      </c>
      <c r="AM80" s="623"/>
      <c r="AN80" s="623"/>
      <c r="AO80" s="623"/>
      <c r="AP80" s="623"/>
      <c r="AQ80" s="626" t="s">
        <v>580</v>
      </c>
    </row>
    <row r="81" spans="1:43" ht="14.1" customHeight="1">
      <c r="A81" s="20">
        <v>9</v>
      </c>
      <c r="B81" s="71"/>
      <c r="C81" s="72" t="s">
        <v>139</v>
      </c>
      <c r="D81" s="72"/>
      <c r="E81" s="72" t="s">
        <v>140</v>
      </c>
      <c r="F81" s="72"/>
      <c r="G81" s="72"/>
      <c r="H81" s="72"/>
      <c r="I81" s="72"/>
      <c r="J81" s="72"/>
      <c r="K81" s="72"/>
      <c r="L81" s="152" t="str">
        <f t="shared" si="10"/>
        <v>YES</v>
      </c>
      <c r="M81" s="108" t="str">
        <f t="shared" si="11"/>
        <v/>
      </c>
      <c r="O81" s="100">
        <v>1</v>
      </c>
      <c r="P81" s="24" t="s">
        <v>118</v>
      </c>
      <c r="Y81" s="35"/>
      <c r="AA81" s="38" t="s">
        <v>95</v>
      </c>
      <c r="AB81" s="69"/>
      <c r="AD81" s="70" t="str">
        <f>IF(V127="","",V127)</f>
        <v/>
      </c>
      <c r="AH81" s="210">
        <v>34</v>
      </c>
      <c r="AI81" s="14">
        <v>50</v>
      </c>
      <c r="AJ81" s="110">
        <v>0</v>
      </c>
      <c r="AK81" s="14" t="str">
        <f t="shared" si="9"/>
        <v>Mo</v>
      </c>
      <c r="AL81" s="14" t="str">
        <f t="shared" si="8"/>
        <v>Rh</v>
      </c>
      <c r="AM81" s="14"/>
      <c r="AN81" s="14"/>
      <c r="AO81" s="14"/>
      <c r="AP81" s="14"/>
      <c r="AQ81" s="228" t="s">
        <v>580</v>
      </c>
    </row>
    <row r="82" spans="1:43" ht="14.1" customHeight="1">
      <c r="A82" s="20">
        <v>10</v>
      </c>
      <c r="B82" s="71"/>
      <c r="C82" s="72" t="s">
        <v>142</v>
      </c>
      <c r="D82" s="72"/>
      <c r="E82" s="72" t="s">
        <v>123</v>
      </c>
      <c r="F82" s="72"/>
      <c r="G82" s="72"/>
      <c r="H82" s="72"/>
      <c r="I82" s="72"/>
      <c r="J82" s="72"/>
      <c r="K82" s="72"/>
      <c r="L82" s="152" t="str">
        <f t="shared" si="10"/>
        <v>YES</v>
      </c>
      <c r="M82" s="108" t="str">
        <f t="shared" si="11"/>
        <v/>
      </c>
      <c r="O82" s="100">
        <v>1</v>
      </c>
      <c r="P82" s="24" t="s">
        <v>119</v>
      </c>
      <c r="Y82" s="35"/>
      <c r="AA82" s="38" t="s">
        <v>98</v>
      </c>
      <c r="AB82" s="69"/>
      <c r="AD82" s="70" t="str">
        <f>IF(W127="","",W127)</f>
        <v/>
      </c>
      <c r="AH82" s="622">
        <v>34</v>
      </c>
      <c r="AI82" s="623">
        <v>50</v>
      </c>
      <c r="AJ82" s="624">
        <v>0</v>
      </c>
      <c r="AK82" s="623" t="str">
        <f t="shared" si="9"/>
        <v>Mo</v>
      </c>
      <c r="AL82" s="623" t="str">
        <f t="shared" si="8"/>
        <v>Rh</v>
      </c>
      <c r="AM82" s="623"/>
      <c r="AN82" s="623"/>
      <c r="AO82" s="623"/>
      <c r="AP82" s="623"/>
      <c r="AQ82" s="626" t="s">
        <v>580</v>
      </c>
    </row>
    <row r="83" spans="1:43" ht="14.1" customHeight="1">
      <c r="A83" s="20">
        <v>11</v>
      </c>
      <c r="B83" s="71"/>
      <c r="C83" s="72" t="s">
        <v>144</v>
      </c>
      <c r="D83" s="72"/>
      <c r="E83" s="72" t="s">
        <v>145</v>
      </c>
      <c r="F83" s="72"/>
      <c r="G83" s="72"/>
      <c r="H83" s="72"/>
      <c r="I83" s="72"/>
      <c r="J83" s="72"/>
      <c r="K83" s="72"/>
      <c r="L83" s="152" t="str">
        <f t="shared" si="10"/>
        <v>YES</v>
      </c>
      <c r="M83" s="108" t="str">
        <f t="shared" si="11"/>
        <v/>
      </c>
      <c r="O83" s="100">
        <v>1</v>
      </c>
      <c r="P83" s="24" t="s">
        <v>120</v>
      </c>
      <c r="Y83" s="35"/>
      <c r="AA83" s="38" t="s">
        <v>100</v>
      </c>
      <c r="AB83" s="69"/>
      <c r="AD83" s="70" t="str">
        <f>IF(X127="","",X127)</f>
        <v/>
      </c>
      <c r="AH83" s="622">
        <v>34</v>
      </c>
      <c r="AI83" s="623">
        <v>50</v>
      </c>
      <c r="AJ83" s="624">
        <v>0.5</v>
      </c>
      <c r="AK83" s="623" t="str">
        <f t="shared" si="9"/>
        <v>Mo</v>
      </c>
      <c r="AL83" s="623" t="str">
        <f t="shared" si="8"/>
        <v>Rh</v>
      </c>
      <c r="AM83" s="623"/>
      <c r="AN83" s="623"/>
      <c r="AO83" s="623"/>
      <c r="AP83" s="623"/>
      <c r="AQ83" s="626" t="s">
        <v>580</v>
      </c>
    </row>
    <row r="84" spans="1:43" ht="14.1" customHeight="1">
      <c r="A84" s="20">
        <v>12</v>
      </c>
      <c r="B84" s="71"/>
      <c r="C84" s="72" t="s">
        <v>147</v>
      </c>
      <c r="D84" s="72"/>
      <c r="E84" s="72" t="s">
        <v>125</v>
      </c>
      <c r="F84" s="72"/>
      <c r="G84" s="72"/>
      <c r="H84" s="72"/>
      <c r="I84" s="72"/>
      <c r="J84" s="72"/>
      <c r="K84" s="72"/>
      <c r="L84" s="152" t="str">
        <f t="shared" si="10"/>
        <v>YES</v>
      </c>
      <c r="M84" s="108" t="str">
        <f t="shared" si="11"/>
        <v/>
      </c>
      <c r="O84" s="100">
        <v>1</v>
      </c>
      <c r="P84" s="24" t="s">
        <v>122</v>
      </c>
      <c r="Y84" s="35"/>
      <c r="AH84" s="622">
        <v>34</v>
      </c>
      <c r="AI84" s="623">
        <v>50</v>
      </c>
      <c r="AJ84" s="624">
        <v>0.5</v>
      </c>
      <c r="AK84" s="623" t="str">
        <f t="shared" si="9"/>
        <v>Mo</v>
      </c>
      <c r="AL84" s="623" t="str">
        <f t="shared" si="8"/>
        <v>Rh</v>
      </c>
      <c r="AM84" s="623"/>
      <c r="AN84" s="623"/>
      <c r="AO84" s="623"/>
      <c r="AP84" s="623"/>
      <c r="AQ84" s="626" t="s">
        <v>580</v>
      </c>
    </row>
    <row r="85" spans="1:43" ht="14.1" customHeight="1">
      <c r="A85" s="20">
        <v>13</v>
      </c>
      <c r="B85" s="71"/>
      <c r="C85" s="72" t="s">
        <v>149</v>
      </c>
      <c r="D85" s="72"/>
      <c r="E85" s="72" t="s">
        <v>128</v>
      </c>
      <c r="F85" s="72"/>
      <c r="G85" s="72"/>
      <c r="H85" s="72"/>
      <c r="I85" s="72"/>
      <c r="J85" s="72"/>
      <c r="K85" s="72"/>
      <c r="L85" s="152" t="str">
        <f t="shared" si="10"/>
        <v>YES</v>
      </c>
      <c r="M85" s="108" t="str">
        <f t="shared" si="11"/>
        <v/>
      </c>
      <c r="O85" s="100">
        <v>1</v>
      </c>
      <c r="P85" s="24" t="s">
        <v>123</v>
      </c>
      <c r="Y85" s="35"/>
      <c r="AA85" s="38" t="s">
        <v>161</v>
      </c>
      <c r="AB85" s="69"/>
      <c r="AD85" s="120" t="str">
        <f>IF(X271="","",X271)</f>
        <v/>
      </c>
      <c r="AH85" s="622">
        <v>34</v>
      </c>
      <c r="AI85" s="623">
        <v>50</v>
      </c>
      <c r="AJ85" s="624">
        <v>0.6</v>
      </c>
      <c r="AK85" s="623" t="str">
        <f t="shared" si="9"/>
        <v>Mo</v>
      </c>
      <c r="AL85" s="623" t="str">
        <f t="shared" si="8"/>
        <v>Rh</v>
      </c>
      <c r="AM85" s="623"/>
      <c r="AN85" s="623"/>
      <c r="AO85" s="623"/>
      <c r="AP85" s="623"/>
      <c r="AQ85" s="626" t="s">
        <v>580</v>
      </c>
    </row>
    <row r="86" spans="1:43" ht="14.1" customHeight="1">
      <c r="A86" s="20">
        <v>14</v>
      </c>
      <c r="B86" s="71"/>
      <c r="C86" s="72" t="s">
        <v>149</v>
      </c>
      <c r="D86" s="72"/>
      <c r="E86" s="72" t="s">
        <v>131</v>
      </c>
      <c r="F86" s="72"/>
      <c r="G86" s="72"/>
      <c r="H86" s="72"/>
      <c r="I86" s="72"/>
      <c r="J86" s="72"/>
      <c r="K86" s="72"/>
      <c r="L86" s="152" t="str">
        <f t="shared" si="10"/>
        <v>YES</v>
      </c>
      <c r="M86" s="108" t="str">
        <f t="shared" si="11"/>
        <v/>
      </c>
      <c r="O86" s="100">
        <v>1</v>
      </c>
      <c r="P86" s="24" t="s">
        <v>124</v>
      </c>
      <c r="Y86" s="35"/>
      <c r="AA86" s="38" t="s">
        <v>539</v>
      </c>
      <c r="AB86" s="69"/>
      <c r="AD86" s="121" t="str">
        <f>IF(S374="","",S374)</f>
        <v/>
      </c>
      <c r="AH86" s="622">
        <v>34</v>
      </c>
      <c r="AI86" s="623">
        <v>50</v>
      </c>
      <c r="AJ86" s="624">
        <v>0.6</v>
      </c>
      <c r="AK86" s="623" t="str">
        <f t="shared" si="9"/>
        <v>Mo</v>
      </c>
      <c r="AL86" s="623" t="str">
        <f t="shared" si="8"/>
        <v>Rh</v>
      </c>
      <c r="AM86" s="623"/>
      <c r="AN86" s="623"/>
      <c r="AO86" s="623"/>
      <c r="AP86" s="623"/>
      <c r="AQ86" s="626" t="s">
        <v>580</v>
      </c>
    </row>
    <row r="87" spans="1:43" ht="14.1" customHeight="1">
      <c r="A87" s="20">
        <v>15</v>
      </c>
      <c r="B87" s="71"/>
      <c r="C87" s="72" t="s">
        <v>152</v>
      </c>
      <c r="D87" s="72"/>
      <c r="E87" s="72" t="s">
        <v>133</v>
      </c>
      <c r="F87" s="72"/>
      <c r="G87" s="72"/>
      <c r="H87" s="72"/>
      <c r="I87" s="72"/>
      <c r="J87" s="72"/>
      <c r="K87" s="72"/>
      <c r="L87" s="152" t="str">
        <f t="shared" si="10"/>
        <v>YES</v>
      </c>
      <c r="M87" s="108" t="str">
        <f t="shared" si="11"/>
        <v/>
      </c>
      <c r="O87" s="100">
        <v>1</v>
      </c>
      <c r="P87" s="24" t="s">
        <v>125</v>
      </c>
      <c r="Y87" s="35"/>
      <c r="AA87" s="38" t="s">
        <v>540</v>
      </c>
      <c r="AB87" s="69"/>
      <c r="AD87" s="120" t="str">
        <f>IF(T374="","",T374)</f>
        <v/>
      </c>
      <c r="AH87" s="622">
        <v>34</v>
      </c>
      <c r="AI87" s="623">
        <v>50</v>
      </c>
      <c r="AJ87" s="624">
        <v>0.7</v>
      </c>
      <c r="AK87" s="623" t="str">
        <f t="shared" si="9"/>
        <v>Mo</v>
      </c>
      <c r="AL87" s="623" t="str">
        <f t="shared" si="8"/>
        <v>Rh</v>
      </c>
      <c r="AM87" s="623"/>
      <c r="AN87" s="623"/>
      <c r="AO87" s="623"/>
      <c r="AP87" s="623"/>
      <c r="AQ87" s="626" t="s">
        <v>580</v>
      </c>
    </row>
    <row r="88" spans="1:43" ht="14.1" customHeight="1">
      <c r="A88" s="20">
        <v>16</v>
      </c>
      <c r="B88" s="71"/>
      <c r="C88" s="72" t="s">
        <v>154</v>
      </c>
      <c r="D88" s="72"/>
      <c r="E88" s="72" t="s">
        <v>136</v>
      </c>
      <c r="F88" s="72"/>
      <c r="G88" s="72"/>
      <c r="H88" s="72"/>
      <c r="I88" s="72"/>
      <c r="J88" s="72"/>
      <c r="K88" s="72"/>
      <c r="L88" s="152" t="str">
        <f t="shared" si="10"/>
        <v>YES</v>
      </c>
      <c r="M88" s="108" t="str">
        <f t="shared" si="11"/>
        <v/>
      </c>
      <c r="O88" s="100">
        <v>1</v>
      </c>
      <c r="P88" s="24" t="s">
        <v>128</v>
      </c>
      <c r="Y88" s="35"/>
      <c r="AA88" s="38" t="s">
        <v>541</v>
      </c>
      <c r="AB88" s="69"/>
      <c r="AD88" s="121" t="str">
        <f>IF(X374="","",X374)</f>
        <v/>
      </c>
      <c r="AH88" s="622">
        <v>34</v>
      </c>
      <c r="AI88" s="623">
        <v>50</v>
      </c>
      <c r="AJ88" s="624">
        <v>0.7</v>
      </c>
      <c r="AK88" s="623" t="str">
        <f t="shared" si="9"/>
        <v>Mo</v>
      </c>
      <c r="AL88" s="623" t="str">
        <f t="shared" si="8"/>
        <v>Rh</v>
      </c>
      <c r="AM88" s="623"/>
      <c r="AN88" s="623"/>
      <c r="AO88" s="623"/>
      <c r="AP88" s="623"/>
      <c r="AQ88" s="626" t="s">
        <v>580</v>
      </c>
    </row>
    <row r="89" spans="1:43" ht="14.1" customHeight="1">
      <c r="A89" s="20">
        <v>17</v>
      </c>
      <c r="B89" s="71"/>
      <c r="C89" s="342"/>
      <c r="D89" s="72"/>
      <c r="E89" s="72" t="s">
        <v>138</v>
      </c>
      <c r="F89" s="72"/>
      <c r="G89" s="72"/>
      <c r="H89" s="72"/>
      <c r="I89" s="72"/>
      <c r="J89" s="72"/>
      <c r="K89" s="72"/>
      <c r="L89" s="152" t="str">
        <f t="shared" si="10"/>
        <v>YES</v>
      </c>
      <c r="M89" s="108" t="str">
        <f t="shared" si="11"/>
        <v/>
      </c>
      <c r="O89" s="100">
        <v>1</v>
      </c>
      <c r="P89" s="24" t="s">
        <v>131</v>
      </c>
      <c r="Y89" s="35"/>
      <c r="AA89" s="38" t="s">
        <v>542</v>
      </c>
      <c r="AB89" s="69"/>
      <c r="AD89" s="120" t="str">
        <f>IF(Y374="","",Y374)</f>
        <v/>
      </c>
      <c r="AH89" s="210">
        <v>36</v>
      </c>
      <c r="AI89" s="14">
        <v>50</v>
      </c>
      <c r="AJ89" s="110">
        <v>0</v>
      </c>
      <c r="AK89" s="14" t="str">
        <f t="shared" si="9"/>
        <v>Mo</v>
      </c>
      <c r="AL89" s="14" t="str">
        <f t="shared" si="8"/>
        <v>Rh</v>
      </c>
      <c r="AM89" s="14"/>
      <c r="AN89" s="14"/>
      <c r="AO89" s="14"/>
      <c r="AP89" s="14"/>
      <c r="AQ89" s="228" t="s">
        <v>580</v>
      </c>
    </row>
    <row r="90" spans="1:43" ht="14.1" customHeight="1" thickBot="1">
      <c r="A90" s="20">
        <v>18</v>
      </c>
      <c r="B90" s="71"/>
      <c r="C90" s="72" t="s">
        <v>157</v>
      </c>
      <c r="D90" s="72"/>
      <c r="E90" s="72" t="s">
        <v>141</v>
      </c>
      <c r="F90" s="72"/>
      <c r="G90" s="72"/>
      <c r="H90" s="72"/>
      <c r="I90" s="72"/>
      <c r="J90" s="72"/>
      <c r="K90" s="72"/>
      <c r="L90" s="152" t="str">
        <f t="shared" si="10"/>
        <v>YES</v>
      </c>
      <c r="M90" s="108" t="str">
        <f t="shared" si="11"/>
        <v/>
      </c>
      <c r="O90" s="100">
        <v>1</v>
      </c>
      <c r="P90" s="24" t="s">
        <v>133</v>
      </c>
      <c r="Y90" s="35"/>
      <c r="AA90" s="79" t="s">
        <v>170</v>
      </c>
      <c r="AH90" s="211">
        <v>38</v>
      </c>
      <c r="AI90" s="212">
        <v>50</v>
      </c>
      <c r="AJ90" s="595">
        <v>0</v>
      </c>
      <c r="AK90" s="212" t="str">
        <f t="shared" si="9"/>
        <v>Mo</v>
      </c>
      <c r="AL90" s="212" t="str">
        <f t="shared" si="8"/>
        <v>Rh</v>
      </c>
      <c r="AM90" s="212"/>
      <c r="AN90" s="212"/>
      <c r="AO90" s="212"/>
      <c r="AP90" s="212"/>
      <c r="AQ90" s="181" t="s">
        <v>580</v>
      </c>
    </row>
    <row r="91" spans="1:43" ht="14.1" customHeight="1">
      <c r="A91" s="20">
        <v>19</v>
      </c>
      <c r="B91" s="71"/>
      <c r="C91" s="72" t="s">
        <v>159</v>
      </c>
      <c r="D91" s="72"/>
      <c r="E91" s="72" t="s">
        <v>143</v>
      </c>
      <c r="F91" s="72"/>
      <c r="G91" s="72"/>
      <c r="H91" s="72"/>
      <c r="I91" s="72"/>
      <c r="J91" s="72"/>
      <c r="K91" s="72"/>
      <c r="L91" s="152" t="str">
        <f t="shared" si="10"/>
        <v>YES</v>
      </c>
      <c r="M91" s="108" t="str">
        <f t="shared" si="11"/>
        <v/>
      </c>
      <c r="O91" s="100">
        <v>1</v>
      </c>
      <c r="P91" s="24" t="s">
        <v>136</v>
      </c>
      <c r="Y91" s="35"/>
      <c r="AA91" s="38" t="s">
        <v>173</v>
      </c>
      <c r="AB91" s="69"/>
      <c r="AD91" s="70" t="str">
        <f t="shared" ref="AD91:AD96" si="12">IF(Q413="","",Q413)</f>
        <v/>
      </c>
      <c r="AH91" s="208">
        <v>28</v>
      </c>
      <c r="AI91" s="209">
        <v>50</v>
      </c>
      <c r="AJ91" s="594">
        <v>0</v>
      </c>
      <c r="AK91" s="209" t="str">
        <f>IF($V$22="","",$V$22)</f>
        <v>W</v>
      </c>
      <c r="AL91" s="209" t="str">
        <f>IF($V$25="","",$V$25)</f>
        <v>Rh</v>
      </c>
      <c r="AM91" s="209"/>
      <c r="AN91" s="209"/>
      <c r="AO91" s="209"/>
      <c r="AP91" s="209"/>
      <c r="AQ91" s="180" t="s">
        <v>580</v>
      </c>
    </row>
    <row r="92" spans="1:43" ht="14.1" customHeight="1">
      <c r="A92" s="20">
        <v>20</v>
      </c>
      <c r="B92" s="71"/>
      <c r="C92" s="72" t="s">
        <v>162</v>
      </c>
      <c r="D92" s="72"/>
      <c r="E92" s="72" t="s">
        <v>146</v>
      </c>
      <c r="F92" s="72"/>
      <c r="G92" s="72"/>
      <c r="H92" s="72"/>
      <c r="I92" s="72"/>
      <c r="J92" s="72"/>
      <c r="K92" s="72"/>
      <c r="L92" s="152" t="str">
        <f t="shared" si="10"/>
        <v>YES</v>
      </c>
      <c r="M92" s="108" t="str">
        <f t="shared" si="11"/>
        <v/>
      </c>
      <c r="O92" s="100">
        <v>1</v>
      </c>
      <c r="P92" s="24" t="s">
        <v>138</v>
      </c>
      <c r="Y92" s="35"/>
      <c r="AA92" s="38" t="s">
        <v>176</v>
      </c>
      <c r="AB92" s="69"/>
      <c r="AD92" s="70" t="str">
        <f t="shared" si="12"/>
        <v/>
      </c>
      <c r="AH92" s="627">
        <v>28</v>
      </c>
      <c r="AI92" s="628">
        <v>50</v>
      </c>
      <c r="AJ92" s="629">
        <v>0</v>
      </c>
      <c r="AK92" s="628" t="str">
        <f t="shared" ref="AK92:AK132" si="13">IF($V$22="","",$V$22)</f>
        <v>W</v>
      </c>
      <c r="AL92" s="628" t="str">
        <f t="shared" ref="AL92:AL132" si="14">IF($V$25="","",$V$25)</f>
        <v>Rh</v>
      </c>
      <c r="AM92" s="628"/>
      <c r="AN92" s="628"/>
      <c r="AO92" s="628"/>
      <c r="AP92" s="628"/>
      <c r="AQ92" s="630" t="s">
        <v>580</v>
      </c>
    </row>
    <row r="93" spans="1:43" ht="14.1" customHeight="1">
      <c r="A93" s="20">
        <v>21</v>
      </c>
      <c r="B93" s="71"/>
      <c r="C93" s="72" t="s">
        <v>164</v>
      </c>
      <c r="D93" s="72"/>
      <c r="E93" s="72" t="s">
        <v>165</v>
      </c>
      <c r="F93" s="72"/>
      <c r="G93" s="72"/>
      <c r="H93" s="72"/>
      <c r="I93" s="72"/>
      <c r="J93" s="72"/>
      <c r="K93" s="72"/>
      <c r="L93" s="152" t="str">
        <f t="shared" si="10"/>
        <v>YES</v>
      </c>
      <c r="M93" s="108" t="str">
        <f t="shared" si="11"/>
        <v/>
      </c>
      <c r="O93" s="100">
        <v>1</v>
      </c>
      <c r="P93" s="24" t="s">
        <v>141</v>
      </c>
      <c r="Y93" s="35"/>
      <c r="AA93" s="38" t="s">
        <v>179</v>
      </c>
      <c r="AB93" s="69"/>
      <c r="AD93" s="70" t="str">
        <f t="shared" si="12"/>
        <v/>
      </c>
      <c r="AH93" s="627">
        <v>28</v>
      </c>
      <c r="AI93" s="628">
        <v>50</v>
      </c>
      <c r="AJ93" s="629">
        <v>0</v>
      </c>
      <c r="AK93" s="628" t="str">
        <f t="shared" si="13"/>
        <v>W</v>
      </c>
      <c r="AL93" s="628" t="str">
        <f t="shared" si="14"/>
        <v>Rh</v>
      </c>
      <c r="AM93" s="628"/>
      <c r="AN93" s="628"/>
      <c r="AO93" s="628"/>
      <c r="AP93" s="628"/>
      <c r="AQ93" s="630" t="s">
        <v>580</v>
      </c>
    </row>
    <row r="94" spans="1:43" ht="14.1" customHeight="1">
      <c r="A94" s="20">
        <v>22</v>
      </c>
      <c r="B94" s="71"/>
      <c r="C94" s="72" t="s">
        <v>167</v>
      </c>
      <c r="D94" s="72"/>
      <c r="E94" s="72" t="s">
        <v>168</v>
      </c>
      <c r="F94" s="72"/>
      <c r="G94" s="72"/>
      <c r="H94" s="72"/>
      <c r="I94" s="72"/>
      <c r="J94" s="72"/>
      <c r="K94" s="72"/>
      <c r="L94" s="152" t="str">
        <f t="shared" si="10"/>
        <v>YES</v>
      </c>
      <c r="M94" s="108" t="str">
        <f t="shared" si="11"/>
        <v/>
      </c>
      <c r="O94" s="100">
        <v>1</v>
      </c>
      <c r="P94" s="24" t="s">
        <v>143</v>
      </c>
      <c r="Y94" s="35"/>
      <c r="AA94" s="38" t="s">
        <v>182</v>
      </c>
      <c r="AB94" s="69"/>
      <c r="AD94" s="70" t="str">
        <f t="shared" si="12"/>
        <v/>
      </c>
      <c r="AH94" s="627">
        <v>28</v>
      </c>
      <c r="AI94" s="628">
        <v>50</v>
      </c>
      <c r="AJ94" s="629">
        <v>0</v>
      </c>
      <c r="AK94" s="628" t="str">
        <f t="shared" si="13"/>
        <v>W</v>
      </c>
      <c r="AL94" s="628" t="str">
        <f t="shared" si="14"/>
        <v>Rh</v>
      </c>
      <c r="AM94" s="628"/>
      <c r="AN94" s="628"/>
      <c r="AO94" s="628"/>
      <c r="AP94" s="628"/>
      <c r="AQ94" s="630" t="s">
        <v>580</v>
      </c>
    </row>
    <row r="95" spans="1:43" ht="14.1" customHeight="1">
      <c r="A95" s="20">
        <v>23</v>
      </c>
      <c r="B95" s="71"/>
      <c r="C95" s="72" t="s">
        <v>171</v>
      </c>
      <c r="D95" s="72"/>
      <c r="E95" s="72" t="s">
        <v>151</v>
      </c>
      <c r="F95" s="72"/>
      <c r="G95" s="72"/>
      <c r="H95" s="72"/>
      <c r="I95" s="72"/>
      <c r="J95" s="72"/>
      <c r="K95" s="72"/>
      <c r="L95" s="152" t="str">
        <f t="shared" si="10"/>
        <v>YES</v>
      </c>
      <c r="M95" s="108" t="str">
        <f t="shared" si="11"/>
        <v/>
      </c>
      <c r="O95" s="100">
        <v>1</v>
      </c>
      <c r="P95" s="24" t="s">
        <v>146</v>
      </c>
      <c r="Y95" s="35"/>
      <c r="AA95" s="38" t="s">
        <v>184</v>
      </c>
      <c r="AB95" s="69"/>
      <c r="AD95" s="70" t="str">
        <f t="shared" si="12"/>
        <v/>
      </c>
      <c r="AH95" s="627">
        <v>28</v>
      </c>
      <c r="AI95" s="628">
        <v>50</v>
      </c>
      <c r="AJ95" s="629">
        <v>0.4</v>
      </c>
      <c r="AK95" s="628" t="str">
        <f t="shared" si="13"/>
        <v>W</v>
      </c>
      <c r="AL95" s="628" t="str">
        <f t="shared" si="14"/>
        <v>Rh</v>
      </c>
      <c r="AM95" s="628"/>
      <c r="AN95" s="628"/>
      <c r="AO95" s="628"/>
      <c r="AP95" s="628"/>
      <c r="AQ95" s="630" t="s">
        <v>580</v>
      </c>
    </row>
    <row r="96" spans="1:43" ht="14.1" customHeight="1">
      <c r="A96" s="20">
        <v>24</v>
      </c>
      <c r="B96" s="71"/>
      <c r="C96" s="72" t="s">
        <v>174</v>
      </c>
      <c r="D96" s="72"/>
      <c r="E96" s="72" t="s">
        <v>153</v>
      </c>
      <c r="F96" s="72"/>
      <c r="G96" s="72"/>
      <c r="H96" s="72"/>
      <c r="I96" s="72"/>
      <c r="J96" s="72"/>
      <c r="K96" s="72"/>
      <c r="L96" s="152" t="str">
        <f t="shared" si="10"/>
        <v>YES</v>
      </c>
      <c r="M96" s="108" t="str">
        <f t="shared" si="11"/>
        <v/>
      </c>
      <c r="O96" s="100">
        <v>1</v>
      </c>
      <c r="P96" s="24" t="s">
        <v>148</v>
      </c>
      <c r="Y96" s="35"/>
      <c r="AA96" s="38" t="s">
        <v>185</v>
      </c>
      <c r="AB96" s="69"/>
      <c r="AD96" s="70" t="str">
        <f t="shared" si="12"/>
        <v/>
      </c>
      <c r="AH96" s="627">
        <v>28</v>
      </c>
      <c r="AI96" s="628">
        <v>50</v>
      </c>
      <c r="AJ96" s="629">
        <v>0.4</v>
      </c>
      <c r="AK96" s="628" t="str">
        <f t="shared" si="13"/>
        <v>W</v>
      </c>
      <c r="AL96" s="628" t="str">
        <f t="shared" si="14"/>
        <v>Rh</v>
      </c>
      <c r="AM96" s="628"/>
      <c r="AN96" s="628"/>
      <c r="AO96" s="628"/>
      <c r="AP96" s="628"/>
      <c r="AQ96" s="630" t="s">
        <v>580</v>
      </c>
    </row>
    <row r="97" spans="1:43" ht="14.1" customHeight="1">
      <c r="A97" s="20">
        <v>25</v>
      </c>
      <c r="B97" s="71"/>
      <c r="C97" s="72" t="s">
        <v>177</v>
      </c>
      <c r="D97" s="72"/>
      <c r="E97" s="72" t="s">
        <v>155</v>
      </c>
      <c r="F97" s="72"/>
      <c r="G97" s="72"/>
      <c r="H97" s="72"/>
      <c r="I97" s="72"/>
      <c r="J97" s="72"/>
      <c r="K97" s="72"/>
      <c r="L97" s="152" t="str">
        <f t="shared" si="10"/>
        <v>YES</v>
      </c>
      <c r="M97" s="108" t="str">
        <f t="shared" si="11"/>
        <v/>
      </c>
      <c r="O97" s="100">
        <v>1</v>
      </c>
      <c r="P97" s="24" t="s">
        <v>150</v>
      </c>
      <c r="Y97" s="35"/>
      <c r="AA97" s="38" t="s">
        <v>187</v>
      </c>
      <c r="AB97" s="69"/>
      <c r="AD97" s="70" t="str">
        <f>IF(U413="","",U413)</f>
        <v/>
      </c>
      <c r="AH97" s="627">
        <v>28</v>
      </c>
      <c r="AI97" s="628">
        <v>50</v>
      </c>
      <c r="AJ97" s="629">
        <v>0.5</v>
      </c>
      <c r="AK97" s="628" t="str">
        <f t="shared" si="13"/>
        <v>W</v>
      </c>
      <c r="AL97" s="628" t="str">
        <f t="shared" si="14"/>
        <v>Rh</v>
      </c>
      <c r="AM97" s="628"/>
      <c r="AN97" s="628"/>
      <c r="AO97" s="628"/>
      <c r="AP97" s="628"/>
      <c r="AQ97" s="630" t="s">
        <v>580</v>
      </c>
    </row>
    <row r="98" spans="1:43" ht="14.1" customHeight="1">
      <c r="A98" s="20">
        <v>26</v>
      </c>
      <c r="B98" s="71"/>
      <c r="C98" s="72" t="s">
        <v>180</v>
      </c>
      <c r="D98" s="72"/>
      <c r="E98" s="72" t="s">
        <v>156</v>
      </c>
      <c r="F98" s="72"/>
      <c r="G98" s="72"/>
      <c r="H98" s="72"/>
      <c r="I98" s="72"/>
      <c r="J98" s="72"/>
      <c r="K98" s="72"/>
      <c r="L98" s="152" t="str">
        <f t="shared" si="10"/>
        <v>YES</v>
      </c>
      <c r="M98" s="108" t="str">
        <f t="shared" si="11"/>
        <v/>
      </c>
      <c r="O98" s="100">
        <v>1</v>
      </c>
      <c r="P98" s="24" t="s">
        <v>151</v>
      </c>
      <c r="Y98" s="35"/>
      <c r="AA98" s="38" t="s">
        <v>189</v>
      </c>
      <c r="AB98" s="69"/>
      <c r="AD98" s="70" t="str">
        <f>IF(U414="","",U414)</f>
        <v/>
      </c>
      <c r="AH98" s="627">
        <v>28</v>
      </c>
      <c r="AI98" s="628">
        <v>50</v>
      </c>
      <c r="AJ98" s="629">
        <v>0.5</v>
      </c>
      <c r="AK98" s="628" t="str">
        <f t="shared" si="13"/>
        <v>W</v>
      </c>
      <c r="AL98" s="628" t="str">
        <f t="shared" si="14"/>
        <v>Rh</v>
      </c>
      <c r="AM98" s="628"/>
      <c r="AN98" s="628"/>
      <c r="AO98" s="628"/>
      <c r="AP98" s="628"/>
      <c r="AQ98" s="630" t="s">
        <v>580</v>
      </c>
    </row>
    <row r="99" spans="1:43" ht="14.1" customHeight="1">
      <c r="A99" s="20">
        <v>27</v>
      </c>
      <c r="B99" s="71"/>
      <c r="C99" s="72" t="s">
        <v>183</v>
      </c>
      <c r="D99" s="72"/>
      <c r="E99" s="72" t="s">
        <v>158</v>
      </c>
      <c r="F99" s="72"/>
      <c r="G99" s="72"/>
      <c r="H99" s="72"/>
      <c r="I99" s="72"/>
      <c r="J99" s="72"/>
      <c r="K99" s="72"/>
      <c r="L99" s="152" t="str">
        <f t="shared" si="10"/>
        <v>YES</v>
      </c>
      <c r="M99" s="108" t="str">
        <f t="shared" si="11"/>
        <v/>
      </c>
      <c r="O99" s="100">
        <v>1</v>
      </c>
      <c r="P99" s="24" t="s">
        <v>153</v>
      </c>
      <c r="Y99" s="35"/>
      <c r="AA99" s="38" t="s">
        <v>191</v>
      </c>
      <c r="AB99" s="69"/>
      <c r="AD99" s="70" t="str">
        <f>IF(U415="","",U415)</f>
        <v/>
      </c>
      <c r="AH99" s="627">
        <v>28</v>
      </c>
      <c r="AI99" s="628">
        <v>50</v>
      </c>
      <c r="AJ99" s="629">
        <v>0.6</v>
      </c>
      <c r="AK99" s="628" t="str">
        <f t="shared" si="13"/>
        <v>W</v>
      </c>
      <c r="AL99" s="628" t="str">
        <f t="shared" si="14"/>
        <v>Rh</v>
      </c>
      <c r="AM99" s="628"/>
      <c r="AN99" s="628"/>
      <c r="AO99" s="628"/>
      <c r="AP99" s="628"/>
      <c r="AQ99" s="630" t="s">
        <v>580</v>
      </c>
    </row>
    <row r="100" spans="1:43" ht="14.1" customHeight="1">
      <c r="A100" s="20">
        <v>28</v>
      </c>
      <c r="B100" s="71"/>
      <c r="C100" s="342"/>
      <c r="D100" s="72"/>
      <c r="E100" s="72" t="s">
        <v>160</v>
      </c>
      <c r="F100" s="72"/>
      <c r="G100" s="72"/>
      <c r="H100" s="72"/>
      <c r="I100" s="72"/>
      <c r="J100" s="72"/>
      <c r="K100" s="72"/>
      <c r="L100" s="152" t="str">
        <f t="shared" si="10"/>
        <v>YES</v>
      </c>
      <c r="M100" s="108" t="str">
        <f t="shared" si="11"/>
        <v/>
      </c>
      <c r="O100" s="100">
        <v>1</v>
      </c>
      <c r="P100" s="24" t="s">
        <v>155</v>
      </c>
      <c r="Y100" s="35"/>
      <c r="AA100" s="79" t="s">
        <v>194</v>
      </c>
      <c r="AH100" s="627">
        <v>28</v>
      </c>
      <c r="AI100" s="628">
        <v>50</v>
      </c>
      <c r="AJ100" s="629">
        <v>0.6</v>
      </c>
      <c r="AK100" s="628" t="str">
        <f t="shared" si="13"/>
        <v>W</v>
      </c>
      <c r="AL100" s="628" t="str">
        <f t="shared" si="14"/>
        <v>Rh</v>
      </c>
      <c r="AM100" s="628"/>
      <c r="AN100" s="628"/>
      <c r="AO100" s="628"/>
      <c r="AP100" s="628"/>
      <c r="AQ100" s="630" t="s">
        <v>580</v>
      </c>
    </row>
    <row r="101" spans="1:43" ht="14.1" customHeight="1">
      <c r="A101" s="20">
        <v>29</v>
      </c>
      <c r="B101" s="71"/>
      <c r="C101" s="72"/>
      <c r="D101" s="72"/>
      <c r="E101" s="72" t="s">
        <v>163</v>
      </c>
      <c r="F101" s="72"/>
      <c r="G101" s="72"/>
      <c r="H101" s="72"/>
      <c r="I101" s="72"/>
      <c r="J101" s="72"/>
      <c r="K101" s="72"/>
      <c r="L101" s="152" t="str">
        <f t="shared" si="10"/>
        <v>YES</v>
      </c>
      <c r="M101" s="108" t="str">
        <f t="shared" si="11"/>
        <v/>
      </c>
      <c r="O101" s="100">
        <v>1</v>
      </c>
      <c r="P101" s="24" t="s">
        <v>156</v>
      </c>
      <c r="Y101" s="35"/>
      <c r="AA101" s="38" t="s">
        <v>173</v>
      </c>
      <c r="AB101" s="69"/>
      <c r="AD101" s="70" t="str">
        <f>IF(Q429="","",Q429)</f>
        <v/>
      </c>
      <c r="AH101" s="210">
        <v>30</v>
      </c>
      <c r="AI101" s="14">
        <v>50</v>
      </c>
      <c r="AJ101" s="110">
        <v>0</v>
      </c>
      <c r="AK101" s="14" t="str">
        <f t="shared" si="13"/>
        <v>W</v>
      </c>
      <c r="AL101" s="14" t="str">
        <f t="shared" si="14"/>
        <v>Rh</v>
      </c>
      <c r="AM101" s="14"/>
      <c r="AN101" s="14"/>
      <c r="AO101" s="14"/>
      <c r="AP101" s="14"/>
      <c r="AQ101" s="228" t="s">
        <v>580</v>
      </c>
    </row>
    <row r="102" spans="1:43" ht="14.1" customHeight="1">
      <c r="A102" s="20">
        <v>30</v>
      </c>
      <c r="B102" s="71"/>
      <c r="C102" s="72" t="s">
        <v>188</v>
      </c>
      <c r="D102" s="72"/>
      <c r="E102" s="72" t="s">
        <v>166</v>
      </c>
      <c r="F102" s="72"/>
      <c r="G102" s="72"/>
      <c r="H102" s="72"/>
      <c r="I102" s="72"/>
      <c r="J102" s="72"/>
      <c r="K102" s="72"/>
      <c r="L102" s="152" t="str">
        <f t="shared" si="10"/>
        <v>YES</v>
      </c>
      <c r="M102" s="108" t="str">
        <f t="shared" si="11"/>
        <v/>
      </c>
      <c r="O102" s="100">
        <v>1</v>
      </c>
      <c r="P102" s="24" t="s">
        <v>158</v>
      </c>
      <c r="Y102" s="35"/>
      <c r="AA102" s="38" t="s">
        <v>176</v>
      </c>
      <c r="AB102" s="69"/>
      <c r="AD102" s="70" t="str">
        <f>IF(Q430="","",Q430)</f>
        <v/>
      </c>
      <c r="AH102" s="627">
        <v>30</v>
      </c>
      <c r="AI102" s="628">
        <v>50</v>
      </c>
      <c r="AJ102" s="629">
        <v>0</v>
      </c>
      <c r="AK102" s="628" t="str">
        <f t="shared" si="13"/>
        <v>W</v>
      </c>
      <c r="AL102" s="628" t="str">
        <f t="shared" si="14"/>
        <v>Rh</v>
      </c>
      <c r="AM102" s="628"/>
      <c r="AN102" s="628"/>
      <c r="AO102" s="628"/>
      <c r="AP102" s="628"/>
      <c r="AQ102" s="630" t="s">
        <v>580</v>
      </c>
    </row>
    <row r="103" spans="1:43" ht="14.1" customHeight="1">
      <c r="A103" s="20">
        <v>31</v>
      </c>
      <c r="B103" s="71"/>
      <c r="C103" s="72" t="s">
        <v>190</v>
      </c>
      <c r="D103" s="72"/>
      <c r="E103" s="72" t="s">
        <v>169</v>
      </c>
      <c r="F103" s="72"/>
      <c r="G103" s="72"/>
      <c r="H103" s="72"/>
      <c r="I103" s="72"/>
      <c r="J103" s="72"/>
      <c r="K103" s="72"/>
      <c r="L103" s="152" t="str">
        <f t="shared" si="10"/>
        <v>NA</v>
      </c>
      <c r="M103" s="108" t="str">
        <f t="shared" si="11"/>
        <v/>
      </c>
      <c r="O103" s="100">
        <v>1</v>
      </c>
      <c r="P103" s="24" t="s">
        <v>160</v>
      </c>
      <c r="Y103" s="35"/>
      <c r="AA103" s="38" t="s">
        <v>187</v>
      </c>
      <c r="AB103" s="69"/>
      <c r="AD103" s="70" t="str">
        <f>IF(Q431="","",Q431)</f>
        <v/>
      </c>
      <c r="AH103" s="627">
        <v>30</v>
      </c>
      <c r="AI103" s="628">
        <v>50</v>
      </c>
      <c r="AJ103" s="629">
        <v>0.4</v>
      </c>
      <c r="AK103" s="628" t="str">
        <f t="shared" si="13"/>
        <v>W</v>
      </c>
      <c r="AL103" s="628" t="str">
        <f t="shared" si="14"/>
        <v>Rh</v>
      </c>
      <c r="AM103" s="628"/>
      <c r="AN103" s="628"/>
      <c r="AO103" s="628"/>
      <c r="AP103" s="628"/>
      <c r="AQ103" s="630" t="s">
        <v>580</v>
      </c>
    </row>
    <row r="104" spans="1:43" ht="14.1" customHeight="1">
      <c r="A104" s="20">
        <v>32</v>
      </c>
      <c r="B104" s="71"/>
      <c r="C104" s="72" t="s">
        <v>192</v>
      </c>
      <c r="D104" s="72"/>
      <c r="E104" s="72" t="s">
        <v>193</v>
      </c>
      <c r="F104" s="72"/>
      <c r="G104" s="72"/>
      <c r="H104" s="72"/>
      <c r="I104" s="72"/>
      <c r="J104" s="72"/>
      <c r="K104" s="72"/>
      <c r="L104" s="152" t="str">
        <f t="shared" si="10"/>
        <v>NA</v>
      </c>
      <c r="M104" s="108" t="str">
        <f t="shared" si="11"/>
        <v/>
      </c>
      <c r="O104" s="100">
        <v>1</v>
      </c>
      <c r="P104" s="24" t="s">
        <v>163</v>
      </c>
      <c r="Y104" s="35"/>
      <c r="AA104" s="38" t="s">
        <v>189</v>
      </c>
      <c r="AB104" s="69"/>
      <c r="AD104" s="70" t="str">
        <f>IF(Q432="","",Q432)</f>
        <v/>
      </c>
      <c r="AH104" s="627">
        <v>30</v>
      </c>
      <c r="AI104" s="628">
        <v>50</v>
      </c>
      <c r="AJ104" s="629">
        <v>0.4</v>
      </c>
      <c r="AK104" s="628" t="str">
        <f t="shared" si="13"/>
        <v>W</v>
      </c>
      <c r="AL104" s="628" t="str">
        <f t="shared" si="14"/>
        <v>Rh</v>
      </c>
      <c r="AM104" s="628"/>
      <c r="AN104" s="628"/>
      <c r="AO104" s="628"/>
      <c r="AP104" s="628"/>
      <c r="AQ104" s="630" t="s">
        <v>580</v>
      </c>
    </row>
    <row r="105" spans="1:43" ht="14.1" customHeight="1">
      <c r="A105" s="20">
        <v>33</v>
      </c>
      <c r="B105" s="71"/>
      <c r="C105" s="72" t="s">
        <v>195</v>
      </c>
      <c r="D105" s="72"/>
      <c r="E105" s="72" t="s">
        <v>175</v>
      </c>
      <c r="F105" s="72"/>
      <c r="G105" s="72"/>
      <c r="H105" s="72"/>
      <c r="I105" s="72"/>
      <c r="J105" s="72"/>
      <c r="K105" s="72"/>
      <c r="L105" s="152" t="str">
        <f t="shared" si="10"/>
        <v>NA</v>
      </c>
      <c r="M105" s="108" t="str">
        <f t="shared" si="11"/>
        <v/>
      </c>
      <c r="O105" s="100">
        <v>1</v>
      </c>
      <c r="P105" s="24" t="s">
        <v>166</v>
      </c>
      <c r="Y105" s="35"/>
      <c r="AA105" s="38" t="s">
        <v>191</v>
      </c>
      <c r="AB105" s="69"/>
      <c r="AD105" s="70" t="str">
        <f>IF(Q433="","",Q433)</f>
        <v/>
      </c>
      <c r="AH105" s="627">
        <v>30</v>
      </c>
      <c r="AI105" s="628">
        <v>50</v>
      </c>
      <c r="AJ105" s="629">
        <v>0.5</v>
      </c>
      <c r="AK105" s="628" t="str">
        <f t="shared" si="13"/>
        <v>W</v>
      </c>
      <c r="AL105" s="628" t="str">
        <f t="shared" si="14"/>
        <v>Rh</v>
      </c>
      <c r="AM105" s="628"/>
      <c r="AN105" s="628"/>
      <c r="AO105" s="628"/>
      <c r="AP105" s="628"/>
      <c r="AQ105" s="630" t="s">
        <v>580</v>
      </c>
    </row>
    <row r="106" spans="1:43" ht="14.1" customHeight="1">
      <c r="A106" s="20">
        <v>34</v>
      </c>
      <c r="B106" s="71"/>
      <c r="C106" s="72" t="s">
        <v>196</v>
      </c>
      <c r="D106" s="72"/>
      <c r="E106" s="72" t="s">
        <v>178</v>
      </c>
      <c r="F106" s="72"/>
      <c r="G106" s="72"/>
      <c r="H106" s="72"/>
      <c r="I106" s="72"/>
      <c r="J106" s="72"/>
      <c r="K106" s="72"/>
      <c r="L106" s="152" t="str">
        <f t="shared" si="10"/>
        <v>YES</v>
      </c>
      <c r="M106" s="108" t="str">
        <f t="shared" si="11"/>
        <v/>
      </c>
      <c r="O106" s="100">
        <v>3</v>
      </c>
      <c r="P106" s="24" t="s">
        <v>169</v>
      </c>
      <c r="Y106" s="35"/>
      <c r="AA106" s="38" t="s">
        <v>173</v>
      </c>
      <c r="AB106" s="69"/>
      <c r="AD106" s="70" t="str">
        <f>IF(R429="","",R429)</f>
        <v/>
      </c>
      <c r="AH106" s="627">
        <v>30</v>
      </c>
      <c r="AI106" s="628">
        <v>50</v>
      </c>
      <c r="AJ106" s="629">
        <v>0.5</v>
      </c>
      <c r="AK106" s="628" t="str">
        <f t="shared" si="13"/>
        <v>W</v>
      </c>
      <c r="AL106" s="628" t="str">
        <f t="shared" si="14"/>
        <v>Rh</v>
      </c>
      <c r="AM106" s="628"/>
      <c r="AN106" s="628"/>
      <c r="AO106" s="628"/>
      <c r="AP106" s="628"/>
      <c r="AQ106" s="630" t="s">
        <v>580</v>
      </c>
    </row>
    <row r="107" spans="1:43" ht="14.1" customHeight="1">
      <c r="A107" s="20">
        <v>35</v>
      </c>
      <c r="B107" s="71"/>
      <c r="C107" s="72" t="s">
        <v>197</v>
      </c>
      <c r="D107" s="72"/>
      <c r="E107" s="72" t="s">
        <v>181</v>
      </c>
      <c r="F107" s="72"/>
      <c r="G107" s="72"/>
      <c r="H107" s="72"/>
      <c r="I107" s="72"/>
      <c r="J107" s="72"/>
      <c r="K107" s="72"/>
      <c r="L107" s="152" t="str">
        <f t="shared" si="10"/>
        <v>YES</v>
      </c>
      <c r="M107" s="108" t="str">
        <f t="shared" si="11"/>
        <v/>
      </c>
      <c r="O107" s="100">
        <v>3</v>
      </c>
      <c r="P107" s="24" t="s">
        <v>172</v>
      </c>
      <c r="Y107" s="35"/>
      <c r="AA107" s="38" t="s">
        <v>176</v>
      </c>
      <c r="AB107" s="69"/>
      <c r="AD107" s="70" t="str">
        <f>IF(R430="","",R430)</f>
        <v/>
      </c>
      <c r="AH107" s="627">
        <v>30</v>
      </c>
      <c r="AI107" s="628">
        <v>50</v>
      </c>
      <c r="AJ107" s="629">
        <v>0.6</v>
      </c>
      <c r="AK107" s="628" t="str">
        <f t="shared" si="13"/>
        <v>W</v>
      </c>
      <c r="AL107" s="628" t="str">
        <f t="shared" si="14"/>
        <v>Rh</v>
      </c>
      <c r="AM107" s="628"/>
      <c r="AN107" s="628"/>
      <c r="AO107" s="628"/>
      <c r="AP107" s="628"/>
      <c r="AQ107" s="630" t="s">
        <v>580</v>
      </c>
    </row>
    <row r="108" spans="1:43" ht="14.1" customHeight="1">
      <c r="A108" s="20">
        <v>36</v>
      </c>
      <c r="B108" s="71"/>
      <c r="C108" s="72"/>
      <c r="D108" s="72"/>
      <c r="E108" s="72"/>
      <c r="F108" s="72"/>
      <c r="G108" s="72"/>
      <c r="H108" s="72"/>
      <c r="I108" s="72"/>
      <c r="J108" s="72"/>
      <c r="K108" s="72"/>
      <c r="L108" s="72"/>
      <c r="M108" s="73"/>
      <c r="O108" s="100">
        <v>3</v>
      </c>
      <c r="P108" s="24" t="s">
        <v>175</v>
      </c>
      <c r="Y108" s="35"/>
      <c r="AA108" s="38" t="s">
        <v>187</v>
      </c>
      <c r="AB108" s="69"/>
      <c r="AD108" s="70" t="str">
        <f>IF(R431="","",R431)</f>
        <v/>
      </c>
      <c r="AH108" s="627">
        <v>30</v>
      </c>
      <c r="AI108" s="628">
        <v>50</v>
      </c>
      <c r="AJ108" s="629">
        <v>0.6</v>
      </c>
      <c r="AK108" s="628" t="str">
        <f t="shared" si="13"/>
        <v>W</v>
      </c>
      <c r="AL108" s="628" t="str">
        <f t="shared" si="14"/>
        <v>Rh</v>
      </c>
      <c r="AM108" s="628"/>
      <c r="AN108" s="628"/>
      <c r="AO108" s="628"/>
      <c r="AP108" s="628"/>
      <c r="AQ108" s="630" t="s">
        <v>580</v>
      </c>
    </row>
    <row r="109" spans="1:43" ht="14.1" customHeight="1">
      <c r="A109" s="20">
        <v>37</v>
      </c>
      <c r="B109" s="71"/>
      <c r="C109" s="72"/>
      <c r="D109" s="72"/>
      <c r="E109" s="72" t="s">
        <v>521</v>
      </c>
      <c r="F109" s="72"/>
      <c r="G109" s="72"/>
      <c r="H109" s="72"/>
      <c r="I109" s="72"/>
      <c r="J109" s="72"/>
      <c r="K109" s="72"/>
      <c r="L109" s="152" t="str">
        <f t="shared" ref="L109:L125" si="15">IF(O45="","TBD",IF(O45=1,"YES",IF(O45=3,"NA","")))</f>
        <v>YES</v>
      </c>
      <c r="M109" s="108" t="str">
        <f t="shared" ref="M109:M125" si="16">IF(O45=2,"NO","")</f>
        <v/>
      </c>
      <c r="O109" s="100">
        <v>1</v>
      </c>
      <c r="P109" s="24" t="s">
        <v>178</v>
      </c>
      <c r="Y109" s="35"/>
      <c r="AA109" s="38" t="s">
        <v>189</v>
      </c>
      <c r="AB109" s="69"/>
      <c r="AD109" s="70" t="str">
        <f>IF(R432="","",R432)</f>
        <v/>
      </c>
      <c r="AH109" s="210">
        <v>32</v>
      </c>
      <c r="AI109" s="14">
        <v>50</v>
      </c>
      <c r="AJ109" s="110">
        <v>0</v>
      </c>
      <c r="AK109" s="14" t="str">
        <f t="shared" si="13"/>
        <v>W</v>
      </c>
      <c r="AL109" s="14" t="str">
        <f t="shared" si="14"/>
        <v>Rh</v>
      </c>
      <c r="AM109" s="14"/>
      <c r="AN109" s="14"/>
      <c r="AO109" s="14"/>
      <c r="AP109" s="14"/>
      <c r="AQ109" s="228" t="s">
        <v>580</v>
      </c>
    </row>
    <row r="110" spans="1:43" ht="14.1" customHeight="1">
      <c r="A110" s="20">
        <v>38</v>
      </c>
      <c r="B110" s="71"/>
      <c r="C110" s="72"/>
      <c r="D110" s="72"/>
      <c r="E110" s="72" t="s">
        <v>522</v>
      </c>
      <c r="F110" s="72"/>
      <c r="G110" s="72"/>
      <c r="H110" s="72"/>
      <c r="I110" s="72"/>
      <c r="J110" s="72"/>
      <c r="K110" s="72"/>
      <c r="L110" s="152" t="str">
        <f t="shared" si="15"/>
        <v>YES</v>
      </c>
      <c r="M110" s="108" t="str">
        <f t="shared" si="16"/>
        <v/>
      </c>
      <c r="O110" s="100">
        <v>1</v>
      </c>
      <c r="P110" s="24" t="s">
        <v>181</v>
      </c>
      <c r="Y110" s="35"/>
      <c r="AA110" s="38" t="s">
        <v>191</v>
      </c>
      <c r="AB110" s="69"/>
      <c r="AD110" s="70" t="str">
        <f>IF(R433="","",R433)</f>
        <v/>
      </c>
      <c r="AH110" s="627">
        <v>32</v>
      </c>
      <c r="AI110" s="628">
        <v>50</v>
      </c>
      <c r="AJ110" s="629">
        <v>0</v>
      </c>
      <c r="AK110" s="628" t="str">
        <f t="shared" si="13"/>
        <v>W</v>
      </c>
      <c r="AL110" s="628" t="str">
        <f t="shared" si="14"/>
        <v>Rh</v>
      </c>
      <c r="AM110" s="628"/>
      <c r="AN110" s="628"/>
      <c r="AO110" s="628"/>
      <c r="AP110" s="628"/>
      <c r="AQ110" s="630" t="s">
        <v>580</v>
      </c>
    </row>
    <row r="111" spans="1:43" ht="14.1" customHeight="1">
      <c r="A111" s="20">
        <v>39</v>
      </c>
      <c r="B111" s="71"/>
      <c r="C111" s="72"/>
      <c r="D111" s="72"/>
      <c r="E111" s="72" t="s">
        <v>523</v>
      </c>
      <c r="F111" s="72"/>
      <c r="G111" s="72"/>
      <c r="H111" s="72"/>
      <c r="I111" s="72"/>
      <c r="J111" s="72"/>
      <c r="K111" s="72"/>
      <c r="L111" s="152" t="str">
        <f t="shared" si="15"/>
        <v>YES</v>
      </c>
      <c r="M111" s="108" t="str">
        <f t="shared" si="16"/>
        <v/>
      </c>
      <c r="O111" s="501"/>
      <c r="T111" s="79" t="s">
        <v>551</v>
      </c>
      <c r="Y111" s="35"/>
      <c r="AA111" s="38" t="s">
        <v>173</v>
      </c>
      <c r="AB111" s="69"/>
      <c r="AD111" s="70" t="str">
        <f>IF(S429="","",S429)</f>
        <v/>
      </c>
      <c r="AH111" s="627">
        <v>32</v>
      </c>
      <c r="AI111" s="628">
        <v>50</v>
      </c>
      <c r="AJ111" s="629">
        <v>0.5</v>
      </c>
      <c r="AK111" s="628" t="str">
        <f t="shared" si="13"/>
        <v>W</v>
      </c>
      <c r="AL111" s="628" t="str">
        <f t="shared" si="14"/>
        <v>Rh</v>
      </c>
      <c r="AM111" s="628"/>
      <c r="AN111" s="628"/>
      <c r="AO111" s="628"/>
      <c r="AP111" s="628"/>
      <c r="AQ111" s="630" t="s">
        <v>580</v>
      </c>
    </row>
    <row r="112" spans="1:43" ht="14.1" customHeight="1">
      <c r="A112" s="20">
        <v>40</v>
      </c>
      <c r="B112" s="71"/>
      <c r="C112" s="72"/>
      <c r="D112" s="72"/>
      <c r="E112" s="72" t="s">
        <v>524</v>
      </c>
      <c r="F112" s="72"/>
      <c r="G112" s="72"/>
      <c r="H112" s="72"/>
      <c r="I112" s="72"/>
      <c r="J112" s="72"/>
      <c r="K112" s="72"/>
      <c r="L112" s="152" t="str">
        <f t="shared" si="15"/>
        <v>YES</v>
      </c>
      <c r="M112" s="108" t="str">
        <f t="shared" si="16"/>
        <v/>
      </c>
      <c r="O112" s="100">
        <v>1</v>
      </c>
      <c r="P112" s="72" t="s">
        <v>552</v>
      </c>
      <c r="Y112" s="35"/>
      <c r="AA112" s="38" t="s">
        <v>176</v>
      </c>
      <c r="AB112" s="69"/>
      <c r="AD112" s="70" t="str">
        <f>IF(S430="","",S430)</f>
        <v/>
      </c>
      <c r="AH112" s="627">
        <v>32</v>
      </c>
      <c r="AI112" s="628">
        <v>50</v>
      </c>
      <c r="AJ112" s="629">
        <v>0.5</v>
      </c>
      <c r="AK112" s="628" t="str">
        <f t="shared" si="13"/>
        <v>W</v>
      </c>
      <c r="AL112" s="628" t="str">
        <f t="shared" si="14"/>
        <v>Rh</v>
      </c>
      <c r="AM112" s="628"/>
      <c r="AN112" s="628"/>
      <c r="AO112" s="628"/>
      <c r="AP112" s="628"/>
      <c r="AQ112" s="630" t="s">
        <v>580</v>
      </c>
    </row>
    <row r="113" spans="1:43" ht="14.1" customHeight="1">
      <c r="A113" s="20">
        <v>41</v>
      </c>
      <c r="B113" s="71"/>
      <c r="C113" s="72"/>
      <c r="D113" s="72"/>
      <c r="E113" s="72" t="s">
        <v>525</v>
      </c>
      <c r="F113" s="72"/>
      <c r="G113" s="72"/>
      <c r="H113" s="72"/>
      <c r="I113" s="72"/>
      <c r="J113" s="72"/>
      <c r="K113" s="72"/>
      <c r="L113" s="152" t="str">
        <f t="shared" si="15"/>
        <v>YES</v>
      </c>
      <c r="M113" s="108" t="str">
        <f t="shared" si="16"/>
        <v/>
      </c>
      <c r="O113" s="100">
        <v>1</v>
      </c>
      <c r="P113" s="72" t="s">
        <v>553</v>
      </c>
      <c r="Y113" s="35"/>
      <c r="AA113" s="38" t="s">
        <v>187</v>
      </c>
      <c r="AB113" s="69"/>
      <c r="AD113" s="70" t="str">
        <f>IF(S431="","",S431)</f>
        <v/>
      </c>
      <c r="AH113" s="627">
        <v>32</v>
      </c>
      <c r="AI113" s="628">
        <v>50</v>
      </c>
      <c r="AJ113" s="629">
        <v>0.6</v>
      </c>
      <c r="AK113" s="628" t="str">
        <f t="shared" si="13"/>
        <v>W</v>
      </c>
      <c r="AL113" s="628" t="str">
        <f t="shared" si="14"/>
        <v>Rh</v>
      </c>
      <c r="AM113" s="628"/>
      <c r="AN113" s="628"/>
      <c r="AO113" s="628"/>
      <c r="AP113" s="628"/>
      <c r="AQ113" s="630" t="s">
        <v>580</v>
      </c>
    </row>
    <row r="114" spans="1:43" ht="14.1" customHeight="1">
      <c r="A114" s="20">
        <v>42</v>
      </c>
      <c r="B114" s="71"/>
      <c r="C114" s="72"/>
      <c r="D114" s="72"/>
      <c r="E114" s="72" t="s">
        <v>526</v>
      </c>
      <c r="F114" s="72"/>
      <c r="G114" s="72"/>
      <c r="H114" s="72"/>
      <c r="I114" s="72"/>
      <c r="J114" s="72"/>
      <c r="K114" s="72"/>
      <c r="L114" s="152" t="str">
        <f t="shared" si="15"/>
        <v>YES</v>
      </c>
      <c r="M114" s="108" t="str">
        <f t="shared" si="16"/>
        <v/>
      </c>
      <c r="O114" s="100">
        <v>1</v>
      </c>
      <c r="P114" s="72" t="s">
        <v>554</v>
      </c>
      <c r="Y114" s="35"/>
      <c r="AA114" s="38" t="s">
        <v>189</v>
      </c>
      <c r="AB114" s="69"/>
      <c r="AD114" s="70" t="str">
        <f>IF(S432="","",S432)</f>
        <v/>
      </c>
      <c r="AH114" s="627">
        <v>32</v>
      </c>
      <c r="AI114" s="628">
        <v>50</v>
      </c>
      <c r="AJ114" s="629">
        <v>0.6</v>
      </c>
      <c r="AK114" s="628" t="str">
        <f t="shared" si="13"/>
        <v>W</v>
      </c>
      <c r="AL114" s="628" t="str">
        <f t="shared" si="14"/>
        <v>Rh</v>
      </c>
      <c r="AM114" s="628"/>
      <c r="AN114" s="628"/>
      <c r="AO114" s="628"/>
      <c r="AP114" s="628"/>
      <c r="AQ114" s="630" t="s">
        <v>580</v>
      </c>
    </row>
    <row r="115" spans="1:43" ht="14.1" customHeight="1">
      <c r="A115" s="20">
        <v>43</v>
      </c>
      <c r="B115" s="71"/>
      <c r="C115" s="72"/>
      <c r="D115" s="72"/>
      <c r="E115" s="72" t="s">
        <v>527</v>
      </c>
      <c r="F115" s="72"/>
      <c r="G115" s="72"/>
      <c r="H115" s="72"/>
      <c r="I115" s="72"/>
      <c r="J115" s="72"/>
      <c r="K115" s="72"/>
      <c r="L115" s="152" t="str">
        <f t="shared" si="15"/>
        <v>YES</v>
      </c>
      <c r="M115" s="108" t="str">
        <f t="shared" si="16"/>
        <v/>
      </c>
      <c r="O115" s="100">
        <v>1</v>
      </c>
      <c r="P115" s="72" t="s">
        <v>555</v>
      </c>
      <c r="Y115" s="35"/>
      <c r="AA115" s="38" t="s">
        <v>191</v>
      </c>
      <c r="AB115" s="69"/>
      <c r="AD115" s="70" t="str">
        <f>IF(S433="","",S433)</f>
        <v/>
      </c>
      <c r="AH115" s="627">
        <v>32</v>
      </c>
      <c r="AI115" s="628">
        <v>50</v>
      </c>
      <c r="AJ115" s="629">
        <v>0.7</v>
      </c>
      <c r="AK115" s="628" t="str">
        <f t="shared" si="13"/>
        <v>W</v>
      </c>
      <c r="AL115" s="628" t="str">
        <f t="shared" si="14"/>
        <v>Rh</v>
      </c>
      <c r="AM115" s="628"/>
      <c r="AN115" s="628"/>
      <c r="AO115" s="628"/>
      <c r="AP115" s="628"/>
      <c r="AQ115" s="630" t="s">
        <v>580</v>
      </c>
    </row>
    <row r="116" spans="1:43" ht="14.1" customHeight="1">
      <c r="A116" s="20">
        <v>44</v>
      </c>
      <c r="B116" s="71"/>
      <c r="C116" s="72"/>
      <c r="D116" s="72"/>
      <c r="E116" s="72" t="s">
        <v>528</v>
      </c>
      <c r="F116" s="72"/>
      <c r="G116" s="72"/>
      <c r="H116" s="72"/>
      <c r="I116" s="72"/>
      <c r="J116" s="72"/>
      <c r="K116" s="72"/>
      <c r="L116" s="152" t="str">
        <f t="shared" si="15"/>
        <v>YES</v>
      </c>
      <c r="M116" s="108" t="str">
        <f t="shared" si="16"/>
        <v/>
      </c>
      <c r="O116" s="100">
        <v>1</v>
      </c>
      <c r="P116" s="72" t="s">
        <v>556</v>
      </c>
      <c r="Y116" s="35"/>
      <c r="AA116" s="38" t="s">
        <v>198</v>
      </c>
      <c r="AB116" s="69"/>
      <c r="AD116" s="70" t="str">
        <f>IF(U442="","",U442)</f>
        <v/>
      </c>
      <c r="AH116" s="627">
        <v>32</v>
      </c>
      <c r="AI116" s="628">
        <v>50</v>
      </c>
      <c r="AJ116" s="629">
        <v>0.7</v>
      </c>
      <c r="AK116" s="628" t="str">
        <f t="shared" si="13"/>
        <v>W</v>
      </c>
      <c r="AL116" s="628" t="str">
        <f t="shared" si="14"/>
        <v>Rh</v>
      </c>
      <c r="AM116" s="628"/>
      <c r="AN116" s="628"/>
      <c r="AO116" s="628"/>
      <c r="AP116" s="628"/>
      <c r="AQ116" s="630" t="s">
        <v>580</v>
      </c>
    </row>
    <row r="117" spans="1:43" ht="14.1" customHeight="1" thickBot="1">
      <c r="A117" s="20">
        <v>45</v>
      </c>
      <c r="B117" s="71"/>
      <c r="C117" s="72"/>
      <c r="D117" s="72"/>
      <c r="E117" s="72" t="s">
        <v>529</v>
      </c>
      <c r="F117" s="72"/>
      <c r="G117" s="72"/>
      <c r="H117" s="72"/>
      <c r="I117" s="72"/>
      <c r="J117" s="72"/>
      <c r="K117" s="72"/>
      <c r="L117" s="152" t="str">
        <f t="shared" si="15"/>
        <v>YES</v>
      </c>
      <c r="M117" s="108" t="str">
        <f t="shared" si="16"/>
        <v/>
      </c>
      <c r="O117" s="43"/>
      <c r="P117" s="44"/>
      <c r="Q117" s="44"/>
      <c r="R117" s="44"/>
      <c r="S117" s="44"/>
      <c r="T117" s="44"/>
      <c r="U117" s="44"/>
      <c r="V117" s="44"/>
      <c r="W117" s="44"/>
      <c r="X117" s="44"/>
      <c r="Y117" s="45"/>
      <c r="AA117" s="38" t="s">
        <v>199</v>
      </c>
      <c r="AB117" s="69"/>
      <c r="AD117" s="70" t="str">
        <f>IF(U443="","",U443)</f>
        <v/>
      </c>
      <c r="AH117" s="210">
        <v>34</v>
      </c>
      <c r="AI117" s="14">
        <v>50</v>
      </c>
      <c r="AJ117" s="110">
        <v>0</v>
      </c>
      <c r="AK117" s="14" t="str">
        <f t="shared" si="13"/>
        <v>W</v>
      </c>
      <c r="AL117" s="14" t="str">
        <f t="shared" si="14"/>
        <v>Rh</v>
      </c>
      <c r="AM117" s="14"/>
      <c r="AN117" s="14"/>
      <c r="AO117" s="14"/>
      <c r="AP117" s="14"/>
      <c r="AQ117" s="228" t="s">
        <v>580</v>
      </c>
    </row>
    <row r="118" spans="1:43" ht="14.1" customHeight="1">
      <c r="A118" s="20">
        <v>46</v>
      </c>
      <c r="B118" s="71"/>
      <c r="C118" s="72"/>
      <c r="D118" s="72"/>
      <c r="E118" s="72" t="s">
        <v>530</v>
      </c>
      <c r="F118" s="72"/>
      <c r="G118" s="72"/>
      <c r="H118" s="72"/>
      <c r="I118" s="72"/>
      <c r="J118" s="72"/>
      <c r="K118" s="72"/>
      <c r="L118" s="152" t="str">
        <f t="shared" si="15"/>
        <v>YES</v>
      </c>
      <c r="M118" s="108" t="str">
        <f t="shared" si="16"/>
        <v/>
      </c>
      <c r="AA118" s="79" t="s">
        <v>629</v>
      </c>
      <c r="AH118" s="627">
        <v>34</v>
      </c>
      <c r="AI118" s="628">
        <v>50</v>
      </c>
      <c r="AJ118" s="629">
        <v>0</v>
      </c>
      <c r="AK118" s="628" t="str">
        <f t="shared" si="13"/>
        <v>W</v>
      </c>
      <c r="AL118" s="628" t="str">
        <f t="shared" si="14"/>
        <v>Rh</v>
      </c>
      <c r="AM118" s="628"/>
      <c r="AN118" s="628"/>
      <c r="AO118" s="628"/>
      <c r="AP118" s="628"/>
      <c r="AQ118" s="630" t="s">
        <v>580</v>
      </c>
    </row>
    <row r="119" spans="1:43" ht="14.1" customHeight="1" thickBot="1">
      <c r="A119" s="20">
        <v>47</v>
      </c>
      <c r="B119" s="71"/>
      <c r="C119" s="72"/>
      <c r="D119" s="72"/>
      <c r="E119" s="72" t="s">
        <v>531</v>
      </c>
      <c r="F119" s="72"/>
      <c r="G119" s="72"/>
      <c r="H119" s="72"/>
      <c r="I119" s="72"/>
      <c r="J119" s="72"/>
      <c r="K119" s="72"/>
      <c r="L119" s="152" t="str">
        <f t="shared" si="15"/>
        <v>YES</v>
      </c>
      <c r="M119" s="108" t="str">
        <f t="shared" si="16"/>
        <v/>
      </c>
      <c r="T119" s="266" t="s">
        <v>186</v>
      </c>
      <c r="AA119" s="38" t="s">
        <v>631</v>
      </c>
      <c r="AB119" s="69"/>
      <c r="AD119" s="70" t="str">
        <f>IF(S282="","",S282)</f>
        <v/>
      </c>
      <c r="AH119" s="627">
        <v>34</v>
      </c>
      <c r="AI119" s="628">
        <v>50</v>
      </c>
      <c r="AJ119" s="629">
        <v>0.5</v>
      </c>
      <c r="AK119" s="628" t="str">
        <f t="shared" si="13"/>
        <v>W</v>
      </c>
      <c r="AL119" s="628" t="str">
        <f t="shared" si="14"/>
        <v>Rh</v>
      </c>
      <c r="AM119" s="628"/>
      <c r="AN119" s="628"/>
      <c r="AO119" s="628"/>
      <c r="AP119" s="628"/>
      <c r="AQ119" s="630" t="s">
        <v>580</v>
      </c>
    </row>
    <row r="120" spans="1:43" ht="14.1" customHeight="1" thickBot="1">
      <c r="A120" s="20">
        <v>48</v>
      </c>
      <c r="B120" s="71"/>
      <c r="C120" s="72"/>
      <c r="D120" s="72"/>
      <c r="E120" s="72" t="s">
        <v>532</v>
      </c>
      <c r="F120" s="72"/>
      <c r="G120" s="72"/>
      <c r="H120" s="72"/>
      <c r="I120" s="72"/>
      <c r="J120" s="72"/>
      <c r="K120" s="72"/>
      <c r="L120" s="152" t="str">
        <f t="shared" si="15"/>
        <v>YES</v>
      </c>
      <c r="M120" s="108" t="str">
        <f t="shared" si="16"/>
        <v/>
      </c>
      <c r="O120" s="66"/>
      <c r="P120" s="26"/>
      <c r="Q120" s="26"/>
      <c r="R120" s="26"/>
      <c r="S120" s="26"/>
      <c r="T120" s="26"/>
      <c r="U120" s="26"/>
      <c r="V120" s="26"/>
      <c r="W120" s="26"/>
      <c r="X120" s="26"/>
      <c r="Y120" s="27"/>
      <c r="AA120" s="38" t="s">
        <v>632</v>
      </c>
      <c r="AB120" s="69"/>
      <c r="AD120" s="70" t="str">
        <f t="shared" ref="AD120:AD121" si="17">IF(S283="","",S283)</f>
        <v/>
      </c>
      <c r="AH120" s="627">
        <v>34</v>
      </c>
      <c r="AI120" s="628">
        <v>50</v>
      </c>
      <c r="AJ120" s="629">
        <v>0.5</v>
      </c>
      <c r="AK120" s="628" t="str">
        <f t="shared" si="13"/>
        <v>W</v>
      </c>
      <c r="AL120" s="628" t="str">
        <f t="shared" si="14"/>
        <v>Rh</v>
      </c>
      <c r="AM120" s="628"/>
      <c r="AN120" s="628"/>
      <c r="AO120" s="628"/>
      <c r="AP120" s="628"/>
      <c r="AQ120" s="630" t="s">
        <v>580</v>
      </c>
    </row>
    <row r="121" spans="1:43" ht="14.1" customHeight="1">
      <c r="A121" s="20">
        <v>49</v>
      </c>
      <c r="B121" s="71"/>
      <c r="C121" s="72"/>
      <c r="D121" s="72"/>
      <c r="E121" s="72" t="s">
        <v>533</v>
      </c>
      <c r="F121" s="72"/>
      <c r="G121" s="72"/>
      <c r="H121" s="72"/>
      <c r="I121" s="72"/>
      <c r="J121" s="72"/>
      <c r="K121" s="72"/>
      <c r="L121" s="152" t="str">
        <f t="shared" si="15"/>
        <v>YES</v>
      </c>
      <c r="M121" s="108" t="str">
        <f t="shared" si="16"/>
        <v/>
      </c>
      <c r="O121" s="87" t="s">
        <v>64</v>
      </c>
      <c r="P121" s="795" t="s">
        <v>65</v>
      </c>
      <c r="Q121" s="796"/>
      <c r="R121" s="797"/>
      <c r="S121" s="795" t="s">
        <v>538</v>
      </c>
      <c r="T121" s="796"/>
      <c r="U121" s="797"/>
      <c r="V121" s="795" t="s">
        <v>67</v>
      </c>
      <c r="W121" s="796"/>
      <c r="X121" s="810"/>
      <c r="Y121" s="35"/>
      <c r="AA121" s="38" t="s">
        <v>633</v>
      </c>
      <c r="AB121" s="69"/>
      <c r="AD121" s="70" t="str">
        <f t="shared" si="17"/>
        <v/>
      </c>
      <c r="AH121" s="627">
        <v>34</v>
      </c>
      <c r="AI121" s="628">
        <v>50</v>
      </c>
      <c r="AJ121" s="629">
        <v>0.6</v>
      </c>
      <c r="AK121" s="628" t="str">
        <f t="shared" si="13"/>
        <v>W</v>
      </c>
      <c r="AL121" s="628" t="str">
        <f t="shared" si="14"/>
        <v>Rh</v>
      </c>
      <c r="AM121" s="628"/>
      <c r="AN121" s="628"/>
      <c r="AO121" s="628"/>
      <c r="AP121" s="628"/>
      <c r="AQ121" s="630" t="s">
        <v>580</v>
      </c>
    </row>
    <row r="122" spans="1:43" ht="14.1" customHeight="1">
      <c r="A122" s="20">
        <v>50</v>
      </c>
      <c r="B122" s="71"/>
      <c r="C122" s="72"/>
      <c r="D122" s="72"/>
      <c r="E122" s="72" t="s">
        <v>534</v>
      </c>
      <c r="F122" s="72"/>
      <c r="G122" s="72"/>
      <c r="H122" s="72"/>
      <c r="I122" s="72"/>
      <c r="J122" s="72"/>
      <c r="K122" s="72"/>
      <c r="L122" s="152" t="str">
        <f t="shared" si="15"/>
        <v>YES</v>
      </c>
      <c r="M122" s="108" t="str">
        <f t="shared" si="16"/>
        <v/>
      </c>
      <c r="O122" s="88" t="s">
        <v>68</v>
      </c>
      <c r="P122" s="798"/>
      <c r="Q122" s="799"/>
      <c r="R122" s="800"/>
      <c r="S122" s="798"/>
      <c r="T122" s="799"/>
      <c r="U122" s="800"/>
      <c r="V122" s="798"/>
      <c r="W122" s="799"/>
      <c r="X122" s="811"/>
      <c r="Y122" s="35"/>
      <c r="AA122" s="38" t="s">
        <v>634</v>
      </c>
      <c r="AB122" s="69"/>
      <c r="AD122" s="70" t="str">
        <f>IF(S291="","",S291)</f>
        <v/>
      </c>
      <c r="AH122" s="627">
        <v>34</v>
      </c>
      <c r="AI122" s="628">
        <v>50</v>
      </c>
      <c r="AJ122" s="629">
        <v>0.6</v>
      </c>
      <c r="AK122" s="628" t="str">
        <f t="shared" si="13"/>
        <v>W</v>
      </c>
      <c r="AL122" s="628" t="str">
        <f t="shared" si="14"/>
        <v>Rh</v>
      </c>
      <c r="AM122" s="628"/>
      <c r="AN122" s="628"/>
      <c r="AO122" s="628"/>
      <c r="AP122" s="628"/>
      <c r="AQ122" s="630" t="s">
        <v>580</v>
      </c>
    </row>
    <row r="123" spans="1:43" ht="14.1" customHeight="1" thickBot="1">
      <c r="A123" s="20">
        <v>51</v>
      </c>
      <c r="B123" s="71"/>
      <c r="C123" s="72"/>
      <c r="D123" s="72"/>
      <c r="E123" s="72" t="s">
        <v>535</v>
      </c>
      <c r="F123" s="72"/>
      <c r="G123" s="72"/>
      <c r="H123" s="72"/>
      <c r="I123" s="72"/>
      <c r="J123" s="72"/>
      <c r="K123" s="72"/>
      <c r="L123" s="152" t="str">
        <f t="shared" si="15"/>
        <v>YES</v>
      </c>
      <c r="M123" s="108" t="str">
        <f t="shared" si="16"/>
        <v/>
      </c>
      <c r="O123" s="88" t="s">
        <v>70</v>
      </c>
      <c r="P123" s="89" t="s">
        <v>71</v>
      </c>
      <c r="Q123" s="90" t="s">
        <v>25</v>
      </c>
      <c r="R123" s="91" t="s">
        <v>72</v>
      </c>
      <c r="S123" s="89" t="s">
        <v>71</v>
      </c>
      <c r="T123" s="90" t="s">
        <v>25</v>
      </c>
      <c r="U123" s="91" t="s">
        <v>72</v>
      </c>
      <c r="V123" s="89" t="s">
        <v>71</v>
      </c>
      <c r="W123" s="90" t="s">
        <v>25</v>
      </c>
      <c r="X123" s="91" t="s">
        <v>72</v>
      </c>
      <c r="Y123" s="35"/>
      <c r="AA123" s="38" t="s">
        <v>635</v>
      </c>
      <c r="AB123" s="69"/>
      <c r="AD123" s="70" t="str">
        <f>IF(T291="","",T291)</f>
        <v/>
      </c>
      <c r="AH123" s="627">
        <v>34</v>
      </c>
      <c r="AI123" s="628">
        <v>50</v>
      </c>
      <c r="AJ123" s="629">
        <v>0.7</v>
      </c>
      <c r="AK123" s="628" t="str">
        <f t="shared" si="13"/>
        <v>W</v>
      </c>
      <c r="AL123" s="628" t="str">
        <f t="shared" si="14"/>
        <v>Rh</v>
      </c>
      <c r="AM123" s="628"/>
      <c r="AN123" s="628"/>
      <c r="AO123" s="628"/>
      <c r="AP123" s="628"/>
      <c r="AQ123" s="630" t="s">
        <v>580</v>
      </c>
    </row>
    <row r="124" spans="1:43" ht="14.1" customHeight="1" thickTop="1">
      <c r="A124" s="20">
        <v>52</v>
      </c>
      <c r="B124" s="71"/>
      <c r="C124" s="72"/>
      <c r="D124" s="72"/>
      <c r="E124" s="72" t="s">
        <v>536</v>
      </c>
      <c r="F124" s="72"/>
      <c r="G124" s="72"/>
      <c r="H124" s="72"/>
      <c r="I124" s="72"/>
      <c r="J124" s="72"/>
      <c r="K124" s="72"/>
      <c r="L124" s="152" t="str">
        <f t="shared" si="15"/>
        <v>YES</v>
      </c>
      <c r="M124" s="108" t="str">
        <f t="shared" si="16"/>
        <v/>
      </c>
      <c r="O124" s="92" t="s">
        <v>74</v>
      </c>
      <c r="P124" s="122" t="str">
        <f>IF(P132&lt;&gt;"",P132,IF(AB46="","",AB46))</f>
        <v/>
      </c>
      <c r="Q124" s="123" t="str">
        <f>IF(Q132&lt;&gt;"",Q132,IF(AB47="","",AB47))</f>
        <v/>
      </c>
      <c r="R124" s="124" t="str">
        <f>IF(R132&lt;&gt;"",R132,IF(AB48="","",AB48))</f>
        <v/>
      </c>
      <c r="S124" s="122" t="str">
        <f>IF(S132&lt;&gt;"",S132,IF(AB59="","",AB59))</f>
        <v/>
      </c>
      <c r="T124" s="123" t="str">
        <f>IF(T132&lt;&gt;"",T132,IF(AB60="","",AB60))</f>
        <v/>
      </c>
      <c r="U124" s="124" t="str">
        <f>IF(U132&lt;&gt;"",U132,IF(AB61="","",AB61))</f>
        <v/>
      </c>
      <c r="V124" s="122" t="str">
        <f>IF(V132&lt;&gt;"",V132,IF(AB72="","",AB72))</f>
        <v/>
      </c>
      <c r="W124" s="123" t="str">
        <f>IF(W132&lt;&gt;"",W132,IF(AB73="","",AB73))</f>
        <v/>
      </c>
      <c r="X124" s="124" t="str">
        <f>IF(X132&lt;&gt;"",X132,IF(AB74="","",AB74))</f>
        <v/>
      </c>
      <c r="Y124" s="35"/>
      <c r="AA124" s="38" t="s">
        <v>636</v>
      </c>
      <c r="AB124" s="69"/>
      <c r="AD124" s="70" t="str">
        <f>IF(S292="","",S292)</f>
        <v/>
      </c>
      <c r="AH124" s="627">
        <v>34</v>
      </c>
      <c r="AI124" s="628">
        <v>50</v>
      </c>
      <c r="AJ124" s="629">
        <v>0.7</v>
      </c>
      <c r="AK124" s="628" t="str">
        <f t="shared" si="13"/>
        <v>W</v>
      </c>
      <c r="AL124" s="628" t="str">
        <f t="shared" si="14"/>
        <v>Rh</v>
      </c>
      <c r="AM124" s="628"/>
      <c r="AN124" s="628"/>
      <c r="AO124" s="628"/>
      <c r="AP124" s="628"/>
      <c r="AQ124" s="630" t="s">
        <v>580</v>
      </c>
    </row>
    <row r="125" spans="1:43" ht="14.1" customHeight="1">
      <c r="A125" s="20">
        <v>53</v>
      </c>
      <c r="B125" s="71"/>
      <c r="C125" s="72"/>
      <c r="D125" s="72"/>
      <c r="E125" s="72" t="s">
        <v>537</v>
      </c>
      <c r="F125" s="72"/>
      <c r="G125" s="72"/>
      <c r="H125" s="72"/>
      <c r="I125" s="72"/>
      <c r="J125" s="72"/>
      <c r="K125" s="72"/>
      <c r="L125" s="152" t="str">
        <f t="shared" si="15"/>
        <v>YES</v>
      </c>
      <c r="M125" s="108" t="str">
        <f t="shared" si="16"/>
        <v/>
      </c>
      <c r="O125" s="97" t="s">
        <v>77</v>
      </c>
      <c r="P125" s="125" t="str">
        <f>IF(P133&lt;&gt;"",P133,IF(AB49="","",AB49))</f>
        <v/>
      </c>
      <c r="Q125" s="126" t="str">
        <f>IF(Q133&lt;&gt;"",Q133,IF(AB50="","",AB50))</f>
        <v/>
      </c>
      <c r="R125" s="127" t="str">
        <f>IF(R133&lt;&gt;"",R133,IF(AB51="","",AB51))</f>
        <v/>
      </c>
      <c r="S125" s="125" t="str">
        <f>IF(S133&lt;&gt;"",S133,IF(AB60="","",AB60))</f>
        <v/>
      </c>
      <c r="T125" s="126" t="str">
        <f>IF(T133&lt;&gt;"",T133,IF(AB63="","",AB63))</f>
        <v/>
      </c>
      <c r="U125" s="127" t="str">
        <f>IF(U133&lt;&gt;"",U133,IF(AB64="","",AB64))</f>
        <v/>
      </c>
      <c r="V125" s="125" t="str">
        <f>IF(V133&lt;&gt;"",V133,IF(AB75="","",AB75))</f>
        <v/>
      </c>
      <c r="W125" s="126" t="str">
        <f>IF(W133&lt;&gt;"",W133,IF(AB76="","",AB76))</f>
        <v/>
      </c>
      <c r="X125" s="127" t="str">
        <f>IF(X133&lt;&gt;"",X133,IF(AB77="","",AB77))</f>
        <v/>
      </c>
      <c r="Y125" s="35"/>
      <c r="AA125" s="38" t="s">
        <v>637</v>
      </c>
      <c r="AB125" s="69"/>
      <c r="AD125" s="70" t="str">
        <f>IF(T292="","",T292)</f>
        <v/>
      </c>
      <c r="AH125" s="210">
        <v>38</v>
      </c>
      <c r="AI125" s="14">
        <v>50</v>
      </c>
      <c r="AJ125" s="110">
        <v>0</v>
      </c>
      <c r="AK125" s="14" t="str">
        <f t="shared" si="13"/>
        <v>W</v>
      </c>
      <c r="AL125" s="14" t="str">
        <f t="shared" si="14"/>
        <v>Rh</v>
      </c>
      <c r="AM125" s="14"/>
      <c r="AN125" s="14"/>
      <c r="AO125" s="14"/>
      <c r="AP125" s="14"/>
      <c r="AQ125" s="228" t="s">
        <v>580</v>
      </c>
    </row>
    <row r="126" spans="1:43" ht="14.1" customHeight="1">
      <c r="A126" s="20">
        <v>54</v>
      </c>
      <c r="B126" s="71"/>
      <c r="C126" s="72"/>
      <c r="D126" s="72"/>
      <c r="E126" s="72"/>
      <c r="F126" s="72"/>
      <c r="G126" s="72"/>
      <c r="H126" s="72"/>
      <c r="I126" s="72"/>
      <c r="J126" s="72"/>
      <c r="K126" s="72"/>
      <c r="L126" s="72"/>
      <c r="M126" s="73"/>
      <c r="O126" s="97" t="s">
        <v>80</v>
      </c>
      <c r="P126" s="125" t="str">
        <f>IF(P134&lt;&gt;"",P134,IF(AB52="","",AB52))</f>
        <v/>
      </c>
      <c r="Q126" s="126" t="str">
        <f>IF(Q134&lt;&gt;"",Q134,IF(AB53="","",AB53))</f>
        <v/>
      </c>
      <c r="R126" s="127" t="str">
        <f>IF(R134&lt;&gt;"",R134,IF(AB54="","",AB54))</f>
        <v/>
      </c>
      <c r="S126" s="125" t="str">
        <f>IF(S134&lt;&gt;"",S134,IF(AB61="","",AB61))</f>
        <v/>
      </c>
      <c r="T126" s="126" t="str">
        <f>IF(T134&lt;&gt;"",T134,IF(AB66="","",AB66))</f>
        <v/>
      </c>
      <c r="U126" s="127" t="str">
        <f>IF(U134&lt;&gt;"",U134,IF(AB67="","",AB67))</f>
        <v/>
      </c>
      <c r="V126" s="125" t="str">
        <f>IF(V134&lt;&gt;"",V134,IF(AB78="","",AB78))</f>
        <v/>
      </c>
      <c r="W126" s="126" t="str">
        <f>IF(W134&lt;&gt;"",W134,IF(AB79="","",AB79))</f>
        <v/>
      </c>
      <c r="X126" s="127" t="str">
        <f>IF(X134&lt;&gt;"",X134,IF(AB80="","",AB80))</f>
        <v/>
      </c>
      <c r="Y126" s="35"/>
      <c r="AA126" s="38" t="s">
        <v>638</v>
      </c>
      <c r="AB126" s="69"/>
      <c r="AD126" s="70" t="str">
        <f>IF(S293="","",S293)</f>
        <v/>
      </c>
      <c r="AH126" s="627">
        <v>38</v>
      </c>
      <c r="AI126" s="628">
        <v>50</v>
      </c>
      <c r="AJ126" s="629">
        <v>0</v>
      </c>
      <c r="AK126" s="628" t="str">
        <f t="shared" si="13"/>
        <v>W</v>
      </c>
      <c r="AL126" s="628" t="str">
        <f t="shared" si="14"/>
        <v>Rh</v>
      </c>
      <c r="AM126" s="628"/>
      <c r="AN126" s="628"/>
      <c r="AO126" s="628"/>
      <c r="AP126" s="628"/>
      <c r="AQ126" s="630" t="s">
        <v>580</v>
      </c>
    </row>
    <row r="127" spans="1:43" ht="14.1" customHeight="1" thickBot="1">
      <c r="A127" s="20">
        <v>55</v>
      </c>
      <c r="B127" s="71"/>
      <c r="C127" s="72"/>
      <c r="D127" s="72"/>
      <c r="E127" s="342"/>
      <c r="F127" s="72"/>
      <c r="G127" s="72"/>
      <c r="H127" s="504" t="s">
        <v>551</v>
      </c>
      <c r="I127" s="72"/>
      <c r="J127" s="72"/>
      <c r="K127" s="72"/>
      <c r="L127" s="72"/>
      <c r="M127" s="73"/>
      <c r="O127" s="101" t="s">
        <v>83</v>
      </c>
      <c r="P127" s="128" t="str">
        <f>IF(P135&lt;&gt;"",P135,IF(AB55="","",AB55))</f>
        <v/>
      </c>
      <c r="Q127" s="129" t="str">
        <f>IF(Q135&lt;&gt;"",Q135,IF(AB56="","",AB56))</f>
        <v/>
      </c>
      <c r="R127" s="130" t="str">
        <f>IF(R135&lt;&gt;"",R135,IF(AB57="","",AB57))</f>
        <v/>
      </c>
      <c r="S127" s="128" t="str">
        <f>IF(S135&lt;&gt;"",S135,IF(AB62="","",AB62))</f>
        <v/>
      </c>
      <c r="T127" s="129" t="str">
        <f>IF(T135&lt;&gt;"",T135,IF(AB69="","",AB69))</f>
        <v/>
      </c>
      <c r="U127" s="130" t="str">
        <f>IF(U135&lt;&gt;"",U135,IF(AB70="","",AB70))</f>
        <v/>
      </c>
      <c r="V127" s="128" t="str">
        <f>IF(V135&lt;&gt;"",V135,IF(AB81="","",AB81))</f>
        <v/>
      </c>
      <c r="W127" s="129" t="str">
        <f>IF(W135&lt;&gt;"",W135,IF(AB82="","",AB82))</f>
        <v/>
      </c>
      <c r="X127" s="130" t="str">
        <f>IF(X135&lt;&gt;"",X135,IF(AB83="","",AB83))</f>
        <v/>
      </c>
      <c r="Y127" s="35"/>
      <c r="AA127" s="38" t="s">
        <v>639</v>
      </c>
      <c r="AB127" s="69"/>
      <c r="AD127" s="70" t="str">
        <f>IF(T293="","",T293)</f>
        <v/>
      </c>
      <c r="AH127" s="627">
        <v>38</v>
      </c>
      <c r="AI127" s="628">
        <v>50</v>
      </c>
      <c r="AJ127" s="629">
        <v>0.6</v>
      </c>
      <c r="AK127" s="628" t="str">
        <f t="shared" si="13"/>
        <v>W</v>
      </c>
      <c r="AL127" s="628" t="str">
        <f t="shared" si="14"/>
        <v>Rh</v>
      </c>
      <c r="AM127" s="628"/>
      <c r="AN127" s="628"/>
      <c r="AO127" s="628"/>
      <c r="AP127" s="628"/>
      <c r="AQ127" s="630" t="s">
        <v>580</v>
      </c>
    </row>
    <row r="128" spans="1:43" ht="14.1" customHeight="1" thickBot="1">
      <c r="A128" s="20">
        <v>56</v>
      </c>
      <c r="B128" s="71"/>
      <c r="C128" s="72"/>
      <c r="D128" s="72"/>
      <c r="E128" s="72" t="s">
        <v>552</v>
      </c>
      <c r="F128" s="72"/>
      <c r="G128" s="72"/>
      <c r="H128" s="72"/>
      <c r="I128" s="72"/>
      <c r="J128" s="72"/>
      <c r="K128" s="72"/>
      <c r="L128" s="152" t="str">
        <f>IF(O112="","TBD",IF(O112=1,"YES",IF(O112=3,"NA","")))</f>
        <v>YES</v>
      </c>
      <c r="M128" s="108" t="str">
        <f>IF(O112=2,"NO","")</f>
        <v/>
      </c>
      <c r="O128" s="33"/>
      <c r="Y128" s="35"/>
      <c r="AA128" s="24" t="s">
        <v>640</v>
      </c>
      <c r="AB128" s="69"/>
      <c r="AD128" s="70" t="str">
        <f>IF(Q324="","",Q324)</f>
        <v/>
      </c>
      <c r="AH128" s="627">
        <v>38</v>
      </c>
      <c r="AI128" s="628">
        <v>50</v>
      </c>
      <c r="AJ128" s="629">
        <v>0.6</v>
      </c>
      <c r="AK128" s="628" t="str">
        <f t="shared" si="13"/>
        <v>W</v>
      </c>
      <c r="AL128" s="628" t="str">
        <f t="shared" si="14"/>
        <v>Rh</v>
      </c>
      <c r="AM128" s="628"/>
      <c r="AN128" s="628"/>
      <c r="AO128" s="628"/>
      <c r="AP128" s="628"/>
      <c r="AQ128" s="630" t="s">
        <v>580</v>
      </c>
    </row>
    <row r="129" spans="1:43" ht="14.1" customHeight="1">
      <c r="A129" s="20">
        <v>57</v>
      </c>
      <c r="B129" s="71"/>
      <c r="C129" s="72"/>
      <c r="D129" s="72"/>
      <c r="E129" s="72" t="s">
        <v>553</v>
      </c>
      <c r="F129" s="72"/>
      <c r="G129" s="72"/>
      <c r="H129" s="72"/>
      <c r="I129" s="72"/>
      <c r="J129" s="72"/>
      <c r="K129" s="72"/>
      <c r="L129" s="152" t="str">
        <f>IF(O113="","TBD",IF(O113=1,"YES",IF(O113=3,"NA","")))</f>
        <v>YES</v>
      </c>
      <c r="M129" s="108" t="str">
        <f>IF(O113=2,"NO","")</f>
        <v/>
      </c>
      <c r="O129" s="87" t="s">
        <v>64</v>
      </c>
      <c r="P129" s="795" t="s">
        <v>65</v>
      </c>
      <c r="Q129" s="796"/>
      <c r="R129" s="797"/>
      <c r="S129" s="795" t="s">
        <v>538</v>
      </c>
      <c r="T129" s="796"/>
      <c r="U129" s="797"/>
      <c r="V129" s="801" t="s">
        <v>67</v>
      </c>
      <c r="W129" s="802"/>
      <c r="X129" s="803"/>
      <c r="Y129" s="35"/>
      <c r="AA129" s="24" t="s">
        <v>641</v>
      </c>
      <c r="AB129" s="69"/>
      <c r="AD129" s="70" t="str">
        <f>IF(Q325="","",Q325)</f>
        <v/>
      </c>
      <c r="AH129" s="627">
        <v>38</v>
      </c>
      <c r="AI129" s="628">
        <v>50</v>
      </c>
      <c r="AJ129" s="629">
        <v>0.7</v>
      </c>
      <c r="AK129" s="628" t="str">
        <f t="shared" si="13"/>
        <v>W</v>
      </c>
      <c r="AL129" s="628" t="str">
        <f t="shared" si="14"/>
        <v>Rh</v>
      </c>
      <c r="AM129" s="628"/>
      <c r="AN129" s="628"/>
      <c r="AO129" s="628"/>
      <c r="AP129" s="628"/>
      <c r="AQ129" s="630" t="s">
        <v>580</v>
      </c>
    </row>
    <row r="130" spans="1:43" ht="14.1" customHeight="1">
      <c r="A130" s="20">
        <v>58</v>
      </c>
      <c r="B130" s="71"/>
      <c r="C130" s="72"/>
      <c r="D130" s="72"/>
      <c r="E130" s="72" t="s">
        <v>554</v>
      </c>
      <c r="F130" s="72"/>
      <c r="G130" s="72"/>
      <c r="H130" s="72"/>
      <c r="I130" s="72"/>
      <c r="J130" s="72"/>
      <c r="K130" s="72"/>
      <c r="L130" s="152" t="str">
        <f>IF(O114="","TBD",IF(O114=1,"YES",IF(O114=3,"NA","")))</f>
        <v>YES</v>
      </c>
      <c r="M130" s="108" t="str">
        <f>IF(O114=2,"NO","")</f>
        <v/>
      </c>
      <c r="O130" s="88" t="s">
        <v>68</v>
      </c>
      <c r="P130" s="798"/>
      <c r="Q130" s="799"/>
      <c r="R130" s="800"/>
      <c r="S130" s="798"/>
      <c r="T130" s="799"/>
      <c r="U130" s="800"/>
      <c r="V130" s="804"/>
      <c r="W130" s="805"/>
      <c r="X130" s="806"/>
      <c r="Y130" s="35"/>
      <c r="AA130" s="24" t="s">
        <v>642</v>
      </c>
      <c r="AB130" s="69"/>
      <c r="AD130" s="70" t="str">
        <f>IF(T324="","",T324)</f>
        <v/>
      </c>
      <c r="AH130" s="627">
        <v>38</v>
      </c>
      <c r="AI130" s="628">
        <v>50</v>
      </c>
      <c r="AJ130" s="629">
        <v>0.7</v>
      </c>
      <c r="AK130" s="628" t="str">
        <f t="shared" si="13"/>
        <v>W</v>
      </c>
      <c r="AL130" s="628" t="str">
        <f t="shared" si="14"/>
        <v>Rh</v>
      </c>
      <c r="AM130" s="628"/>
      <c r="AN130" s="628"/>
      <c r="AO130" s="628"/>
      <c r="AP130" s="628"/>
      <c r="AQ130" s="630" t="s">
        <v>580</v>
      </c>
    </row>
    <row r="131" spans="1:43" ht="14.1" customHeight="1" thickBot="1">
      <c r="A131" s="20">
        <v>59</v>
      </c>
      <c r="B131" s="71"/>
      <c r="C131" s="72"/>
      <c r="D131" s="72"/>
      <c r="E131" s="72" t="s">
        <v>555</v>
      </c>
      <c r="F131" s="72"/>
      <c r="G131" s="72"/>
      <c r="H131" s="72"/>
      <c r="I131" s="72"/>
      <c r="J131" s="72"/>
      <c r="K131" s="72"/>
      <c r="L131" s="152" t="str">
        <f>IF(O115="","TBD",IF(O115=1,"YES",IF(O115=3,"NA","")))</f>
        <v>YES</v>
      </c>
      <c r="M131" s="108" t="str">
        <f>IF(O115=2,"NO","")</f>
        <v/>
      </c>
      <c r="O131" s="88" t="s">
        <v>70</v>
      </c>
      <c r="P131" s="89" t="s">
        <v>71</v>
      </c>
      <c r="Q131" s="90" t="s">
        <v>25</v>
      </c>
      <c r="R131" s="91" t="s">
        <v>72</v>
      </c>
      <c r="S131" s="89" t="s">
        <v>71</v>
      </c>
      <c r="T131" s="90" t="s">
        <v>25</v>
      </c>
      <c r="U131" s="91" t="s">
        <v>72</v>
      </c>
      <c r="V131" s="89" t="s">
        <v>71</v>
      </c>
      <c r="W131" s="90" t="s">
        <v>25</v>
      </c>
      <c r="X131" s="91" t="s">
        <v>72</v>
      </c>
      <c r="Y131" s="35"/>
      <c r="AA131" s="24" t="s">
        <v>643</v>
      </c>
      <c r="AB131" s="69"/>
      <c r="AD131" s="70" t="str">
        <f>IF(T325="","",T325)</f>
        <v/>
      </c>
      <c r="AH131" s="627">
        <v>38</v>
      </c>
      <c r="AI131" s="628">
        <v>50</v>
      </c>
      <c r="AJ131" s="629">
        <v>0.8</v>
      </c>
      <c r="AK131" s="628" t="str">
        <f t="shared" si="13"/>
        <v>W</v>
      </c>
      <c r="AL131" s="628" t="str">
        <f t="shared" si="14"/>
        <v>Rh</v>
      </c>
      <c r="AM131" s="628"/>
      <c r="AN131" s="628"/>
      <c r="AO131" s="628"/>
      <c r="AP131" s="628"/>
      <c r="AQ131" s="630" t="s">
        <v>580</v>
      </c>
    </row>
    <row r="132" spans="1:43" ht="14.1" customHeight="1" thickTop="1" thickBot="1">
      <c r="A132" s="20">
        <v>60</v>
      </c>
      <c r="B132" s="71"/>
      <c r="C132" s="72"/>
      <c r="D132" s="72"/>
      <c r="E132" s="72" t="s">
        <v>556</v>
      </c>
      <c r="F132" s="72"/>
      <c r="G132" s="72"/>
      <c r="H132" s="72"/>
      <c r="I132" s="72"/>
      <c r="J132" s="72"/>
      <c r="K132" s="72"/>
      <c r="L132" s="152" t="str">
        <f>IF(O116="","TBD",IF(O116=1,"YES",IF(O116=3,"NA","")))</f>
        <v>YES</v>
      </c>
      <c r="M132" s="108" t="str">
        <f>IF(O116=2,"NO","")</f>
        <v/>
      </c>
      <c r="O132" s="92" t="s">
        <v>74</v>
      </c>
      <c r="P132" s="131"/>
      <c r="Q132" s="132"/>
      <c r="R132" s="133"/>
      <c r="S132" s="131"/>
      <c r="T132" s="132"/>
      <c r="U132" s="133"/>
      <c r="V132" s="131"/>
      <c r="W132" s="132"/>
      <c r="X132" s="133"/>
      <c r="Y132" s="35"/>
      <c r="AA132" s="24" t="s">
        <v>644</v>
      </c>
      <c r="AB132" s="69"/>
      <c r="AD132" s="70" t="str">
        <f>IF(W324="","",W324)</f>
        <v/>
      </c>
      <c r="AH132" s="631">
        <v>38</v>
      </c>
      <c r="AI132" s="632">
        <v>50</v>
      </c>
      <c r="AJ132" s="633">
        <v>0.8</v>
      </c>
      <c r="AK132" s="632" t="str">
        <f t="shared" si="13"/>
        <v>W</v>
      </c>
      <c r="AL132" s="632" t="str">
        <f t="shared" si="14"/>
        <v>Rh</v>
      </c>
      <c r="AM132" s="632"/>
      <c r="AN132" s="632"/>
      <c r="AO132" s="632"/>
      <c r="AP132" s="632"/>
      <c r="AQ132" s="634" t="s">
        <v>580</v>
      </c>
    </row>
    <row r="133" spans="1:43" ht="14.1" customHeight="1">
      <c r="A133" s="20">
        <v>61</v>
      </c>
      <c r="B133" s="71"/>
      <c r="C133" s="72"/>
      <c r="D133" s="72"/>
      <c r="E133" s="72"/>
      <c r="F133" s="72"/>
      <c r="G133" s="72"/>
      <c r="H133" s="72"/>
      <c r="I133" s="72"/>
      <c r="J133" s="72"/>
      <c r="K133" s="72"/>
      <c r="L133" s="72"/>
      <c r="M133" s="73"/>
      <c r="O133" s="97" t="s">
        <v>77</v>
      </c>
      <c r="P133" s="134"/>
      <c r="Q133" s="135"/>
      <c r="R133" s="136"/>
      <c r="S133" s="134"/>
      <c r="T133" s="135"/>
      <c r="U133" s="136"/>
      <c r="V133" s="134"/>
      <c r="W133" s="135"/>
      <c r="X133" s="136"/>
      <c r="Y133" s="35"/>
      <c r="AA133" s="24" t="s">
        <v>645</v>
      </c>
      <c r="AB133" s="69"/>
      <c r="AD133" s="70" t="str">
        <f>IF(W325="","",W325)</f>
        <v/>
      </c>
    </row>
    <row r="134" spans="1:43" ht="14.1" customHeight="1">
      <c r="A134" s="20">
        <v>62</v>
      </c>
      <c r="B134" s="71"/>
      <c r="C134" s="72"/>
      <c r="D134" s="72"/>
      <c r="E134" s="72"/>
      <c r="F134" s="72"/>
      <c r="G134" s="72"/>
      <c r="H134" s="72"/>
      <c r="I134" s="72"/>
      <c r="J134" s="72"/>
      <c r="K134" s="72"/>
      <c r="L134" s="72"/>
      <c r="M134" s="73"/>
      <c r="O134" s="97" t="s">
        <v>80</v>
      </c>
      <c r="P134" s="134"/>
      <c r="Q134" s="135"/>
      <c r="R134" s="136"/>
      <c r="S134" s="134"/>
      <c r="T134" s="135"/>
      <c r="U134" s="136"/>
      <c r="V134" s="134"/>
      <c r="W134" s="135"/>
      <c r="X134" s="136"/>
      <c r="Y134" s="35"/>
      <c r="AA134" s="38" t="s">
        <v>622</v>
      </c>
    </row>
    <row r="135" spans="1:43" ht="14.1" customHeight="1" thickBot="1">
      <c r="A135" s="20">
        <v>63</v>
      </c>
      <c r="B135" s="71"/>
      <c r="C135" s="72"/>
      <c r="D135" s="72"/>
      <c r="E135" s="72"/>
      <c r="F135" s="72"/>
      <c r="G135" s="72"/>
      <c r="H135" s="72"/>
      <c r="I135" s="72"/>
      <c r="J135" s="72"/>
      <c r="K135" s="72"/>
      <c r="L135" s="72"/>
      <c r="M135" s="73"/>
      <c r="O135" s="101" t="s">
        <v>83</v>
      </c>
      <c r="P135" s="137"/>
      <c r="Q135" s="138"/>
      <c r="R135" s="139"/>
      <c r="S135" s="137"/>
      <c r="T135" s="138"/>
      <c r="U135" s="139"/>
      <c r="V135" s="137"/>
      <c r="W135" s="138"/>
      <c r="X135" s="139"/>
      <c r="Y135" s="45"/>
      <c r="AA135" s="38" t="s">
        <v>187</v>
      </c>
      <c r="AB135" s="69"/>
      <c r="AD135" s="70" t="str">
        <f>IF(P332="","",P332)</f>
        <v/>
      </c>
    </row>
    <row r="136" spans="1:43" ht="14.1" customHeight="1">
      <c r="A136" s="20">
        <v>64</v>
      </c>
      <c r="B136" s="71"/>
      <c r="C136" s="72"/>
      <c r="D136" s="72"/>
      <c r="E136" s="72"/>
      <c r="F136" s="72"/>
      <c r="G136" s="72"/>
      <c r="H136" s="72"/>
      <c r="I136" s="72"/>
      <c r="J136" s="72"/>
      <c r="K136" s="72"/>
      <c r="L136" s="72"/>
      <c r="M136" s="73"/>
      <c r="O136" s="6"/>
      <c r="P136" s="6"/>
      <c r="Q136" s="6"/>
      <c r="R136" s="6"/>
      <c r="S136" s="6"/>
      <c r="T136" s="6"/>
      <c r="U136" s="6"/>
      <c r="V136" s="6"/>
      <c r="W136" s="6"/>
      <c r="X136" s="6"/>
      <c r="AA136" s="38" t="s">
        <v>189</v>
      </c>
      <c r="AB136" s="69"/>
      <c r="AD136" s="70" t="str">
        <f t="shared" ref="AD136:AD137" si="18">IF(P333="","",P333)</f>
        <v/>
      </c>
    </row>
    <row r="137" spans="1:43" ht="14.1" customHeight="1" thickBot="1">
      <c r="A137" s="20">
        <v>65</v>
      </c>
      <c r="B137" s="71"/>
      <c r="C137" s="72"/>
      <c r="D137" s="72"/>
      <c r="E137" s="72"/>
      <c r="F137" s="72"/>
      <c r="G137" s="72"/>
      <c r="H137" s="72"/>
      <c r="I137" s="72"/>
      <c r="J137" s="72"/>
      <c r="K137" s="72"/>
      <c r="L137" s="72"/>
      <c r="M137" s="73"/>
      <c r="T137" s="266" t="s">
        <v>73</v>
      </c>
      <c r="AA137" s="38" t="s">
        <v>191</v>
      </c>
      <c r="AB137" s="69"/>
      <c r="AD137" s="70" t="str">
        <f t="shared" si="18"/>
        <v/>
      </c>
    </row>
    <row r="138" spans="1:43" ht="14.1" customHeight="1">
      <c r="A138" s="20">
        <v>66</v>
      </c>
      <c r="B138" s="71"/>
      <c r="C138" s="72"/>
      <c r="D138" s="72"/>
      <c r="E138" s="72"/>
      <c r="F138" s="72"/>
      <c r="G138" s="72"/>
      <c r="H138" s="72"/>
      <c r="I138" s="72"/>
      <c r="J138" s="72"/>
      <c r="K138" s="72"/>
      <c r="L138" s="72"/>
      <c r="M138" s="73"/>
      <c r="O138" s="140" t="s">
        <v>200</v>
      </c>
      <c r="P138" s="26"/>
      <c r="Q138" s="26"/>
      <c r="R138" s="26"/>
      <c r="S138" s="26"/>
      <c r="T138" s="26"/>
      <c r="U138" s="26"/>
      <c r="V138" s="26"/>
      <c r="W138" s="26"/>
      <c r="X138" s="26"/>
      <c r="Y138" s="27"/>
      <c r="AA138" s="38" t="s">
        <v>623</v>
      </c>
    </row>
    <row r="139" spans="1:43" ht="14.1" customHeight="1">
      <c r="A139" s="20">
        <v>67</v>
      </c>
      <c r="B139" s="71"/>
      <c r="C139" s="72"/>
      <c r="D139" s="72"/>
      <c r="E139" s="72"/>
      <c r="F139" s="72"/>
      <c r="G139" s="72"/>
      <c r="H139" s="72"/>
      <c r="I139" s="72"/>
      <c r="J139" s="72"/>
      <c r="K139" s="72"/>
      <c r="L139" s="72"/>
      <c r="M139" s="73"/>
      <c r="O139" s="33"/>
      <c r="P139" s="6"/>
      <c r="Q139" s="38" t="s">
        <v>201</v>
      </c>
      <c r="R139" s="141"/>
      <c r="S139" s="6"/>
      <c r="T139" s="6"/>
      <c r="Y139" s="35"/>
      <c r="AA139" s="38" t="s">
        <v>187</v>
      </c>
      <c r="AB139" s="69"/>
      <c r="AD139" s="70" t="str">
        <f>IF(Q332="","",Q332)</f>
        <v/>
      </c>
    </row>
    <row r="140" spans="1:43" ht="14.1" customHeight="1">
      <c r="A140" s="20">
        <v>68</v>
      </c>
      <c r="B140" s="71"/>
      <c r="C140" s="72"/>
      <c r="D140" s="72"/>
      <c r="E140" s="72"/>
      <c r="F140" s="72"/>
      <c r="G140" s="72"/>
      <c r="H140" s="72"/>
      <c r="I140" s="72"/>
      <c r="J140" s="72"/>
      <c r="K140" s="72"/>
      <c r="L140" s="72"/>
      <c r="M140" s="73"/>
      <c r="O140" s="33"/>
      <c r="P140" s="6"/>
      <c r="Q140" s="38" t="s">
        <v>202</v>
      </c>
      <c r="R140" s="141"/>
      <c r="S140" s="6"/>
      <c r="T140" s="6"/>
      <c r="Y140" s="35"/>
      <c r="AA140" s="38" t="s">
        <v>189</v>
      </c>
      <c r="AB140" s="69"/>
      <c r="AD140" s="70" t="str">
        <f t="shared" ref="AD140:AD141" si="19">IF(Q333="","",Q333)</f>
        <v/>
      </c>
    </row>
    <row r="141" spans="1:43" ht="14.1" customHeight="1">
      <c r="A141" s="20">
        <v>69</v>
      </c>
      <c r="B141" s="71"/>
      <c r="C141" s="72"/>
      <c r="D141" s="72"/>
      <c r="E141" s="72"/>
      <c r="F141" s="72"/>
      <c r="G141" s="72"/>
      <c r="H141" s="72"/>
      <c r="I141" s="72"/>
      <c r="J141" s="72"/>
      <c r="K141" s="72"/>
      <c r="L141" s="72"/>
      <c r="M141" s="73"/>
      <c r="O141" s="33"/>
      <c r="P141" s="6"/>
      <c r="Q141" s="38" t="s">
        <v>203</v>
      </c>
      <c r="R141" s="141"/>
      <c r="S141" s="6"/>
      <c r="T141" s="6"/>
      <c r="Y141" s="35"/>
      <c r="AA141" s="38" t="s">
        <v>191</v>
      </c>
      <c r="AB141" s="69"/>
      <c r="AD141" s="70" t="str">
        <f t="shared" si="19"/>
        <v/>
      </c>
    </row>
    <row r="142" spans="1:43" ht="14.1" customHeight="1" thickBot="1">
      <c r="A142" s="20">
        <v>70</v>
      </c>
      <c r="B142" s="84"/>
      <c r="C142" s="85"/>
      <c r="D142" s="85"/>
      <c r="E142" s="340"/>
      <c r="F142" s="85"/>
      <c r="G142" s="85"/>
      <c r="H142" s="85"/>
      <c r="I142" s="85"/>
      <c r="J142" s="85"/>
      <c r="K142" s="85"/>
      <c r="L142" s="85"/>
      <c r="M142" s="86"/>
      <c r="O142" s="33"/>
      <c r="P142" s="6"/>
      <c r="Q142" s="6"/>
      <c r="R142" s="4" t="str">
        <f>IF(R140="","",IF(AND(R140&gt;=120,R140&lt;=200),"Pass","Fail"))</f>
        <v/>
      </c>
      <c r="Y142" s="35"/>
      <c r="AA142" s="38" t="s">
        <v>624</v>
      </c>
    </row>
    <row r="143" spans="1:43" ht="14.1" customHeight="1" thickTop="1">
      <c r="A143" s="20">
        <v>71</v>
      </c>
      <c r="C143" s="113" t="s">
        <v>11</v>
      </c>
      <c r="D143" s="386" t="str">
        <f>IF($P$7="","",$P$7)</f>
        <v/>
      </c>
      <c r="E143" s="30"/>
      <c r="F143" s="30"/>
      <c r="G143" s="30"/>
      <c r="H143" s="30"/>
      <c r="I143" s="30"/>
      <c r="J143" s="30"/>
      <c r="K143" s="30"/>
      <c r="L143" s="113" t="s">
        <v>12</v>
      </c>
      <c r="M143" s="387" t="str">
        <f>IF($X$7="","",$X$7)</f>
        <v>Eugene Mah</v>
      </c>
      <c r="O143" s="33"/>
      <c r="P143" s="117" t="s">
        <v>204</v>
      </c>
      <c r="Q143" s="142" t="s">
        <v>205</v>
      </c>
      <c r="Y143" s="35"/>
      <c r="AA143" s="38" t="s">
        <v>187</v>
      </c>
      <c r="AB143" s="69"/>
      <c r="AD143" s="70" t="str">
        <f>IF(R332="","",R332)</f>
        <v/>
      </c>
    </row>
    <row r="144" spans="1:43" ht="14.1" customHeight="1">
      <c r="A144" s="20">
        <v>72</v>
      </c>
      <c r="C144" s="113" t="s">
        <v>121</v>
      </c>
      <c r="D144" s="387" t="str">
        <f>IF($R$14="","",$R$14)</f>
        <v/>
      </c>
      <c r="E144" s="30"/>
      <c r="F144" s="30"/>
      <c r="G144" s="30"/>
      <c r="H144" s="30"/>
      <c r="I144" s="30"/>
      <c r="J144" s="30"/>
      <c r="K144" s="30"/>
      <c r="L144" s="113" t="s">
        <v>37</v>
      </c>
      <c r="M144" s="387" t="str">
        <f>IF($R$13="","",$R$13)</f>
        <v/>
      </c>
      <c r="O144" s="33"/>
      <c r="Y144" s="35"/>
      <c r="AA144" s="38" t="s">
        <v>189</v>
      </c>
      <c r="AB144" s="69"/>
      <c r="AD144" s="70" t="str">
        <f t="shared" ref="AD144:AD145" si="20">IF(R333="","",R333)</f>
        <v/>
      </c>
    </row>
    <row r="145" spans="1:30" ht="14.1" customHeight="1">
      <c r="A145" s="20">
        <v>1</v>
      </c>
      <c r="M145" s="116" t="str">
        <f>$H$2</f>
        <v>Medical University of South Carolina</v>
      </c>
      <c r="O145" s="143" t="s">
        <v>206</v>
      </c>
      <c r="Y145" s="35"/>
      <c r="AA145" s="38" t="s">
        <v>191</v>
      </c>
      <c r="AB145" s="69"/>
      <c r="AD145" s="70" t="str">
        <f t="shared" si="20"/>
        <v/>
      </c>
    </row>
    <row r="146" spans="1:30" ht="14.1" customHeight="1" thickBot="1">
      <c r="A146" s="20">
        <v>2</v>
      </c>
      <c r="H146" s="54" t="s">
        <v>73</v>
      </c>
      <c r="M146" s="117" t="str">
        <f>$H$5</f>
        <v>Mammography System Compliance Inspection</v>
      </c>
      <c r="O146" s="33"/>
      <c r="P146" s="24" t="s">
        <v>207</v>
      </c>
      <c r="Q146" s="601" t="s">
        <v>208</v>
      </c>
      <c r="R146" s="601" t="s">
        <v>209</v>
      </c>
      <c r="Y146" s="35"/>
      <c r="AA146" s="38" t="s">
        <v>625</v>
      </c>
    </row>
    <row r="147" spans="1:30" ht="14.1" customHeight="1" thickTop="1" thickBot="1">
      <c r="A147" s="20">
        <v>3</v>
      </c>
      <c r="B147" s="62"/>
      <c r="C147" s="64" t="s">
        <v>200</v>
      </c>
      <c r="D147" s="63"/>
      <c r="E147" s="63"/>
      <c r="F147" s="63"/>
      <c r="G147" s="63"/>
      <c r="H147" s="63"/>
      <c r="I147" s="63"/>
      <c r="J147" s="63"/>
      <c r="K147" s="63"/>
      <c r="L147" s="63"/>
      <c r="M147" s="65"/>
      <c r="O147" s="33"/>
      <c r="P147" s="601">
        <v>1</v>
      </c>
      <c r="Q147" s="141"/>
      <c r="R147" s="144" t="str">
        <f t="shared" ref="R147:R154" si="21">IF(Q147="","",ABS(Q147-P147))</f>
        <v/>
      </c>
      <c r="Y147" s="35"/>
      <c r="AA147" s="38" t="s">
        <v>187</v>
      </c>
      <c r="AB147" s="69"/>
      <c r="AD147" s="70" t="str">
        <f>IF(S332="","",S332)</f>
        <v/>
      </c>
    </row>
    <row r="148" spans="1:30" ht="14.1" customHeight="1" thickBot="1">
      <c r="A148" s="20">
        <v>4</v>
      </c>
      <c r="B148" s="71"/>
      <c r="C148" s="72"/>
      <c r="D148" s="72"/>
      <c r="E148" s="166" t="s">
        <v>201</v>
      </c>
      <c r="F148" s="344" t="str">
        <f>IF(R139="","",R139)</f>
        <v/>
      </c>
      <c r="G148" s="72"/>
      <c r="H148" s="166" t="s">
        <v>218</v>
      </c>
      <c r="I148" s="148" t="str">
        <f>IF(R142="","",R142)</f>
        <v/>
      </c>
      <c r="J148" s="72"/>
      <c r="K148" s="72"/>
      <c r="L148" s="72"/>
      <c r="M148" s="73"/>
      <c r="O148" s="33"/>
      <c r="P148" s="601">
        <v>2</v>
      </c>
      <c r="Q148" s="141"/>
      <c r="R148" s="144" t="str">
        <f t="shared" si="21"/>
        <v/>
      </c>
      <c r="Y148" s="35"/>
      <c r="AA148" s="38" t="s">
        <v>189</v>
      </c>
      <c r="AB148" s="69"/>
      <c r="AD148" s="70" t="str">
        <f t="shared" ref="AD148:AD149" si="22">IF(S333="","",S333)</f>
        <v/>
      </c>
    </row>
    <row r="149" spans="1:30" ht="14.1" customHeight="1" thickBot="1">
      <c r="A149" s="20">
        <v>5</v>
      </c>
      <c r="B149" s="71"/>
      <c r="C149" s="72"/>
      <c r="D149" s="72"/>
      <c r="E149" s="166" t="s">
        <v>202</v>
      </c>
      <c r="F149" s="446" t="str">
        <f>IF(R140="","",R140)</f>
        <v/>
      </c>
      <c r="G149" s="600"/>
      <c r="H149" s="600"/>
      <c r="I149" s="72"/>
      <c r="J149" s="72"/>
      <c r="K149" s="72"/>
      <c r="L149" s="72"/>
      <c r="M149" s="73"/>
      <c r="O149" s="33"/>
      <c r="P149" s="601">
        <v>4</v>
      </c>
      <c r="Q149" s="141"/>
      <c r="R149" s="144" t="str">
        <f t="shared" si="21"/>
        <v/>
      </c>
      <c r="S149" s="38" t="s">
        <v>210</v>
      </c>
      <c r="T149" s="145" t="str">
        <f>IF(OR(Q149="",Q150="",Q151="",Q152=""),"",AVERAGE(Q149:Q152))</f>
        <v/>
      </c>
      <c r="Y149" s="35"/>
      <c r="AA149" s="38" t="s">
        <v>191</v>
      </c>
      <c r="AB149" s="69"/>
      <c r="AD149" s="70" t="str">
        <f t="shared" si="22"/>
        <v/>
      </c>
    </row>
    <row r="150" spans="1:30" ht="14.1" customHeight="1" thickBot="1">
      <c r="A150" s="20">
        <v>6</v>
      </c>
      <c r="B150" s="71"/>
      <c r="C150" s="72"/>
      <c r="D150" s="72"/>
      <c r="E150" s="166" t="s">
        <v>203</v>
      </c>
      <c r="F150" s="447" t="str">
        <f>IF(R141="","",IF(R141=1,"Pass","Fail"))</f>
        <v/>
      </c>
      <c r="G150" s="600"/>
      <c r="H150" s="72"/>
      <c r="I150" s="72"/>
      <c r="J150" s="72"/>
      <c r="K150" s="72"/>
      <c r="L150" s="72"/>
      <c r="M150" s="73"/>
      <c r="O150" s="33"/>
      <c r="P150" s="601">
        <v>4</v>
      </c>
      <c r="Q150" s="141"/>
      <c r="R150" s="144" t="str">
        <f t="shared" si="21"/>
        <v/>
      </c>
      <c r="S150" s="38" t="s">
        <v>211</v>
      </c>
      <c r="T150" s="146" t="str">
        <f>IF(OR(Q149="",Q150="",Q151="",Q152=""),"",_xlfn.STDEV.S(Q149:Q152))</f>
        <v/>
      </c>
      <c r="Y150" s="35"/>
    </row>
    <row r="151" spans="1:30" ht="14.1" customHeight="1">
      <c r="A151" s="20">
        <v>7</v>
      </c>
      <c r="B151" s="71"/>
      <c r="C151" s="72"/>
      <c r="D151" s="5" t="s">
        <v>204</v>
      </c>
      <c r="E151" s="105" t="s">
        <v>205</v>
      </c>
      <c r="F151" s="72"/>
      <c r="G151" s="72"/>
      <c r="H151" s="72"/>
      <c r="I151" s="72"/>
      <c r="J151" s="72"/>
      <c r="K151" s="72"/>
      <c r="L151" s="72"/>
      <c r="M151" s="73"/>
      <c r="O151" s="33"/>
      <c r="P151" s="601">
        <v>4</v>
      </c>
      <c r="Q151" s="141"/>
      <c r="R151" s="144" t="str">
        <f t="shared" si="21"/>
        <v/>
      </c>
      <c r="Y151" s="35"/>
    </row>
    <row r="152" spans="1:30" ht="14.1" customHeight="1">
      <c r="A152" s="20">
        <v>8</v>
      </c>
      <c r="B152" s="71"/>
      <c r="C152" s="72"/>
      <c r="D152" s="197"/>
      <c r="E152" s="197"/>
      <c r="F152" s="72"/>
      <c r="G152" s="72"/>
      <c r="H152" s="72"/>
      <c r="I152" s="72"/>
      <c r="J152" s="72"/>
      <c r="K152" s="72"/>
      <c r="L152" s="72"/>
      <c r="M152" s="73"/>
      <c r="O152" s="33"/>
      <c r="P152" s="601">
        <v>4</v>
      </c>
      <c r="Q152" s="141"/>
      <c r="R152" s="144" t="str">
        <f t="shared" si="21"/>
        <v/>
      </c>
      <c r="T152" s="113" t="s">
        <v>204</v>
      </c>
      <c r="U152" s="30" t="s">
        <v>212</v>
      </c>
      <c r="Y152" s="35"/>
    </row>
    <row r="153" spans="1:30" ht="14.1" customHeight="1" thickBot="1">
      <c r="A153" s="20">
        <v>9</v>
      </c>
      <c r="B153" s="71"/>
      <c r="C153" s="150" t="s">
        <v>206</v>
      </c>
      <c r="D153" s="72"/>
      <c r="E153" s="72"/>
      <c r="F153" s="72"/>
      <c r="G153" s="72"/>
      <c r="H153" s="72"/>
      <c r="I153" s="72"/>
      <c r="J153" s="72"/>
      <c r="K153" s="72"/>
      <c r="L153" s="72"/>
      <c r="M153" s="73"/>
      <c r="O153" s="33"/>
      <c r="P153" s="601">
        <v>6</v>
      </c>
      <c r="Q153" s="141"/>
      <c r="R153" s="144" t="str">
        <f t="shared" si="21"/>
        <v/>
      </c>
      <c r="U153" s="30" t="s">
        <v>213</v>
      </c>
      <c r="Y153" s="35"/>
    </row>
    <row r="154" spans="1:30" ht="14.1" customHeight="1" thickBot="1">
      <c r="A154" s="20">
        <v>10</v>
      </c>
      <c r="B154" s="71"/>
      <c r="C154" s="397" t="s">
        <v>207</v>
      </c>
      <c r="D154" s="431" t="s">
        <v>208</v>
      </c>
      <c r="E154" s="432" t="s">
        <v>209</v>
      </c>
      <c r="F154" s="72"/>
      <c r="G154" s="72"/>
      <c r="H154" s="342"/>
      <c r="I154" s="166" t="s">
        <v>222</v>
      </c>
      <c r="J154" s="388" t="str">
        <f>IF(O156="","TBD",IF(O156=1,"YES",IF(O156=3,"NA","")))</f>
        <v>TBD</v>
      </c>
      <c r="K154" s="72"/>
      <c r="L154" s="152" t="str">
        <f>IF(O156=2,"NO","")</f>
        <v/>
      </c>
      <c r="M154" s="73"/>
      <c r="O154" s="33"/>
      <c r="P154" s="601">
        <v>8</v>
      </c>
      <c r="Q154" s="141"/>
      <c r="R154" s="144" t="str">
        <f t="shared" si="21"/>
        <v/>
      </c>
      <c r="Y154" s="35"/>
    </row>
    <row r="155" spans="1:30" ht="14.1" customHeight="1" thickBot="1">
      <c r="A155" s="20">
        <v>11</v>
      </c>
      <c r="B155" s="71"/>
      <c r="C155" s="348">
        <v>1</v>
      </c>
      <c r="D155" s="319" t="str">
        <f t="shared" ref="D155:E162" si="23">IF(Q147="","",Q147)</f>
        <v/>
      </c>
      <c r="E155" s="349" t="str">
        <f t="shared" si="23"/>
        <v/>
      </c>
      <c r="F155" s="72"/>
      <c r="G155" s="72"/>
      <c r="H155" s="342"/>
      <c r="I155" s="166" t="s">
        <v>223</v>
      </c>
      <c r="J155" s="388" t="str">
        <f>IF(O157="","TBD",IF(O157=1,"YES",IF(O157=3,"NA","")))</f>
        <v>TBD</v>
      </c>
      <c r="K155" s="72"/>
      <c r="L155" s="152" t="str">
        <f>IF(O157=2,"NO","")</f>
        <v/>
      </c>
      <c r="M155" s="73"/>
      <c r="O155" s="33"/>
      <c r="Y155" s="35"/>
    </row>
    <row r="156" spans="1:30" ht="14.1" customHeight="1" thickBot="1">
      <c r="A156" s="20">
        <v>12</v>
      </c>
      <c r="B156" s="71"/>
      <c r="C156" s="348">
        <v>2</v>
      </c>
      <c r="D156" s="319" t="str">
        <f t="shared" si="23"/>
        <v/>
      </c>
      <c r="E156" s="349" t="str">
        <f t="shared" si="23"/>
        <v/>
      </c>
      <c r="F156" s="72"/>
      <c r="G156" s="72"/>
      <c r="H156" s="72"/>
      <c r="I156" s="166" t="s">
        <v>215</v>
      </c>
      <c r="J156" s="388" t="str">
        <f>IF(S156="","TBD",S156)</f>
        <v>TBD</v>
      </c>
      <c r="K156" s="72"/>
      <c r="L156" s="72"/>
      <c r="M156" s="73"/>
      <c r="O156" s="100"/>
      <c r="P156" s="24" t="s">
        <v>214</v>
      </c>
      <c r="S156" s="144" t="str">
        <f>IF(R147="","",IF(OR(R147&gt;0.5,R148&gt;0.5,R149&gt;0.5,R150&gt;0.5,R151&gt;0.5,R152&gt;0.5,R153&gt;0.5,R154&gt;0.5),"Fail","Pass"))</f>
        <v/>
      </c>
      <c r="T156" s="39" t="s">
        <v>215</v>
      </c>
      <c r="Y156" s="35"/>
    </row>
    <row r="157" spans="1:30" ht="14.1" customHeight="1">
      <c r="A157" s="20">
        <v>13</v>
      </c>
      <c r="B157" s="71"/>
      <c r="C157" s="348">
        <v>4</v>
      </c>
      <c r="D157" s="319" t="str">
        <f t="shared" si="23"/>
        <v/>
      </c>
      <c r="E157" s="349" t="str">
        <f t="shared" si="23"/>
        <v/>
      </c>
      <c r="F157" s="72"/>
      <c r="G157" s="72"/>
      <c r="H157" s="72"/>
      <c r="I157" s="166" t="s">
        <v>210</v>
      </c>
      <c r="J157" s="145" t="str">
        <f>IF(T149="","",T149)</f>
        <v/>
      </c>
      <c r="K157" s="72"/>
      <c r="L157" s="72"/>
      <c r="M157" s="73"/>
      <c r="O157" s="100"/>
      <c r="P157" s="24" t="s">
        <v>216</v>
      </c>
      <c r="Y157" s="35"/>
    </row>
    <row r="158" spans="1:30" ht="14.1" customHeight="1">
      <c r="A158" s="20">
        <v>14</v>
      </c>
      <c r="B158" s="71"/>
      <c r="C158" s="348">
        <v>4</v>
      </c>
      <c r="D158" s="319" t="str">
        <f t="shared" si="23"/>
        <v/>
      </c>
      <c r="E158" s="349" t="str">
        <f t="shared" si="23"/>
        <v/>
      </c>
      <c r="F158" s="72"/>
      <c r="G158" s="72"/>
      <c r="H158" s="72"/>
      <c r="I158" s="166" t="s">
        <v>211</v>
      </c>
      <c r="J158" s="146" t="str">
        <f>IF(T150="","",T150)</f>
        <v/>
      </c>
      <c r="K158" s="72"/>
      <c r="L158" s="72"/>
      <c r="M158" s="73"/>
      <c r="O158" s="33"/>
      <c r="Y158" s="35"/>
    </row>
    <row r="159" spans="1:30" ht="14.1" customHeight="1">
      <c r="A159" s="20">
        <v>15</v>
      </c>
      <c r="B159" s="71"/>
      <c r="C159" s="348">
        <v>4</v>
      </c>
      <c r="D159" s="319" t="str">
        <f t="shared" si="23"/>
        <v/>
      </c>
      <c r="E159" s="349" t="str">
        <f t="shared" si="23"/>
        <v/>
      </c>
      <c r="F159" s="72"/>
      <c r="G159" s="72"/>
      <c r="H159" s="72"/>
      <c r="I159" s="72"/>
      <c r="J159" s="72"/>
      <c r="K159" s="72"/>
      <c r="L159" s="72"/>
      <c r="M159" s="73"/>
      <c r="O159" s="143" t="s">
        <v>217</v>
      </c>
      <c r="Y159" s="35"/>
    </row>
    <row r="160" spans="1:30" ht="14.1" customHeight="1">
      <c r="A160" s="20">
        <v>16</v>
      </c>
      <c r="B160" s="71"/>
      <c r="C160" s="348">
        <v>4</v>
      </c>
      <c r="D160" s="319" t="str">
        <f t="shared" si="23"/>
        <v/>
      </c>
      <c r="E160" s="349" t="str">
        <f t="shared" si="23"/>
        <v/>
      </c>
      <c r="F160" s="5" t="s">
        <v>204</v>
      </c>
      <c r="G160" s="105" t="s">
        <v>212</v>
      </c>
      <c r="H160" s="72"/>
      <c r="I160" s="72"/>
      <c r="J160" s="72"/>
      <c r="K160" s="72"/>
      <c r="L160" s="72"/>
      <c r="M160" s="73"/>
      <c r="O160" s="33"/>
      <c r="P160" s="38" t="s">
        <v>51</v>
      </c>
      <c r="Q160" s="19" t="s">
        <v>32</v>
      </c>
      <c r="R160" s="19" t="s">
        <v>32</v>
      </c>
      <c r="S160" s="19" t="s">
        <v>52</v>
      </c>
      <c r="T160" s="147"/>
      <c r="Y160" s="35"/>
    </row>
    <row r="161" spans="1:25" ht="14.1" customHeight="1">
      <c r="A161" s="20">
        <v>17</v>
      </c>
      <c r="B161" s="71"/>
      <c r="C161" s="348">
        <v>6</v>
      </c>
      <c r="D161" s="319" t="str">
        <f t="shared" si="23"/>
        <v/>
      </c>
      <c r="E161" s="349" t="str">
        <f t="shared" si="23"/>
        <v/>
      </c>
      <c r="F161" s="150"/>
      <c r="G161" s="105" t="s">
        <v>213</v>
      </c>
      <c r="H161" s="72"/>
      <c r="I161" s="72"/>
      <c r="J161" s="72"/>
      <c r="K161" s="72"/>
      <c r="L161" s="72"/>
      <c r="M161" s="73"/>
      <c r="O161" s="33"/>
      <c r="P161" s="38" t="s">
        <v>54</v>
      </c>
      <c r="Q161" s="19" t="s">
        <v>32</v>
      </c>
      <c r="R161" s="19" t="s">
        <v>55</v>
      </c>
      <c r="S161" s="19" t="s">
        <v>55</v>
      </c>
      <c r="T161" s="147"/>
      <c r="Y161" s="35"/>
    </row>
    <row r="162" spans="1:25" ht="14.1" customHeight="1" thickBot="1">
      <c r="A162" s="20">
        <v>18</v>
      </c>
      <c r="B162" s="71"/>
      <c r="C162" s="398">
        <v>8</v>
      </c>
      <c r="D162" s="362" t="str">
        <f t="shared" si="23"/>
        <v/>
      </c>
      <c r="E162" s="399" t="str">
        <f t="shared" si="23"/>
        <v/>
      </c>
      <c r="F162" s="72"/>
      <c r="G162" s="72"/>
      <c r="H162" s="72"/>
      <c r="I162" s="72"/>
      <c r="J162" s="72"/>
      <c r="K162" s="72"/>
      <c r="L162" s="72"/>
      <c r="M162" s="73"/>
      <c r="O162" s="33"/>
      <c r="P162" s="38" t="s">
        <v>173</v>
      </c>
      <c r="Q162" s="149"/>
      <c r="R162" s="149"/>
      <c r="S162" s="149"/>
      <c r="T162" s="147"/>
      <c r="Y162" s="35"/>
    </row>
    <row r="163" spans="1:25" ht="14.1" customHeight="1" thickBot="1">
      <c r="A163" s="20">
        <v>19</v>
      </c>
      <c r="B163" s="163"/>
      <c r="C163" s="44"/>
      <c r="D163" s="44"/>
      <c r="E163" s="44"/>
      <c r="F163" s="44"/>
      <c r="G163" s="44"/>
      <c r="H163" s="44"/>
      <c r="I163" s="44"/>
      <c r="J163" s="44"/>
      <c r="K163" s="44"/>
      <c r="L163" s="44"/>
      <c r="M163" s="164"/>
      <c r="O163" s="33"/>
      <c r="P163" s="38" t="s">
        <v>219</v>
      </c>
      <c r="Q163" s="149"/>
      <c r="R163" s="149"/>
      <c r="S163" s="149"/>
      <c r="T163" s="147"/>
      <c r="Y163" s="35"/>
    </row>
    <row r="164" spans="1:25" ht="14.1" customHeight="1" thickBot="1">
      <c r="A164" s="20">
        <v>20</v>
      </c>
      <c r="B164" s="71"/>
      <c r="C164" s="150" t="s">
        <v>217</v>
      </c>
      <c r="D164" s="72"/>
      <c r="E164" s="72"/>
      <c r="F164" s="72"/>
      <c r="G164" s="72"/>
      <c r="H164" s="72"/>
      <c r="I164" s="72"/>
      <c r="J164" s="72"/>
      <c r="K164" s="72"/>
      <c r="L164" s="72"/>
      <c r="M164" s="73"/>
      <c r="O164" s="33"/>
      <c r="P164" s="38" t="s">
        <v>220</v>
      </c>
      <c r="Q164" s="149"/>
      <c r="R164" s="149"/>
      <c r="S164" s="149"/>
      <c r="T164" s="147"/>
      <c r="Y164" s="35"/>
    </row>
    <row r="165" spans="1:25" ht="14.1" customHeight="1">
      <c r="A165" s="20">
        <v>21</v>
      </c>
      <c r="B165" s="71"/>
      <c r="C165" s="166" t="s">
        <v>51</v>
      </c>
      <c r="D165" s="389" t="str">
        <f t="shared" ref="D165:F167" si="24">IF(Q160="","",Q160)</f>
        <v>Mo</v>
      </c>
      <c r="E165" s="390" t="str">
        <f t="shared" si="24"/>
        <v>Mo</v>
      </c>
      <c r="F165" s="391" t="str">
        <f t="shared" si="24"/>
        <v>W</v>
      </c>
      <c r="G165" s="72"/>
      <c r="H165" s="600" t="str">
        <f>IF(T160="","",T160)</f>
        <v/>
      </c>
      <c r="I165" s="72"/>
      <c r="J165" s="72"/>
      <c r="K165" s="72"/>
      <c r="L165" s="72"/>
      <c r="M165" s="73"/>
      <c r="O165" s="33"/>
      <c r="P165" s="38" t="s">
        <v>218</v>
      </c>
      <c r="Q165" s="149"/>
      <c r="R165" s="149"/>
      <c r="S165" s="149"/>
      <c r="T165" s="147"/>
      <c r="Y165" s="35"/>
    </row>
    <row r="166" spans="1:25" ht="14.1" customHeight="1">
      <c r="A166" s="20">
        <v>22</v>
      </c>
      <c r="B166" s="71"/>
      <c r="C166" s="166" t="s">
        <v>54</v>
      </c>
      <c r="D166" s="392" t="str">
        <f t="shared" si="24"/>
        <v>Mo</v>
      </c>
      <c r="E166" s="19" t="str">
        <f t="shared" si="24"/>
        <v>Rh</v>
      </c>
      <c r="F166" s="393" t="str">
        <f t="shared" si="24"/>
        <v>Rh</v>
      </c>
      <c r="G166" s="72"/>
      <c r="H166" s="600" t="str">
        <f>IF(T160="","",T160)</f>
        <v/>
      </c>
      <c r="I166" s="72"/>
      <c r="J166" s="72"/>
      <c r="K166" s="72"/>
      <c r="L166" s="72"/>
      <c r="M166" s="73"/>
      <c r="O166" s="33"/>
      <c r="P166" s="5" t="s">
        <v>204</v>
      </c>
      <c r="Q166" s="12" t="s">
        <v>221</v>
      </c>
      <c r="R166" s="6"/>
      <c r="S166" s="6"/>
      <c r="T166" s="151"/>
      <c r="Y166" s="35"/>
    </row>
    <row r="167" spans="1:25" ht="14.1" customHeight="1">
      <c r="A167" s="20">
        <v>23</v>
      </c>
      <c r="B167" s="71"/>
      <c r="C167" s="166" t="s">
        <v>239</v>
      </c>
      <c r="D167" s="392" t="str">
        <f t="shared" si="24"/>
        <v/>
      </c>
      <c r="E167" s="19" t="str">
        <f t="shared" si="24"/>
        <v/>
      </c>
      <c r="F167" s="393" t="str">
        <f t="shared" si="24"/>
        <v/>
      </c>
      <c r="G167" s="72"/>
      <c r="H167" s="600" t="str">
        <f>IF(T161="","",T161)</f>
        <v/>
      </c>
      <c r="I167" s="72"/>
      <c r="J167" s="72"/>
      <c r="K167" s="72"/>
      <c r="L167" s="72"/>
      <c r="M167" s="73"/>
      <c r="O167" s="33"/>
      <c r="P167" s="6"/>
      <c r="Q167" s="6"/>
      <c r="R167" s="6"/>
      <c r="S167" s="6"/>
      <c r="T167" s="6"/>
      <c r="Y167" s="35"/>
    </row>
    <row r="168" spans="1:25" ht="14.1" customHeight="1">
      <c r="A168" s="20">
        <v>24</v>
      </c>
      <c r="B168" s="71"/>
      <c r="C168" s="166" t="s">
        <v>173</v>
      </c>
      <c r="D168" s="392" t="str">
        <f t="shared" ref="D168:F171" si="25">IF(Q162="","",Q162)</f>
        <v/>
      </c>
      <c r="E168" s="19" t="str">
        <f t="shared" si="25"/>
        <v/>
      </c>
      <c r="F168" s="393" t="str">
        <f t="shared" si="25"/>
        <v/>
      </c>
      <c r="G168" s="72"/>
      <c r="H168" s="600" t="str">
        <f>IF(T162="","",T162)</f>
        <v/>
      </c>
      <c r="I168" s="72"/>
      <c r="J168" s="72"/>
      <c r="K168" s="72"/>
      <c r="L168" s="72"/>
      <c r="M168" s="73"/>
      <c r="O168" s="33"/>
      <c r="P168" s="113" t="s">
        <v>224</v>
      </c>
      <c r="Q168" s="153" t="str">
        <f>IF(Q170&lt;&gt;"",Q170,IF(AB190="","",AB190))</f>
        <v/>
      </c>
      <c r="R168" s="154"/>
      <c r="S168" s="154"/>
      <c r="T168" s="154"/>
      <c r="U168" s="154"/>
      <c r="V168" s="154"/>
      <c r="W168" s="154"/>
      <c r="X168" s="154"/>
      <c r="Y168" s="35"/>
    </row>
    <row r="169" spans="1:25" ht="14.1" customHeight="1">
      <c r="A169" s="20">
        <v>25</v>
      </c>
      <c r="B169" s="71"/>
      <c r="C169" s="166" t="s">
        <v>219</v>
      </c>
      <c r="D169" s="392" t="str">
        <f t="shared" si="25"/>
        <v/>
      </c>
      <c r="E169" s="19" t="str">
        <f t="shared" si="25"/>
        <v/>
      </c>
      <c r="F169" s="393" t="str">
        <f t="shared" si="25"/>
        <v/>
      </c>
      <c r="G169" s="72"/>
      <c r="H169" s="600" t="str">
        <f>IF(T162="","",T162)</f>
        <v/>
      </c>
      <c r="I169" s="72"/>
      <c r="J169" s="72"/>
      <c r="K169" s="72"/>
      <c r="L169" s="72"/>
      <c r="M169" s="73"/>
      <c r="O169" s="33"/>
      <c r="P169" s="155" t="s">
        <v>225</v>
      </c>
      <c r="Q169" s="156"/>
      <c r="R169" s="157"/>
      <c r="S169" s="157"/>
      <c r="T169" s="157"/>
      <c r="U169" s="157"/>
      <c r="V169" s="157"/>
      <c r="W169" s="157"/>
      <c r="X169" s="157"/>
      <c r="Y169" s="35"/>
    </row>
    <row r="170" spans="1:25" ht="14.1" customHeight="1">
      <c r="A170" s="20">
        <v>26</v>
      </c>
      <c r="B170" s="71"/>
      <c r="C170" s="166" t="s">
        <v>220</v>
      </c>
      <c r="D170" s="392" t="str">
        <f t="shared" si="25"/>
        <v/>
      </c>
      <c r="E170" s="19" t="str">
        <f t="shared" si="25"/>
        <v/>
      </c>
      <c r="F170" s="393" t="str">
        <f t="shared" si="25"/>
        <v/>
      </c>
      <c r="G170" s="72"/>
      <c r="H170" s="600" t="str">
        <f>IF(T163="","",T163)</f>
        <v/>
      </c>
      <c r="I170" s="72"/>
      <c r="J170" s="72"/>
      <c r="K170" s="72"/>
      <c r="L170" s="72"/>
      <c r="M170" s="73"/>
      <c r="O170" s="33"/>
      <c r="P170" s="113" t="s">
        <v>226</v>
      </c>
      <c r="Q170" s="158"/>
      <c r="R170" s="157"/>
      <c r="S170" s="157"/>
      <c r="T170" s="157"/>
      <c r="U170" s="157"/>
      <c r="V170" s="157"/>
      <c r="W170" s="157"/>
      <c r="X170" s="157"/>
      <c r="Y170" s="35"/>
    </row>
    <row r="171" spans="1:25" ht="14.1" customHeight="1" thickBot="1">
      <c r="A171" s="20">
        <v>27</v>
      </c>
      <c r="B171" s="71"/>
      <c r="C171" s="166" t="s">
        <v>218</v>
      </c>
      <c r="D171" s="394" t="str">
        <f t="shared" si="25"/>
        <v/>
      </c>
      <c r="E171" s="395" t="str">
        <f t="shared" si="25"/>
        <v/>
      </c>
      <c r="F171" s="396" t="str">
        <f t="shared" si="25"/>
        <v/>
      </c>
      <c r="G171" s="72"/>
      <c r="H171" s="600" t="str">
        <f>IF(T164="","",T164)</f>
        <v/>
      </c>
      <c r="I171" s="72"/>
      <c r="J171" s="72"/>
      <c r="K171" s="72"/>
      <c r="L171" s="72"/>
      <c r="M171" s="73"/>
      <c r="O171" s="43"/>
      <c r="P171" s="44"/>
      <c r="Q171" s="44"/>
      <c r="R171" s="44"/>
      <c r="S171" s="44"/>
      <c r="T171" s="44"/>
      <c r="U171" s="44"/>
      <c r="V171" s="44"/>
      <c r="W171" s="44"/>
      <c r="X171" s="44"/>
      <c r="Y171" s="45"/>
    </row>
    <row r="172" spans="1:25" ht="14.1" customHeight="1">
      <c r="A172" s="20">
        <v>28</v>
      </c>
      <c r="B172" s="71"/>
      <c r="C172" s="72"/>
      <c r="D172" s="72"/>
      <c r="E172" s="72"/>
      <c r="F172" s="72"/>
      <c r="G172" s="72"/>
      <c r="H172" s="600" t="str">
        <f>IF(T165="","",T165)</f>
        <v/>
      </c>
      <c r="I172" s="72"/>
      <c r="J172" s="72"/>
      <c r="K172" s="72"/>
      <c r="L172" s="72"/>
      <c r="M172" s="73"/>
      <c r="O172" s="143" t="s">
        <v>227</v>
      </c>
      <c r="R172" s="141"/>
      <c r="S172" s="79" t="s">
        <v>75</v>
      </c>
      <c r="Y172" s="35"/>
    </row>
    <row r="173" spans="1:25" ht="14.1" customHeight="1">
      <c r="A173" s="20">
        <v>29</v>
      </c>
      <c r="B173" s="71"/>
      <c r="C173" s="5" t="s">
        <v>204</v>
      </c>
      <c r="D173" s="12" t="s">
        <v>221</v>
      </c>
      <c r="E173" s="72"/>
      <c r="F173" s="72"/>
      <c r="G173" s="72"/>
      <c r="H173" s="72"/>
      <c r="I173" s="72"/>
      <c r="J173" s="72"/>
      <c r="K173" s="72"/>
      <c r="L173" s="72"/>
      <c r="M173" s="73"/>
      <c r="O173" s="33"/>
      <c r="P173" s="807" t="s">
        <v>228</v>
      </c>
      <c r="Q173" s="807"/>
      <c r="R173" s="807"/>
      <c r="S173" s="807"/>
      <c r="U173" s="600" t="s">
        <v>229</v>
      </c>
      <c r="V173" s="600"/>
      <c r="Y173" s="35"/>
    </row>
    <row r="174" spans="1:25" ht="14.1" customHeight="1">
      <c r="A174" s="20">
        <v>30</v>
      </c>
      <c r="B174" s="71"/>
      <c r="C174" s="72"/>
      <c r="D174" s="506" t="str">
        <f>P168</f>
        <v>Comments:</v>
      </c>
      <c r="E174" s="115" t="str">
        <f>IF(Q168="","",IF(LEN(Q168)&lt;=135,Q168,IF(LEN(Q168)&lt;=260,LEFT(Q168,SEARCH(" ",Q168,125)),LEFT(Q168,SEARCH(" ",Q168,130)))))</f>
        <v/>
      </c>
      <c r="F174" s="114"/>
      <c r="G174" s="114"/>
      <c r="H174" s="114"/>
      <c r="I174" s="114"/>
      <c r="J174" s="114"/>
      <c r="K174" s="114"/>
      <c r="L174" s="114"/>
      <c r="M174" s="173"/>
      <c r="O174" s="33"/>
      <c r="P174" s="159" t="s">
        <v>230</v>
      </c>
      <c r="Q174" s="159" t="s">
        <v>231</v>
      </c>
      <c r="R174" s="159" t="s">
        <v>232</v>
      </c>
      <c r="S174" s="160" t="s">
        <v>233</v>
      </c>
      <c r="U174" s="323" t="s">
        <v>234</v>
      </c>
      <c r="V174" s="600"/>
      <c r="Y174" s="35"/>
    </row>
    <row r="175" spans="1:25" ht="14.1" customHeight="1">
      <c r="A175" s="20">
        <v>31</v>
      </c>
      <c r="B175" s="71"/>
      <c r="C175" s="72"/>
      <c r="D175" s="197"/>
      <c r="E175" s="177" t="str">
        <f>IF(LEN(Q168)&lt;=135,"",IF(LEN(Q168)&lt;=260,RIGHT(Q168,LEN(Q168)-SEARCH(" ",Q168,125)),MID(Q168,SEARCH(" ",Q168,130),IF(LEN(Q168)&lt;=265,LEN(Q168),SEARCH(" ",Q168,255)-SEARCH(" ",Q168,130)))))</f>
        <v/>
      </c>
      <c r="F175" s="178"/>
      <c r="G175" s="178"/>
      <c r="H175" s="178"/>
      <c r="I175" s="178"/>
      <c r="J175" s="178"/>
      <c r="K175" s="178"/>
      <c r="L175" s="178"/>
      <c r="M175" s="179"/>
      <c r="O175" s="33"/>
      <c r="P175" s="161"/>
      <c r="Q175" s="161"/>
      <c r="R175" s="161"/>
      <c r="S175" s="162"/>
      <c r="U175" s="322" t="str">
        <f>IF(OR(R172=2,R172=3),"NA",IF(OR(P175="",Q175="",R175="",S175=""),"TBD",AVERAGE(P175:S175)))</f>
        <v>TBD</v>
      </c>
      <c r="V175" s="321"/>
      <c r="Y175" s="35"/>
    </row>
    <row r="176" spans="1:25" ht="14.1" customHeight="1">
      <c r="A176" s="20">
        <v>32</v>
      </c>
      <c r="B176" s="71"/>
      <c r="C176" s="72"/>
      <c r="D176" s="197"/>
      <c r="E176" s="177" t="str">
        <f>IF(LEN(Q168)&lt;=265,"",RIGHT(Q168,LEN(Q168)-SEARCH(" ",Q168,255)))</f>
        <v/>
      </c>
      <c r="F176" s="178"/>
      <c r="G176" s="178"/>
      <c r="H176" s="178"/>
      <c r="I176" s="178"/>
      <c r="J176" s="178"/>
      <c r="K176" s="178"/>
      <c r="L176" s="178"/>
      <c r="M176" s="179"/>
      <c r="O176" s="33"/>
      <c r="P176" s="117" t="s">
        <v>204</v>
      </c>
      <c r="Q176" s="142" t="s">
        <v>235</v>
      </c>
      <c r="Y176" s="35"/>
    </row>
    <row r="177" spans="1:25" ht="14.1" customHeight="1" thickBot="1">
      <c r="A177" s="20">
        <v>33</v>
      </c>
      <c r="B177" s="163"/>
      <c r="C177" s="44"/>
      <c r="D177" s="44"/>
      <c r="E177" s="44"/>
      <c r="F177" s="44"/>
      <c r="G177" s="44"/>
      <c r="H177" s="44"/>
      <c r="I177" s="44"/>
      <c r="J177" s="44"/>
      <c r="K177" s="44"/>
      <c r="L177" s="44"/>
      <c r="M177" s="164"/>
      <c r="O177" s="33"/>
      <c r="P177" s="6"/>
      <c r="Q177" s="6"/>
      <c r="R177" s="6"/>
      <c r="S177" s="6"/>
      <c r="T177" s="6"/>
      <c r="U177" s="6"/>
      <c r="V177" s="6"/>
      <c r="W177" s="6"/>
      <c r="Y177" s="35"/>
    </row>
    <row r="178" spans="1:25" ht="14.1" customHeight="1">
      <c r="A178" s="20">
        <v>34</v>
      </c>
      <c r="B178" s="71"/>
      <c r="C178" s="150" t="s">
        <v>227</v>
      </c>
      <c r="D178" s="72"/>
      <c r="E178" s="72"/>
      <c r="F178" s="72"/>
      <c r="G178" s="72"/>
      <c r="H178" s="72"/>
      <c r="I178" s="72"/>
      <c r="J178" s="72"/>
      <c r="K178" s="72"/>
      <c r="L178" s="72"/>
      <c r="M178" s="73"/>
      <c r="O178" s="143" t="s">
        <v>236</v>
      </c>
      <c r="Y178" s="35"/>
    </row>
    <row r="179" spans="1:25" ht="14.1" customHeight="1">
      <c r="A179" s="20">
        <v>35</v>
      </c>
      <c r="B179" s="71"/>
      <c r="C179" s="72"/>
      <c r="D179" s="807" t="s">
        <v>228</v>
      </c>
      <c r="E179" s="807"/>
      <c r="F179" s="807"/>
      <c r="G179" s="807"/>
      <c r="H179" s="72"/>
      <c r="I179" s="600" t="s">
        <v>229</v>
      </c>
      <c r="J179" s="600"/>
      <c r="K179" s="72"/>
      <c r="L179" s="72"/>
      <c r="M179" s="73"/>
      <c r="O179" s="165"/>
      <c r="P179" s="166" t="s">
        <v>95</v>
      </c>
      <c r="Q179" s="141" t="s">
        <v>237</v>
      </c>
      <c r="T179" s="166" t="s">
        <v>95</v>
      </c>
      <c r="U179" s="141" t="s">
        <v>238</v>
      </c>
      <c r="V179" s="6"/>
      <c r="X179" s="6"/>
      <c r="Y179" s="35"/>
    </row>
    <row r="180" spans="1:25" ht="14.1" customHeight="1">
      <c r="A180" s="20">
        <v>36</v>
      </c>
      <c r="B180" s="71"/>
      <c r="C180" s="72"/>
      <c r="D180" s="159" t="s">
        <v>230</v>
      </c>
      <c r="E180" s="159" t="s">
        <v>231</v>
      </c>
      <c r="F180" s="159" t="s">
        <v>232</v>
      </c>
      <c r="G180" s="160" t="s">
        <v>233</v>
      </c>
      <c r="H180" s="72"/>
      <c r="I180" s="318" t="s">
        <v>234</v>
      </c>
      <c r="J180" s="147"/>
      <c r="K180" s="72"/>
      <c r="L180" s="72"/>
      <c r="M180" s="73"/>
      <c r="O180" s="165"/>
      <c r="P180" s="166" t="s">
        <v>173</v>
      </c>
      <c r="Q180" s="141">
        <v>28</v>
      </c>
      <c r="R180" s="6"/>
      <c r="S180" s="6"/>
      <c r="T180" s="166" t="s">
        <v>173</v>
      </c>
      <c r="U180" s="141">
        <v>32</v>
      </c>
      <c r="V180" s="6"/>
      <c r="W180" s="6"/>
      <c r="X180" s="6"/>
      <c r="Y180" s="35"/>
    </row>
    <row r="181" spans="1:25" ht="14.1" customHeight="1">
      <c r="A181" s="20">
        <v>37</v>
      </c>
      <c r="B181" s="71"/>
      <c r="C181" s="72"/>
      <c r="D181" s="182" t="str">
        <f>IF(P175="","",P175)</f>
        <v/>
      </c>
      <c r="E181" s="182" t="str">
        <f>IF(Q175="","",Q175)</f>
        <v/>
      </c>
      <c r="F181" s="182" t="str">
        <f>IF(R175="","",R175)</f>
        <v/>
      </c>
      <c r="G181" s="183" t="str">
        <f>IF(S175="","",S175)</f>
        <v/>
      </c>
      <c r="H181" s="72"/>
      <c r="I181" s="184" t="str">
        <f>IF(U175="","",U175)</f>
        <v>TBD</v>
      </c>
      <c r="J181" s="381"/>
      <c r="K181" s="72"/>
      <c r="L181" s="72"/>
      <c r="M181" s="73"/>
      <c r="O181" s="165"/>
      <c r="P181" s="166" t="s">
        <v>219</v>
      </c>
      <c r="Q181" s="141">
        <v>50</v>
      </c>
      <c r="R181" s="6"/>
      <c r="S181" s="6"/>
      <c r="T181" s="166" t="s">
        <v>219</v>
      </c>
      <c r="U181" s="141">
        <v>71</v>
      </c>
      <c r="V181" s="6"/>
      <c r="W181" s="6"/>
      <c r="X181" s="6"/>
      <c r="Y181" s="35"/>
    </row>
    <row r="182" spans="1:25" ht="14.1" customHeight="1">
      <c r="A182" s="20">
        <v>38</v>
      </c>
      <c r="B182" s="71"/>
      <c r="C182" s="72"/>
      <c r="D182" s="5" t="s">
        <v>204</v>
      </c>
      <c r="E182" s="105" t="s">
        <v>253</v>
      </c>
      <c r="F182" s="72"/>
      <c r="G182" s="72"/>
      <c r="H182" s="72"/>
      <c r="I182" s="72"/>
      <c r="J182" s="72"/>
      <c r="K182" s="72"/>
      <c r="L182" s="72"/>
      <c r="M182" s="73"/>
      <c r="O182" s="33"/>
      <c r="P182" s="72"/>
      <c r="Q182" s="791" t="s">
        <v>240</v>
      </c>
      <c r="R182" s="791"/>
      <c r="S182" s="791"/>
      <c r="T182" s="6"/>
      <c r="U182" s="791" t="s">
        <v>240</v>
      </c>
      <c r="V182" s="791"/>
      <c r="W182" s="791"/>
      <c r="X182" s="6"/>
      <c r="Y182" s="35"/>
    </row>
    <row r="183" spans="1:25" ht="14.1" customHeight="1" thickBot="1">
      <c r="A183" s="20">
        <v>39</v>
      </c>
      <c r="B183" s="163"/>
      <c r="C183" s="44"/>
      <c r="D183" s="44"/>
      <c r="E183" s="44"/>
      <c r="F183" s="44"/>
      <c r="G183" s="44"/>
      <c r="H183" s="44"/>
      <c r="I183" s="44"/>
      <c r="J183" s="44"/>
      <c r="K183" s="44"/>
      <c r="L183" s="44"/>
      <c r="M183" s="164"/>
      <c r="O183" s="33"/>
      <c r="P183" s="72"/>
      <c r="Q183" s="601" t="s">
        <v>241</v>
      </c>
      <c r="R183" s="601" t="s">
        <v>242</v>
      </c>
      <c r="S183" s="111" t="s">
        <v>243</v>
      </c>
      <c r="T183" s="6"/>
      <c r="U183" s="601" t="s">
        <v>241</v>
      </c>
      <c r="V183" s="601" t="s">
        <v>242</v>
      </c>
      <c r="W183" s="111" t="s">
        <v>243</v>
      </c>
      <c r="X183" s="6"/>
      <c r="Y183" s="35"/>
    </row>
    <row r="184" spans="1:25" ht="14.1" customHeight="1">
      <c r="A184" s="20">
        <v>40</v>
      </c>
      <c r="B184" s="507"/>
      <c r="C184" s="67" t="s">
        <v>236</v>
      </c>
      <c r="D184" s="26"/>
      <c r="E184" s="26"/>
      <c r="F184" s="26"/>
      <c r="G184" s="67"/>
      <c r="H184" s="67" t="s">
        <v>252</v>
      </c>
      <c r="I184" s="26"/>
      <c r="J184" s="26"/>
      <c r="K184" s="26"/>
      <c r="L184" s="26"/>
      <c r="M184" s="485"/>
      <c r="O184" s="165"/>
      <c r="P184" s="166" t="s">
        <v>244</v>
      </c>
      <c r="Q184" s="167"/>
      <c r="R184" s="168"/>
      <c r="S184" s="169"/>
      <c r="T184" s="6"/>
      <c r="U184" s="167"/>
      <c r="V184" s="168"/>
      <c r="W184" s="169"/>
      <c r="X184" s="6"/>
      <c r="Y184" s="35"/>
    </row>
    <row r="185" spans="1:25" ht="14.1" customHeight="1" thickBot="1">
      <c r="A185" s="20">
        <v>41</v>
      </c>
      <c r="B185" s="71"/>
      <c r="C185" s="166" t="s">
        <v>95</v>
      </c>
      <c r="D185" s="111" t="str">
        <f>IF(Q179="","",Q179)</f>
        <v>Mo/Mo</v>
      </c>
      <c r="E185" s="72"/>
      <c r="F185" s="72"/>
      <c r="G185" s="72"/>
      <c r="H185" s="166" t="s">
        <v>95</v>
      </c>
      <c r="I185" s="111" t="str">
        <f>IF(Q194="","",Q194)</f>
        <v>Mo/Mo</v>
      </c>
      <c r="J185" s="72"/>
      <c r="K185" s="166" t="s">
        <v>95</v>
      </c>
      <c r="L185" s="111" t="str">
        <f>IF(U194="","",U194)</f>
        <v>W/Rh</v>
      </c>
      <c r="M185" s="73"/>
      <c r="O185" s="165"/>
      <c r="P185" s="166" t="s">
        <v>245</v>
      </c>
      <c r="Q185" s="170"/>
      <c r="R185" s="171"/>
      <c r="S185" s="172"/>
      <c r="T185" s="6"/>
      <c r="U185" s="170"/>
      <c r="V185" s="171"/>
      <c r="W185" s="172"/>
      <c r="X185" s="6"/>
      <c r="Y185" s="35"/>
    </row>
    <row r="186" spans="1:25" ht="14.1" customHeight="1">
      <c r="A186" s="20">
        <v>42</v>
      </c>
      <c r="B186" s="71"/>
      <c r="C186" s="111"/>
      <c r="D186" s="818" t="s">
        <v>240</v>
      </c>
      <c r="E186" s="819"/>
      <c r="F186" s="820"/>
      <c r="G186" s="166"/>
      <c r="H186" s="818" t="s">
        <v>240</v>
      </c>
      <c r="I186" s="819"/>
      <c r="J186" s="820"/>
      <c r="K186" s="818" t="s">
        <v>240</v>
      </c>
      <c r="L186" s="819"/>
      <c r="M186" s="821"/>
      <c r="O186" s="165"/>
      <c r="P186" s="166" t="s">
        <v>246</v>
      </c>
      <c r="Q186" s="170"/>
      <c r="R186" s="171"/>
      <c r="S186" s="172"/>
      <c r="T186" s="6"/>
      <c r="U186" s="170"/>
      <c r="V186" s="171"/>
      <c r="W186" s="172"/>
      <c r="X186" s="6"/>
      <c r="Y186" s="35"/>
    </row>
    <row r="187" spans="1:25" ht="14.1" customHeight="1" thickBot="1">
      <c r="A187" s="20">
        <v>43</v>
      </c>
      <c r="B187" s="71"/>
      <c r="C187" s="342"/>
      <c r="D187" s="348" t="s">
        <v>241</v>
      </c>
      <c r="E187" s="303" t="s">
        <v>242</v>
      </c>
      <c r="F187" s="349" t="s">
        <v>243</v>
      </c>
      <c r="G187" s="111"/>
      <c r="H187" s="348" t="s">
        <v>241</v>
      </c>
      <c r="I187" s="303" t="s">
        <v>242</v>
      </c>
      <c r="J187" s="349" t="s">
        <v>243</v>
      </c>
      <c r="K187" s="348" t="s">
        <v>241</v>
      </c>
      <c r="L187" s="303" t="s">
        <v>242</v>
      </c>
      <c r="M187" s="508" t="s">
        <v>243</v>
      </c>
      <c r="O187" s="165"/>
      <c r="P187" s="166" t="s">
        <v>247</v>
      </c>
      <c r="Q187" s="174"/>
      <c r="R187" s="175"/>
      <c r="S187" s="176"/>
      <c r="T187" s="6"/>
      <c r="U187" s="174"/>
      <c r="V187" s="175"/>
      <c r="W187" s="176"/>
      <c r="Y187" s="35"/>
    </row>
    <row r="188" spans="1:25" ht="14.1" customHeight="1">
      <c r="A188" s="20">
        <v>44</v>
      </c>
      <c r="B188" s="71"/>
      <c r="C188" s="166" t="s">
        <v>244</v>
      </c>
      <c r="D188" s="359" t="str">
        <f>IF(Q184="","",Q184)</f>
        <v/>
      </c>
      <c r="E188" s="319" t="str">
        <f t="shared" ref="E188:F188" si="26">IF(R184="","",R184)</f>
        <v/>
      </c>
      <c r="F188" s="360" t="str">
        <f t="shared" si="26"/>
        <v/>
      </c>
      <c r="G188" s="358" t="s">
        <v>244</v>
      </c>
      <c r="H188" s="350" t="str">
        <f>IF(Q199="","",Q199)</f>
        <v/>
      </c>
      <c r="I188" s="346" t="str">
        <f t="shared" ref="I188:J195" si="27">IF(R199="","",R199)</f>
        <v/>
      </c>
      <c r="J188" s="351" t="str">
        <f t="shared" si="27"/>
        <v/>
      </c>
      <c r="K188" s="355" t="str">
        <f>IF(U199="","",U199)</f>
        <v/>
      </c>
      <c r="L188" s="345" t="str">
        <f t="shared" ref="L188:M195" si="28">IF(V199="","",V199)</f>
        <v/>
      </c>
      <c r="M188" s="509" t="str">
        <f t="shared" si="28"/>
        <v/>
      </c>
      <c r="O188" s="165"/>
      <c r="P188" s="166" t="s">
        <v>248</v>
      </c>
      <c r="Q188" s="208" t="str">
        <f>IF(OR(Q184="",Q185=""),"",ABS(Q184)+ABS(Q185))</f>
        <v/>
      </c>
      <c r="R188" s="209" t="str">
        <f>IF(OR(R184="",R185=""),"",ABS(R184)+ABS(R185))</f>
        <v/>
      </c>
      <c r="S188" s="180" t="str">
        <f>IF(OR(S184="",S185=""),"",ABS(S184)+ABS(S185))</f>
        <v/>
      </c>
      <c r="U188" s="208" t="str">
        <f>IF(OR(U184="",U185=""),"",ABS(U184)+ABS(U185))</f>
        <v/>
      </c>
      <c r="V188" s="209" t="str">
        <f>IF(OR(V184="",V185=""),"",ABS(V184)+ABS(V185))</f>
        <v/>
      </c>
      <c r="W188" s="180" t="str">
        <f>IF(OR(W184="",W185=""),"",ABS(W184)+ABS(W185))</f>
        <v/>
      </c>
      <c r="Y188" s="35"/>
    </row>
    <row r="189" spans="1:25" ht="14.1" customHeight="1" thickBot="1">
      <c r="A189" s="20">
        <v>45</v>
      </c>
      <c r="B189" s="71"/>
      <c r="C189" s="166" t="s">
        <v>245</v>
      </c>
      <c r="D189" s="359" t="str">
        <f t="shared" ref="D189:F193" si="29">IF(Q185="","",Q185)</f>
        <v/>
      </c>
      <c r="E189" s="319" t="str">
        <f t="shared" si="29"/>
        <v/>
      </c>
      <c r="F189" s="360" t="str">
        <f t="shared" si="29"/>
        <v/>
      </c>
      <c r="G189" s="358" t="s">
        <v>245</v>
      </c>
      <c r="H189" s="350" t="str">
        <f t="shared" ref="H189:H195" si="30">IF(Q200="","",Q200)</f>
        <v/>
      </c>
      <c r="I189" s="346" t="str">
        <f t="shared" si="27"/>
        <v/>
      </c>
      <c r="J189" s="351" t="str">
        <f t="shared" si="27"/>
        <v/>
      </c>
      <c r="K189" s="355" t="str">
        <f t="shared" ref="K189:K195" si="31">IF(U200="","",U200)</f>
        <v/>
      </c>
      <c r="L189" s="345" t="str">
        <f t="shared" si="28"/>
        <v/>
      </c>
      <c r="M189" s="509" t="str">
        <f t="shared" si="28"/>
        <v/>
      </c>
      <c r="O189" s="165"/>
      <c r="P189" s="166" t="s">
        <v>249</v>
      </c>
      <c r="Q189" s="211" t="str">
        <f>IF(OR(Q186="",Q187=""),"",ABS(Q186)+ABS(Q187))</f>
        <v/>
      </c>
      <c r="R189" s="212" t="str">
        <f>IF(OR(R186="",R187=""),"",ABS(R186)+ABS(R187))</f>
        <v/>
      </c>
      <c r="S189" s="181" t="str">
        <f>IF(OR(S186="",S187=""),"",ABS(S186)+ABS(S187))</f>
        <v/>
      </c>
      <c r="U189" s="211" t="str">
        <f>IF(OR(U186="",U187=""),"",ABS(U186)+ABS(U187))</f>
        <v/>
      </c>
      <c r="V189" s="212" t="str">
        <f>IF(OR(V186="",V187=""),"",ABS(V186)+ABS(V187))</f>
        <v/>
      </c>
      <c r="W189" s="181" t="str">
        <f>IF(OR(W186="",W187=""),"",ABS(W186)+ABS(W187))</f>
        <v/>
      </c>
      <c r="Y189" s="35"/>
    </row>
    <row r="190" spans="1:25" ht="14.1" customHeight="1">
      <c r="A190" s="20">
        <v>46</v>
      </c>
      <c r="B190" s="71"/>
      <c r="C190" s="166" t="s">
        <v>246</v>
      </c>
      <c r="D190" s="359" t="str">
        <f t="shared" si="29"/>
        <v/>
      </c>
      <c r="E190" s="319" t="str">
        <f t="shared" si="29"/>
        <v/>
      </c>
      <c r="F190" s="360" t="str">
        <f t="shared" si="29"/>
        <v/>
      </c>
      <c r="G190" s="358" t="s">
        <v>246</v>
      </c>
      <c r="H190" s="350" t="str">
        <f t="shared" si="30"/>
        <v/>
      </c>
      <c r="I190" s="346" t="str">
        <f t="shared" si="27"/>
        <v/>
      </c>
      <c r="J190" s="351" t="str">
        <f t="shared" si="27"/>
        <v/>
      </c>
      <c r="K190" s="355" t="str">
        <f t="shared" si="31"/>
        <v/>
      </c>
      <c r="L190" s="345" t="str">
        <f t="shared" si="28"/>
        <v/>
      </c>
      <c r="M190" s="509" t="str">
        <f t="shared" si="28"/>
        <v/>
      </c>
      <c r="O190" s="33"/>
      <c r="P190" s="117" t="s">
        <v>204</v>
      </c>
      <c r="Q190" s="142" t="s">
        <v>250</v>
      </c>
      <c r="R190" s="6"/>
      <c r="X190" s="6"/>
      <c r="Y190" s="35"/>
    </row>
    <row r="191" spans="1:25" ht="14.1" customHeight="1" thickBot="1">
      <c r="A191" s="20">
        <v>47</v>
      </c>
      <c r="B191" s="71"/>
      <c r="C191" s="166" t="s">
        <v>247</v>
      </c>
      <c r="D191" s="361" t="str">
        <f t="shared" si="29"/>
        <v/>
      </c>
      <c r="E191" s="362" t="str">
        <f t="shared" si="29"/>
        <v/>
      </c>
      <c r="F191" s="363" t="str">
        <f t="shared" si="29"/>
        <v/>
      </c>
      <c r="G191" s="358" t="s">
        <v>247</v>
      </c>
      <c r="H191" s="352" t="str">
        <f t="shared" si="30"/>
        <v/>
      </c>
      <c r="I191" s="353" t="str">
        <f t="shared" si="27"/>
        <v/>
      </c>
      <c r="J191" s="354" t="str">
        <f t="shared" si="27"/>
        <v/>
      </c>
      <c r="K191" s="356" t="str">
        <f t="shared" si="31"/>
        <v/>
      </c>
      <c r="L191" s="357" t="str">
        <f t="shared" si="28"/>
        <v/>
      </c>
      <c r="M191" s="510" t="str">
        <f t="shared" si="28"/>
        <v/>
      </c>
      <c r="O191" s="33"/>
      <c r="P191" s="30"/>
      <c r="Q191" s="142" t="s">
        <v>251</v>
      </c>
      <c r="R191" s="6"/>
      <c r="S191" s="6"/>
      <c r="T191" s="6"/>
      <c r="U191" s="6"/>
      <c r="V191" s="6"/>
      <c r="W191" s="6"/>
      <c r="X191" s="6"/>
      <c r="Y191" s="35"/>
    </row>
    <row r="192" spans="1:25" ht="14.1" customHeight="1">
      <c r="A192" s="20">
        <v>48</v>
      </c>
      <c r="B192" s="71"/>
      <c r="C192" s="166" t="s">
        <v>248</v>
      </c>
      <c r="D192" s="369" t="str">
        <f t="shared" si="29"/>
        <v/>
      </c>
      <c r="E192" s="370" t="str">
        <f t="shared" si="29"/>
        <v/>
      </c>
      <c r="F192" s="371" t="str">
        <f t="shared" si="29"/>
        <v/>
      </c>
      <c r="G192" s="358" t="s">
        <v>248</v>
      </c>
      <c r="H192" s="375" t="str">
        <f t="shared" si="30"/>
        <v/>
      </c>
      <c r="I192" s="376" t="str">
        <f t="shared" si="27"/>
        <v/>
      </c>
      <c r="J192" s="377" t="str">
        <f t="shared" si="27"/>
        <v/>
      </c>
      <c r="K192" s="372" t="str">
        <f t="shared" si="31"/>
        <v/>
      </c>
      <c r="L192" s="373" t="str">
        <f t="shared" si="28"/>
        <v/>
      </c>
      <c r="M192" s="511" t="str">
        <f t="shared" si="28"/>
        <v/>
      </c>
      <c r="O192" s="33"/>
      <c r="P192" s="6"/>
      <c r="Q192" s="6"/>
      <c r="R192" s="6"/>
      <c r="S192" s="6"/>
      <c r="T192" s="6"/>
      <c r="U192" s="6"/>
      <c r="V192" s="6"/>
      <c r="W192" s="6"/>
      <c r="Y192" s="35"/>
    </row>
    <row r="193" spans="1:29" ht="14.1" customHeight="1" thickBot="1">
      <c r="A193" s="20">
        <v>49</v>
      </c>
      <c r="B193" s="71"/>
      <c r="C193" s="166" t="s">
        <v>249</v>
      </c>
      <c r="D193" s="361" t="str">
        <f t="shared" si="29"/>
        <v/>
      </c>
      <c r="E193" s="362" t="str">
        <f t="shared" si="29"/>
        <v/>
      </c>
      <c r="F193" s="363" t="str">
        <f t="shared" si="29"/>
        <v/>
      </c>
      <c r="G193" s="347" t="s">
        <v>249</v>
      </c>
      <c r="H193" s="352" t="str">
        <f t="shared" si="30"/>
        <v/>
      </c>
      <c r="I193" s="353" t="str">
        <f t="shared" si="27"/>
        <v/>
      </c>
      <c r="J193" s="354" t="str">
        <f t="shared" si="27"/>
        <v/>
      </c>
      <c r="K193" s="356" t="str">
        <f t="shared" si="31"/>
        <v/>
      </c>
      <c r="L193" s="357" t="str">
        <f t="shared" si="28"/>
        <v/>
      </c>
      <c r="M193" s="510" t="str">
        <f t="shared" si="28"/>
        <v/>
      </c>
      <c r="O193" s="143" t="s">
        <v>252</v>
      </c>
      <c r="Y193" s="35"/>
    </row>
    <row r="194" spans="1:29" ht="14.1" customHeight="1" thickBot="1">
      <c r="A194" s="20">
        <v>50</v>
      </c>
      <c r="B194" s="71"/>
      <c r="C194" s="166" t="s">
        <v>95</v>
      </c>
      <c r="D194" s="111" t="str">
        <f>IF(U179="","",U179)</f>
        <v>W/Rh</v>
      </c>
      <c r="E194" s="72"/>
      <c r="F194" s="72"/>
      <c r="G194" s="358" t="s">
        <v>257</v>
      </c>
      <c r="H194" s="375" t="str">
        <f t="shared" si="30"/>
        <v/>
      </c>
      <c r="I194" s="376" t="str">
        <f t="shared" si="27"/>
        <v/>
      </c>
      <c r="J194" s="377" t="str">
        <f t="shared" si="27"/>
        <v/>
      </c>
      <c r="K194" s="372" t="str">
        <f t="shared" si="31"/>
        <v/>
      </c>
      <c r="L194" s="373" t="str">
        <f t="shared" si="28"/>
        <v/>
      </c>
      <c r="M194" s="511" t="str">
        <f t="shared" si="28"/>
        <v/>
      </c>
      <c r="O194" s="165"/>
      <c r="P194" s="166" t="s">
        <v>95</v>
      </c>
      <c r="Q194" s="141" t="s">
        <v>237</v>
      </c>
      <c r="T194" s="166" t="s">
        <v>95</v>
      </c>
      <c r="U194" s="141" t="s">
        <v>238</v>
      </c>
      <c r="V194" s="6"/>
      <c r="X194" s="6"/>
      <c r="Y194" s="35"/>
    </row>
    <row r="195" spans="1:29" ht="14.1" customHeight="1" thickBot="1">
      <c r="A195" s="20">
        <v>51</v>
      </c>
      <c r="B195" s="71"/>
      <c r="C195" s="166" t="s">
        <v>244</v>
      </c>
      <c r="D195" s="364" t="str">
        <f>IF(U184="","",U184)</f>
        <v/>
      </c>
      <c r="E195" s="365" t="str">
        <f t="shared" ref="E195:F200" si="32">IF(V184="","",V184)</f>
        <v/>
      </c>
      <c r="F195" s="366" t="str">
        <f t="shared" si="32"/>
        <v/>
      </c>
      <c r="G195" s="358" t="s">
        <v>258</v>
      </c>
      <c r="H195" s="352" t="str">
        <f t="shared" si="30"/>
        <v/>
      </c>
      <c r="I195" s="353" t="str">
        <f t="shared" si="27"/>
        <v/>
      </c>
      <c r="J195" s="354" t="str">
        <f t="shared" si="27"/>
        <v/>
      </c>
      <c r="K195" s="356" t="str">
        <f t="shared" si="31"/>
        <v/>
      </c>
      <c r="L195" s="357" t="str">
        <f t="shared" si="28"/>
        <v/>
      </c>
      <c r="M195" s="510" t="str">
        <f t="shared" si="28"/>
        <v/>
      </c>
      <c r="O195" s="165"/>
      <c r="P195" s="166" t="s">
        <v>173</v>
      </c>
      <c r="Q195" s="141">
        <v>28</v>
      </c>
      <c r="R195" s="6"/>
      <c r="S195" s="6"/>
      <c r="T195" s="166" t="s">
        <v>173</v>
      </c>
      <c r="U195" s="141">
        <v>32</v>
      </c>
      <c r="V195" s="6"/>
      <c r="W195" s="6"/>
      <c r="X195" s="6"/>
      <c r="Y195" s="35"/>
    </row>
    <row r="196" spans="1:29" ht="14.1" customHeight="1">
      <c r="A196" s="20">
        <v>52</v>
      </c>
      <c r="B196" s="71"/>
      <c r="C196" s="166" t="s">
        <v>245</v>
      </c>
      <c r="D196" s="355" t="str">
        <f t="shared" ref="D196:D200" si="33">IF(U185="","",U185)</f>
        <v/>
      </c>
      <c r="E196" s="345" t="str">
        <f t="shared" si="32"/>
        <v/>
      </c>
      <c r="F196" s="367" t="str">
        <f t="shared" si="32"/>
        <v/>
      </c>
      <c r="G196" s="72"/>
      <c r="H196" s="344" t="str">
        <f>IF(MAX(D192:F193,D199:F200)&gt;13,"Fail","Pass")</f>
        <v>Pass</v>
      </c>
      <c r="I196" s="72" t="s">
        <v>543</v>
      </c>
      <c r="J196" s="72"/>
      <c r="K196" s="72"/>
      <c r="L196" s="72"/>
      <c r="M196" s="73"/>
      <c r="O196" s="165"/>
      <c r="P196" s="166" t="s">
        <v>219</v>
      </c>
      <c r="Q196" s="141">
        <v>50</v>
      </c>
      <c r="R196" s="6"/>
      <c r="S196" s="6"/>
      <c r="T196" s="166" t="s">
        <v>219</v>
      </c>
      <c r="U196" s="141">
        <v>71</v>
      </c>
      <c r="V196" s="6"/>
      <c r="W196" s="6"/>
      <c r="X196" s="6"/>
      <c r="Y196" s="35"/>
    </row>
    <row r="197" spans="1:29" ht="14.1" customHeight="1">
      <c r="A197" s="20">
        <v>53</v>
      </c>
      <c r="B197" s="71"/>
      <c r="C197" s="166" t="s">
        <v>246</v>
      </c>
      <c r="D197" s="355" t="str">
        <f t="shared" si="33"/>
        <v/>
      </c>
      <c r="E197" s="345" t="str">
        <f t="shared" si="32"/>
        <v/>
      </c>
      <c r="F197" s="367" t="str">
        <f t="shared" si="32"/>
        <v/>
      </c>
      <c r="G197" s="72"/>
      <c r="H197" s="344" t="str">
        <f>IF(MAX(H192:M193)&gt;13,"Fail","Pass")</f>
        <v>Pass</v>
      </c>
      <c r="I197" s="72" t="s">
        <v>544</v>
      </c>
      <c r="J197" s="72"/>
      <c r="K197" s="72"/>
      <c r="L197" s="72"/>
      <c r="M197" s="73"/>
      <c r="O197" s="33"/>
      <c r="P197" s="72"/>
      <c r="Q197" s="791" t="s">
        <v>240</v>
      </c>
      <c r="R197" s="791"/>
      <c r="S197" s="791"/>
      <c r="T197" s="6"/>
      <c r="U197" s="791" t="s">
        <v>240</v>
      </c>
      <c r="V197" s="791"/>
      <c r="W197" s="791"/>
      <c r="X197" s="6"/>
      <c r="Y197" s="35"/>
    </row>
    <row r="198" spans="1:29" ht="14.1" customHeight="1" thickBot="1">
      <c r="A198" s="20">
        <v>54</v>
      </c>
      <c r="B198" s="71"/>
      <c r="C198" s="166" t="s">
        <v>247</v>
      </c>
      <c r="D198" s="356" t="str">
        <f t="shared" si="33"/>
        <v/>
      </c>
      <c r="E198" s="357" t="str">
        <f t="shared" si="32"/>
        <v/>
      </c>
      <c r="F198" s="368" t="str">
        <f t="shared" si="32"/>
        <v/>
      </c>
      <c r="G198" s="72"/>
      <c r="H198" s="344" t="str">
        <f>IF(OR(MAX(H194:M194)&gt;6.5,MAX(H195:M195)&gt;5),"Fail","Pass")</f>
        <v>Pass</v>
      </c>
      <c r="I198" s="72" t="s">
        <v>545</v>
      </c>
      <c r="J198" s="72"/>
      <c r="K198" s="72"/>
      <c r="L198" s="72"/>
      <c r="M198" s="73"/>
      <c r="O198" s="33"/>
      <c r="P198" s="72"/>
      <c r="Q198" s="601" t="s">
        <v>241</v>
      </c>
      <c r="R198" s="601" t="s">
        <v>242</v>
      </c>
      <c r="S198" s="111" t="s">
        <v>243</v>
      </c>
      <c r="T198" s="6"/>
      <c r="U198" s="601" t="s">
        <v>241</v>
      </c>
      <c r="V198" s="601" t="s">
        <v>242</v>
      </c>
      <c r="W198" s="111" t="s">
        <v>243</v>
      </c>
      <c r="X198" s="6"/>
      <c r="Y198" s="35"/>
    </row>
    <row r="199" spans="1:29" ht="14.1" customHeight="1">
      <c r="A199" s="20">
        <v>55</v>
      </c>
      <c r="B199" s="71"/>
      <c r="C199" s="166" t="s">
        <v>248</v>
      </c>
      <c r="D199" s="372" t="str">
        <f t="shared" si="33"/>
        <v/>
      </c>
      <c r="E199" s="373" t="str">
        <f t="shared" si="32"/>
        <v/>
      </c>
      <c r="F199" s="374" t="str">
        <f t="shared" si="32"/>
        <v/>
      </c>
      <c r="G199" s="5" t="s">
        <v>204</v>
      </c>
      <c r="H199" s="105" t="s">
        <v>250</v>
      </c>
      <c r="I199" s="72"/>
      <c r="J199" s="72"/>
      <c r="K199" s="72"/>
      <c r="L199" s="72"/>
      <c r="M199" s="73"/>
      <c r="O199" s="165"/>
      <c r="P199" s="166" t="s">
        <v>244</v>
      </c>
      <c r="Q199" s="167"/>
      <c r="R199" s="168"/>
      <c r="S199" s="169"/>
      <c r="T199" s="6"/>
      <c r="U199" s="167"/>
      <c r="V199" s="168"/>
      <c r="W199" s="169"/>
      <c r="X199" s="6"/>
      <c r="Y199" s="35"/>
    </row>
    <row r="200" spans="1:29" ht="14.1" customHeight="1" thickBot="1">
      <c r="A200" s="20">
        <v>56</v>
      </c>
      <c r="B200" s="71"/>
      <c r="C200" s="166" t="s">
        <v>249</v>
      </c>
      <c r="D200" s="356" t="str">
        <f t="shared" si="33"/>
        <v/>
      </c>
      <c r="E200" s="357" t="str">
        <f t="shared" si="32"/>
        <v/>
      </c>
      <c r="F200" s="368" t="str">
        <f t="shared" si="32"/>
        <v/>
      </c>
      <c r="G200" s="382"/>
      <c r="H200" s="105" t="s">
        <v>251</v>
      </c>
      <c r="I200" s="72"/>
      <c r="J200" s="72"/>
      <c r="K200" s="72"/>
      <c r="L200" s="72"/>
      <c r="M200" s="73"/>
      <c r="O200" s="165"/>
      <c r="P200" s="166" t="s">
        <v>245</v>
      </c>
      <c r="Q200" s="170"/>
      <c r="R200" s="171"/>
      <c r="S200" s="172"/>
      <c r="T200" s="6"/>
      <c r="U200" s="170"/>
      <c r="V200" s="171"/>
      <c r="W200" s="172"/>
      <c r="X200" s="6"/>
      <c r="Y200" s="35"/>
    </row>
    <row r="201" spans="1:29" ht="14.1" customHeight="1">
      <c r="A201" s="20">
        <v>57</v>
      </c>
      <c r="B201" s="71"/>
      <c r="C201" s="72"/>
      <c r="D201" s="72"/>
      <c r="E201" s="197"/>
      <c r="F201" s="72"/>
      <c r="G201" s="5"/>
      <c r="H201" s="105" t="s">
        <v>259</v>
      </c>
      <c r="I201" s="72"/>
      <c r="J201" s="72"/>
      <c r="K201" s="72"/>
      <c r="L201" s="72"/>
      <c r="M201" s="73"/>
      <c r="O201" s="165"/>
      <c r="P201" s="166" t="s">
        <v>246</v>
      </c>
      <c r="Q201" s="170"/>
      <c r="R201" s="171"/>
      <c r="S201" s="172"/>
      <c r="T201" s="6"/>
      <c r="U201" s="170"/>
      <c r="V201" s="171"/>
      <c r="W201" s="172"/>
      <c r="X201" s="72"/>
      <c r="Y201" s="35"/>
    </row>
    <row r="202" spans="1:29" ht="14.1" customHeight="1" thickBot="1">
      <c r="A202" s="20">
        <v>58</v>
      </c>
      <c r="B202" s="383"/>
      <c r="C202" s="384"/>
      <c r="D202" s="384"/>
      <c r="E202" s="384"/>
      <c r="F202" s="384"/>
      <c r="G202" s="378"/>
      <c r="H202" s="379" t="s">
        <v>260</v>
      </c>
      <c r="I202" s="384"/>
      <c r="J202" s="384"/>
      <c r="K202" s="384"/>
      <c r="L202" s="384"/>
      <c r="M202" s="385"/>
      <c r="O202" s="165"/>
      <c r="P202" s="166" t="s">
        <v>247</v>
      </c>
      <c r="Q202" s="174"/>
      <c r="R202" s="175"/>
      <c r="S202" s="176"/>
      <c r="T202" s="6"/>
      <c r="U202" s="174"/>
      <c r="V202" s="175"/>
      <c r="W202" s="176"/>
      <c r="X202" s="72"/>
      <c r="Y202" s="35"/>
    </row>
    <row r="203" spans="1:29" ht="14.1" customHeight="1" thickBot="1">
      <c r="A203" s="20">
        <v>59</v>
      </c>
      <c r="B203" s="71"/>
      <c r="C203" s="150" t="s">
        <v>261</v>
      </c>
      <c r="D203" s="72"/>
      <c r="E203" s="72"/>
      <c r="F203" s="72"/>
      <c r="G203" s="72"/>
      <c r="H203" s="72"/>
      <c r="I203" s="72"/>
      <c r="J203" s="72"/>
      <c r="K203" s="72"/>
      <c r="L203" s="72"/>
      <c r="M203" s="73"/>
      <c r="O203" s="165"/>
      <c r="P203" s="166" t="s">
        <v>248</v>
      </c>
      <c r="Q203" s="208" t="str">
        <f>IF(OR(Q199="",Q200=""),"",ABS(Q199)+ABS(Q200))</f>
        <v/>
      </c>
      <c r="R203" s="209" t="str">
        <f>IF(OR(R199="",R200=""),"",ABS(R199)+ABS(R200))</f>
        <v/>
      </c>
      <c r="S203" s="180" t="str">
        <f>IF(OR(S199="",S200=""),"",ABS(S199)+ABS(S200))</f>
        <v/>
      </c>
      <c r="U203" s="208" t="str">
        <f>IF(OR(U199="",U200=""),"",ABS(U199)+ABS(U200))</f>
        <v/>
      </c>
      <c r="V203" s="209" t="str">
        <f>IF(OR(V199="",V200=""),"",ABS(V199)+ABS(V200))</f>
        <v/>
      </c>
      <c r="W203" s="180" t="str">
        <f>IF(OR(W199="",W200=""),"",ABS(W199)+ABS(W200))</f>
        <v/>
      </c>
      <c r="Y203" s="35"/>
    </row>
    <row r="204" spans="1:29" ht="14.1" customHeight="1" thickBot="1">
      <c r="A204" s="20">
        <v>60</v>
      </c>
      <c r="B204" s="71"/>
      <c r="C204" s="166" t="s">
        <v>51</v>
      </c>
      <c r="D204" s="400" t="str">
        <f t="shared" ref="D204:E207" si="34">IF(Q213="","",Q213)</f>
        <v>Mo/Mo</v>
      </c>
      <c r="E204" s="401" t="str">
        <f t="shared" si="34"/>
        <v>W/Rh</v>
      </c>
      <c r="F204" s="72"/>
      <c r="G204" s="72"/>
      <c r="H204" s="72"/>
      <c r="I204" s="72"/>
      <c r="J204" s="72"/>
      <c r="K204" s="72"/>
      <c r="L204" s="72"/>
      <c r="M204" s="73"/>
      <c r="O204" s="165"/>
      <c r="P204" s="166" t="s">
        <v>249</v>
      </c>
      <c r="Q204" s="211" t="str">
        <f>IF(OR(Q201="",Q202=""),"",ABS(Q201)+ABS(Q202))</f>
        <v/>
      </c>
      <c r="R204" s="212" t="str">
        <f>IF(OR(R201="",R202=""),"",ABS(R201)+ABS(R202))</f>
        <v/>
      </c>
      <c r="S204" s="181" t="str">
        <f>IF(OR(S201="",S202=""),"",ABS(S201)+ABS(S202))</f>
        <v/>
      </c>
      <c r="U204" s="211" t="str">
        <f>IF(OR(U201="",U202=""),"",ABS(U201)+ABS(U202))</f>
        <v/>
      </c>
      <c r="V204" s="212" t="str">
        <f>IF(OR(V201="",V202=""),"",ABS(V201)+ABS(V202))</f>
        <v/>
      </c>
      <c r="W204" s="181" t="str">
        <f>IF(OR(W201="",W202=""),"",ABS(W201)+ABS(W202))</f>
        <v/>
      </c>
      <c r="Y204" s="35"/>
    </row>
    <row r="205" spans="1:29" ht="14.1" customHeight="1" thickBot="1">
      <c r="A205" s="20">
        <v>61</v>
      </c>
      <c r="B205" s="71"/>
      <c r="C205" s="166" t="s">
        <v>173</v>
      </c>
      <c r="D205" s="402" t="str">
        <f t="shared" si="34"/>
        <v/>
      </c>
      <c r="E205" s="403" t="str">
        <f t="shared" si="34"/>
        <v/>
      </c>
      <c r="F205" s="72"/>
      <c r="G205" s="166" t="s">
        <v>218</v>
      </c>
      <c r="H205" s="148" t="str">
        <f>IF(AND(Q217="",R217=""),"",IF(OR(Q217="Fail",R217="Fail"),"Fail","Pass"))</f>
        <v/>
      </c>
      <c r="I205" s="72"/>
      <c r="J205" s="72"/>
      <c r="K205" s="72"/>
      <c r="L205" s="72"/>
      <c r="M205" s="73"/>
      <c r="O205" s="165"/>
      <c r="P205" s="166" t="s">
        <v>256</v>
      </c>
      <c r="Q205" s="167"/>
      <c r="R205" s="168"/>
      <c r="S205" s="169"/>
      <c r="U205" s="167"/>
      <c r="V205" s="168"/>
      <c r="W205" s="169"/>
      <c r="Y205" s="35"/>
    </row>
    <row r="206" spans="1:29" ht="14.1" customHeight="1" thickBot="1">
      <c r="A206" s="20">
        <v>62</v>
      </c>
      <c r="B206" s="71"/>
      <c r="C206" s="166" t="s">
        <v>219</v>
      </c>
      <c r="D206" s="402" t="str">
        <f t="shared" si="34"/>
        <v/>
      </c>
      <c r="E206" s="403" t="str">
        <f t="shared" si="34"/>
        <v/>
      </c>
      <c r="F206" s="72"/>
      <c r="G206" s="5"/>
      <c r="H206" s="197"/>
      <c r="I206" s="72"/>
      <c r="J206" s="72"/>
      <c r="K206" s="72"/>
      <c r="L206" s="72"/>
      <c r="M206" s="73"/>
      <c r="O206" s="190"/>
      <c r="P206" s="166" t="s">
        <v>258</v>
      </c>
      <c r="Q206" s="191"/>
      <c r="R206" s="192"/>
      <c r="S206" s="193"/>
      <c r="U206" s="191"/>
      <c r="V206" s="192"/>
      <c r="W206" s="193"/>
      <c r="Y206" s="35"/>
    </row>
    <row r="207" spans="1:29" ht="14.1" customHeight="1" thickBot="1">
      <c r="A207" s="20">
        <v>63</v>
      </c>
      <c r="B207" s="71"/>
      <c r="C207" s="166" t="s">
        <v>263</v>
      </c>
      <c r="D207" s="404" t="str">
        <f t="shared" si="34"/>
        <v/>
      </c>
      <c r="E207" s="405" t="str">
        <f t="shared" si="34"/>
        <v/>
      </c>
      <c r="F207" s="72"/>
      <c r="G207" s="72"/>
      <c r="H207" s="72"/>
      <c r="I207" s="72"/>
      <c r="J207" s="72"/>
      <c r="K207" s="72"/>
      <c r="L207" s="72"/>
      <c r="M207" s="73"/>
      <c r="O207" s="143"/>
      <c r="P207" s="117" t="s">
        <v>204</v>
      </c>
      <c r="Q207" s="142" t="s">
        <v>250</v>
      </c>
      <c r="R207" s="6"/>
      <c r="Y207" s="35"/>
    </row>
    <row r="208" spans="1:29" ht="14.1" customHeight="1">
      <c r="A208" s="20">
        <v>64</v>
      </c>
      <c r="B208" s="71"/>
      <c r="C208" s="5" t="s">
        <v>204</v>
      </c>
      <c r="D208" s="105" t="str">
        <f>Q218</f>
        <v>Limiting system resolution must be 6 lp/mm or higher</v>
      </c>
      <c r="E208" s="72"/>
      <c r="F208" s="72"/>
      <c r="G208" s="72"/>
      <c r="H208" s="72"/>
      <c r="I208" s="72"/>
      <c r="J208" s="72"/>
      <c r="K208" s="72"/>
      <c r="L208" s="72"/>
      <c r="M208" s="73"/>
      <c r="O208" s="33"/>
      <c r="P208" s="30"/>
      <c r="Q208" s="142" t="s">
        <v>251</v>
      </c>
      <c r="R208" s="6"/>
      <c r="Y208" s="35"/>
      <c r="AA208" s="601"/>
      <c r="AB208" s="601"/>
      <c r="AC208" s="601"/>
    </row>
    <row r="209" spans="1:29" ht="14.1" customHeight="1">
      <c r="A209" s="20">
        <v>65</v>
      </c>
      <c r="B209" s="71"/>
      <c r="C209" s="72"/>
      <c r="D209" s="72"/>
      <c r="E209" s="72"/>
      <c r="F209" s="72"/>
      <c r="G209" s="72"/>
      <c r="H209" s="72"/>
      <c r="I209" s="72"/>
      <c r="J209" s="72"/>
      <c r="K209" s="72"/>
      <c r="L209" s="72"/>
      <c r="M209" s="73"/>
      <c r="O209" s="33"/>
      <c r="P209" s="6"/>
      <c r="Q209" s="195" t="s">
        <v>259</v>
      </c>
      <c r="R209" s="6"/>
      <c r="Y209" s="35"/>
      <c r="AA209" s="601"/>
      <c r="AB209" s="601"/>
      <c r="AC209" s="601"/>
    </row>
    <row r="210" spans="1:29" ht="14.1" customHeight="1">
      <c r="A210" s="20">
        <v>66</v>
      </c>
      <c r="B210" s="71"/>
      <c r="C210" s="72"/>
      <c r="D210" s="72"/>
      <c r="E210" s="72"/>
      <c r="F210" s="72"/>
      <c r="G210" s="72"/>
      <c r="H210" s="72"/>
      <c r="I210" s="72"/>
      <c r="J210" s="72"/>
      <c r="K210" s="72"/>
      <c r="L210" s="72"/>
      <c r="M210" s="73"/>
      <c r="O210" s="33"/>
      <c r="Q210" s="142" t="s">
        <v>260</v>
      </c>
      <c r="R210" s="6"/>
      <c r="Y210" s="35"/>
      <c r="AA210" s="601"/>
      <c r="AB210" s="601"/>
      <c r="AC210" s="601"/>
    </row>
    <row r="211" spans="1:29" ht="14.1" customHeight="1" thickBot="1">
      <c r="A211" s="20">
        <v>67</v>
      </c>
      <c r="B211" s="71"/>
      <c r="C211" s="72"/>
      <c r="D211" s="72"/>
      <c r="E211" s="72"/>
      <c r="F211" s="72"/>
      <c r="G211" s="72"/>
      <c r="H211" s="72"/>
      <c r="I211" s="72"/>
      <c r="J211" s="72"/>
      <c r="K211" s="72"/>
      <c r="L211" s="72"/>
      <c r="M211" s="73"/>
      <c r="O211" s="43"/>
      <c r="P211" s="196"/>
      <c r="Q211" s="196"/>
      <c r="R211" s="44"/>
      <c r="S211" s="44"/>
      <c r="T211" s="44"/>
      <c r="U211" s="44"/>
      <c r="V211" s="44"/>
      <c r="W211" s="44"/>
      <c r="X211" s="44"/>
      <c r="Y211" s="45"/>
      <c r="AA211" s="601"/>
      <c r="AB211" s="601"/>
      <c r="AC211" s="601"/>
    </row>
    <row r="212" spans="1:29" ht="14.1" customHeight="1">
      <c r="A212" s="20">
        <v>68</v>
      </c>
      <c r="B212" s="71"/>
      <c r="C212" s="72"/>
      <c r="D212" s="72"/>
      <c r="E212" s="72"/>
      <c r="F212" s="72"/>
      <c r="G212" s="72"/>
      <c r="H212" s="72"/>
      <c r="I212" s="72"/>
      <c r="J212" s="72"/>
      <c r="K212" s="72"/>
      <c r="L212" s="72"/>
      <c r="M212" s="73"/>
      <c r="O212" s="143" t="s">
        <v>261</v>
      </c>
      <c r="Y212" s="35"/>
      <c r="AA212" s="601"/>
      <c r="AB212" s="601"/>
      <c r="AC212" s="601"/>
    </row>
    <row r="213" spans="1:29" ht="14.1" customHeight="1">
      <c r="A213" s="20">
        <v>69</v>
      </c>
      <c r="B213" s="71"/>
      <c r="C213" s="72"/>
      <c r="D213" s="72"/>
      <c r="E213" s="72"/>
      <c r="F213" s="72"/>
      <c r="G213" s="72"/>
      <c r="H213" s="72"/>
      <c r="I213" s="72"/>
      <c r="J213" s="72"/>
      <c r="K213" s="72"/>
      <c r="L213" s="72"/>
      <c r="M213" s="73"/>
      <c r="O213" s="33"/>
      <c r="P213" s="38" t="s">
        <v>95</v>
      </c>
      <c r="Q213" s="19" t="s">
        <v>237</v>
      </c>
      <c r="R213" s="19" t="s">
        <v>238</v>
      </c>
      <c r="Y213" s="35"/>
      <c r="AA213" s="601"/>
      <c r="AB213" s="601"/>
      <c r="AC213" s="601"/>
    </row>
    <row r="214" spans="1:29" ht="14.1" customHeight="1" thickBot="1">
      <c r="A214" s="20">
        <v>70</v>
      </c>
      <c r="B214" s="84"/>
      <c r="C214" s="85"/>
      <c r="D214" s="85"/>
      <c r="E214" s="85"/>
      <c r="F214" s="85"/>
      <c r="G214" s="85"/>
      <c r="H214" s="85"/>
      <c r="I214" s="85"/>
      <c r="J214" s="85"/>
      <c r="K214" s="85"/>
      <c r="L214" s="85"/>
      <c r="M214" s="86"/>
      <c r="O214" s="33"/>
      <c r="P214" s="38" t="s">
        <v>173</v>
      </c>
      <c r="Q214" s="149"/>
      <c r="R214" s="149"/>
      <c r="Y214" s="35"/>
      <c r="AA214" s="601"/>
      <c r="AB214" s="601"/>
      <c r="AC214" s="601"/>
    </row>
    <row r="215" spans="1:29" ht="14.1" customHeight="1" thickTop="1">
      <c r="A215" s="20">
        <v>71</v>
      </c>
      <c r="C215" s="113" t="s">
        <v>11</v>
      </c>
      <c r="D215" s="386" t="str">
        <f>IF($P$7="","",$P$7)</f>
        <v/>
      </c>
      <c r="E215" s="30"/>
      <c r="F215" s="30"/>
      <c r="G215" s="30"/>
      <c r="H215" s="30"/>
      <c r="I215" s="30"/>
      <c r="J215" s="30"/>
      <c r="K215" s="30"/>
      <c r="L215" s="113" t="s">
        <v>12</v>
      </c>
      <c r="M215" s="387" t="str">
        <f>IF($X$7="","",$X$7)</f>
        <v>Eugene Mah</v>
      </c>
      <c r="O215" s="33"/>
      <c r="P215" s="38" t="s">
        <v>219</v>
      </c>
      <c r="Q215" s="149"/>
      <c r="R215" s="149"/>
      <c r="Y215" s="35"/>
      <c r="AA215" s="601"/>
      <c r="AB215" s="601"/>
      <c r="AC215" s="601"/>
    </row>
    <row r="216" spans="1:29" ht="14.1" customHeight="1">
      <c r="A216" s="20">
        <v>72</v>
      </c>
      <c r="C216" s="113" t="s">
        <v>121</v>
      </c>
      <c r="D216" s="387" t="str">
        <f>IF($R$14="","",$R$14)</f>
        <v/>
      </c>
      <c r="E216" s="30"/>
      <c r="F216" s="30"/>
      <c r="G216" s="30"/>
      <c r="H216" s="30"/>
      <c r="I216" s="30"/>
      <c r="J216" s="30"/>
      <c r="K216" s="30"/>
      <c r="L216" s="113" t="s">
        <v>37</v>
      </c>
      <c r="M216" s="387" t="str">
        <f>IF($R$13="","",$R$13)</f>
        <v/>
      </c>
      <c r="O216" s="33"/>
      <c r="P216" s="38" t="s">
        <v>263</v>
      </c>
      <c r="Q216" s="149"/>
      <c r="R216" s="149"/>
      <c r="Y216" s="35"/>
      <c r="AA216" s="601"/>
      <c r="AB216" s="601"/>
      <c r="AC216" s="601"/>
    </row>
    <row r="217" spans="1:29" ht="14.1" customHeight="1">
      <c r="A217" s="20">
        <v>1</v>
      </c>
      <c r="M217" s="116" t="str">
        <f>$H$2</f>
        <v>Medical University of South Carolina</v>
      </c>
      <c r="O217" s="33"/>
      <c r="P217" s="38" t="s">
        <v>218</v>
      </c>
      <c r="Q217" s="14" t="str">
        <f>IF(Q216="","",IF(Q216&gt;=7,"Pass","Fail"))</f>
        <v/>
      </c>
      <c r="R217" s="14" t="str">
        <f>IF(R216="","",IF(R216&gt;=7,"Pass","Fail"))</f>
        <v/>
      </c>
      <c r="Y217" s="35"/>
    </row>
    <row r="218" spans="1:29" ht="14.1" customHeight="1" thickBot="1">
      <c r="A218" s="20">
        <v>2</v>
      </c>
      <c r="H218" s="54" t="s">
        <v>73</v>
      </c>
      <c r="M218" s="117" t="str">
        <f>$H$5</f>
        <v>Mammography System Compliance Inspection</v>
      </c>
      <c r="O218" s="33"/>
      <c r="P218" s="5" t="s">
        <v>204</v>
      </c>
      <c r="Q218" s="197" t="s">
        <v>264</v>
      </c>
      <c r="R218" s="72"/>
      <c r="S218" s="72"/>
      <c r="T218" s="72"/>
      <c r="U218" s="72"/>
      <c r="V218" s="72"/>
      <c r="W218" s="72"/>
      <c r="X218" s="72"/>
      <c r="Y218" s="35"/>
    </row>
    <row r="219" spans="1:29" ht="14.1" customHeight="1" thickTop="1" thickBot="1">
      <c r="A219" s="20">
        <v>3</v>
      </c>
      <c r="B219" s="62"/>
      <c r="C219" s="64" t="s">
        <v>265</v>
      </c>
      <c r="D219" s="63"/>
      <c r="E219" s="63"/>
      <c r="F219" s="63"/>
      <c r="G219" s="63"/>
      <c r="H219" s="63"/>
      <c r="I219" s="63"/>
      <c r="J219" s="63"/>
      <c r="K219" s="63"/>
      <c r="L219" s="63"/>
      <c r="M219" s="65"/>
      <c r="O219" s="43"/>
      <c r="P219" s="44"/>
      <c r="Q219" s="44"/>
      <c r="R219" s="44"/>
      <c r="S219" s="44"/>
      <c r="T219" s="44"/>
      <c r="U219" s="44"/>
      <c r="V219" s="44"/>
      <c r="W219" s="44"/>
      <c r="X219" s="44"/>
      <c r="Y219" s="45"/>
    </row>
    <row r="220" spans="1:29" ht="14.1" customHeight="1">
      <c r="A220" s="20">
        <v>4</v>
      </c>
      <c r="B220" s="71"/>
      <c r="C220" s="166" t="s">
        <v>266</v>
      </c>
      <c r="D220" s="144" t="str">
        <f>IF(P221="","",P221)</f>
        <v/>
      </c>
      <c r="E220" s="72"/>
      <c r="F220" s="166" t="s">
        <v>267</v>
      </c>
      <c r="G220" s="144" t="str">
        <f>IF(S221="","",S221)</f>
        <v/>
      </c>
      <c r="H220" s="72"/>
      <c r="I220" s="72" t="s">
        <v>95</v>
      </c>
      <c r="J220" s="144" t="str">
        <f>IF(V221="","",V221)</f>
        <v>W/Rh</v>
      </c>
      <c r="K220" s="72"/>
      <c r="L220" s="72"/>
      <c r="M220" s="73"/>
      <c r="O220" s="143" t="s">
        <v>265</v>
      </c>
      <c r="Y220" s="35"/>
    </row>
    <row r="221" spans="1:29" ht="14.1" customHeight="1">
      <c r="A221" s="20">
        <v>5</v>
      </c>
      <c r="B221" s="71"/>
      <c r="C221" s="111" t="s">
        <v>70</v>
      </c>
      <c r="D221" s="72"/>
      <c r="E221" s="72"/>
      <c r="F221" s="72"/>
      <c r="G221" s="72"/>
      <c r="H221" s="111"/>
      <c r="I221" s="72"/>
      <c r="J221" s="342"/>
      <c r="K221" s="72"/>
      <c r="L221" s="72"/>
      <c r="M221" s="73"/>
      <c r="O221" s="33" t="s">
        <v>266</v>
      </c>
      <c r="P221" s="141"/>
      <c r="R221" s="38" t="s">
        <v>267</v>
      </c>
      <c r="S221" s="141"/>
      <c r="U221" s="24" t="s">
        <v>95</v>
      </c>
      <c r="V221" s="141" t="s">
        <v>238</v>
      </c>
      <c r="Y221" s="35"/>
    </row>
    <row r="222" spans="1:29" ht="14.1" customHeight="1" thickBot="1">
      <c r="A222" s="20">
        <v>6</v>
      </c>
      <c r="B222" s="71"/>
      <c r="C222" s="111" t="s">
        <v>268</v>
      </c>
      <c r="D222" s="111" t="s">
        <v>517</v>
      </c>
      <c r="E222" s="111" t="s">
        <v>269</v>
      </c>
      <c r="F222" s="111" t="s">
        <v>72</v>
      </c>
      <c r="G222" s="111" t="s">
        <v>270</v>
      </c>
      <c r="H222" s="111" t="s">
        <v>271</v>
      </c>
      <c r="I222" s="111"/>
      <c r="J222" s="342"/>
      <c r="K222" s="72"/>
      <c r="L222" s="72"/>
      <c r="M222" s="73"/>
      <c r="O222" s="33"/>
      <c r="P222" s="601" t="s">
        <v>70</v>
      </c>
      <c r="U222" s="601"/>
      <c r="W222" s="6"/>
      <c r="Y222" s="35"/>
    </row>
    <row r="223" spans="1:29" ht="14.1" customHeight="1" thickBot="1">
      <c r="A223" s="20">
        <v>7</v>
      </c>
      <c r="B223" s="71"/>
      <c r="C223" s="400">
        <f t="shared" ref="C223:H226" si="35">IF(P224="","",P224)</f>
        <v>2</v>
      </c>
      <c r="D223" s="406" t="str">
        <f t="shared" si="35"/>
        <v/>
      </c>
      <c r="E223" s="406" t="str">
        <f t="shared" si="35"/>
        <v/>
      </c>
      <c r="F223" s="406" t="str">
        <f t="shared" si="35"/>
        <v/>
      </c>
      <c r="G223" s="406" t="str">
        <f t="shared" si="35"/>
        <v/>
      </c>
      <c r="H223" s="407" t="str">
        <f t="shared" si="35"/>
        <v/>
      </c>
      <c r="I223" s="343"/>
      <c r="J223" s="166" t="s">
        <v>272</v>
      </c>
      <c r="K223" s="310" t="str">
        <f>IF(X224="","",X224)</f>
        <v/>
      </c>
      <c r="L223" s="72"/>
      <c r="M223" s="73"/>
      <c r="O223" s="33"/>
      <c r="P223" s="601" t="s">
        <v>268</v>
      </c>
      <c r="Q223" s="601" t="s">
        <v>517</v>
      </c>
      <c r="R223" s="601" t="s">
        <v>269</v>
      </c>
      <c r="S223" s="601" t="s">
        <v>72</v>
      </c>
      <c r="T223" s="601" t="s">
        <v>270</v>
      </c>
      <c r="U223" s="601" t="s">
        <v>271</v>
      </c>
      <c r="V223" s="6"/>
      <c r="W223" s="6"/>
      <c r="Y223" s="35"/>
    </row>
    <row r="224" spans="1:29" ht="14.1" customHeight="1" thickBot="1">
      <c r="A224" s="20">
        <v>8</v>
      </c>
      <c r="B224" s="71"/>
      <c r="C224" s="402">
        <f t="shared" si="35"/>
        <v>4</v>
      </c>
      <c r="D224" s="14" t="str">
        <f t="shared" si="35"/>
        <v/>
      </c>
      <c r="E224" s="14" t="str">
        <f t="shared" si="35"/>
        <v/>
      </c>
      <c r="F224" s="14" t="str">
        <f t="shared" si="35"/>
        <v/>
      </c>
      <c r="G224" s="14" t="str">
        <f t="shared" si="35"/>
        <v/>
      </c>
      <c r="H224" s="408" t="str">
        <f t="shared" si="35"/>
        <v/>
      </c>
      <c r="I224" s="343"/>
      <c r="J224" s="166" t="s">
        <v>273</v>
      </c>
      <c r="K224" s="310" t="str">
        <f>IF(X225="","",X225)</f>
        <v/>
      </c>
      <c r="L224" s="72"/>
      <c r="M224" s="73"/>
      <c r="O224" s="33"/>
      <c r="P224" s="198">
        <v>2</v>
      </c>
      <c r="Q224" s="199"/>
      <c r="R224" s="200"/>
      <c r="S224" s="200"/>
      <c r="T224" s="200"/>
      <c r="U224" s="187" t="str">
        <f>IF(OR(T224="",$X$224=""),"",(T224-$X$224)/$X$224)</f>
        <v/>
      </c>
      <c r="V224" s="6"/>
      <c r="W224" s="38" t="s">
        <v>272</v>
      </c>
      <c r="X224" s="201" t="str">
        <f>IF(T224="","",AVERAGE(T224:T231))</f>
        <v/>
      </c>
      <c r="Y224" s="35"/>
    </row>
    <row r="225" spans="1:27" ht="14.1" customHeight="1" thickBot="1">
      <c r="A225" s="20">
        <v>9</v>
      </c>
      <c r="B225" s="71"/>
      <c r="C225" s="402">
        <f t="shared" si="35"/>
        <v>6</v>
      </c>
      <c r="D225" s="14" t="str">
        <f t="shared" si="35"/>
        <v/>
      </c>
      <c r="E225" s="14" t="str">
        <f t="shared" si="35"/>
        <v/>
      </c>
      <c r="F225" s="14" t="str">
        <f t="shared" si="35"/>
        <v/>
      </c>
      <c r="G225" s="14" t="str">
        <f t="shared" si="35"/>
        <v/>
      </c>
      <c r="H225" s="408" t="str">
        <f t="shared" si="35"/>
        <v/>
      </c>
      <c r="I225" s="343"/>
      <c r="J225" s="166" t="s">
        <v>274</v>
      </c>
      <c r="K225" s="411" t="str">
        <f>IF(X226="","",X226)</f>
        <v/>
      </c>
      <c r="L225" s="72"/>
      <c r="M225" s="73"/>
      <c r="O225" s="33"/>
      <c r="P225" s="202">
        <v>4</v>
      </c>
      <c r="Q225" s="203"/>
      <c r="R225" s="149"/>
      <c r="S225" s="149"/>
      <c r="T225" s="149"/>
      <c r="U225" s="186" t="str">
        <f>IF(OR(T225="",$X$224=""),"",(T225-$X$224)/$X$224)</f>
        <v/>
      </c>
      <c r="V225" s="6"/>
      <c r="W225" s="38" t="s">
        <v>273</v>
      </c>
      <c r="X225" s="201" t="str">
        <f>IF(T224="","",_xlfn.STDEV.S(T224:T227))</f>
        <v/>
      </c>
      <c r="Y225" s="35"/>
    </row>
    <row r="226" spans="1:27" ht="14.1" customHeight="1" thickBot="1">
      <c r="A226" s="20">
        <v>10</v>
      </c>
      <c r="B226" s="71"/>
      <c r="C226" s="404">
        <f t="shared" si="35"/>
        <v>8</v>
      </c>
      <c r="D226" s="409" t="str">
        <f t="shared" si="35"/>
        <v/>
      </c>
      <c r="E226" s="409" t="str">
        <f t="shared" si="35"/>
        <v/>
      </c>
      <c r="F226" s="409" t="str">
        <f t="shared" si="35"/>
        <v/>
      </c>
      <c r="G226" s="409" t="str">
        <f t="shared" si="35"/>
        <v/>
      </c>
      <c r="H226" s="410" t="str">
        <f t="shared" si="35"/>
        <v/>
      </c>
      <c r="I226" s="343"/>
      <c r="J226" s="72" t="s">
        <v>218</v>
      </c>
      <c r="K226" s="388" t="str">
        <f>IF(H223="","",IF(AND(H223&lt;0.1,H224&lt;0.1,H225&lt;0.1,H226&lt;0.1,K225&lt;0.5),"Pass","Fail"))</f>
        <v/>
      </c>
      <c r="L226" s="72"/>
      <c r="M226" s="73"/>
      <c r="O226" s="33"/>
      <c r="P226" s="202">
        <v>6</v>
      </c>
      <c r="Q226" s="203"/>
      <c r="R226" s="149"/>
      <c r="S226" s="149"/>
      <c r="T226" s="149"/>
      <c r="U226" s="186" t="str">
        <f>IF(OR(T226="",$X$224=""),"",(T226-$X$224)/$X$224)</f>
        <v/>
      </c>
      <c r="V226" s="6"/>
      <c r="W226" s="38" t="s">
        <v>274</v>
      </c>
      <c r="X226" s="204" t="str">
        <f>IF(OR(X224="",X225=""),"",X225/X224)</f>
        <v/>
      </c>
      <c r="Y226" s="35"/>
    </row>
    <row r="227" spans="1:27" ht="14.1" customHeight="1" thickBot="1">
      <c r="A227" s="20">
        <v>11</v>
      </c>
      <c r="B227" s="71"/>
      <c r="C227" s="5" t="s">
        <v>204</v>
      </c>
      <c r="D227" s="105" t="s">
        <v>277</v>
      </c>
      <c r="E227" s="111"/>
      <c r="F227" s="111"/>
      <c r="G227" s="111"/>
      <c r="H227" s="111"/>
      <c r="I227" s="343"/>
      <c r="J227" s="342"/>
      <c r="K227" s="72"/>
      <c r="L227" s="72"/>
      <c r="M227" s="73"/>
      <c r="O227" s="33"/>
      <c r="P227" s="205">
        <v>8</v>
      </c>
      <c r="Q227" s="206"/>
      <c r="R227" s="207"/>
      <c r="S227" s="207"/>
      <c r="T227" s="207"/>
      <c r="U227" s="189" t="str">
        <f>IF(OR(T227="",$X$224=""),"",(T227-$X$224)/$X$224)</f>
        <v/>
      </c>
      <c r="V227" s="6"/>
      <c r="W227" s="6"/>
      <c r="Y227" s="35"/>
    </row>
    <row r="228" spans="1:27" ht="14.1" customHeight="1" thickBot="1">
      <c r="A228" s="20">
        <v>12</v>
      </c>
      <c r="B228" s="71"/>
      <c r="C228" s="111"/>
      <c r="D228" s="448" t="s">
        <v>278</v>
      </c>
      <c r="E228" s="111"/>
      <c r="F228" s="111"/>
      <c r="G228" s="111"/>
      <c r="H228" s="111"/>
      <c r="I228" s="343"/>
      <c r="J228" s="342"/>
      <c r="K228" s="72"/>
      <c r="L228" s="72"/>
      <c r="M228" s="73"/>
      <c r="O228" s="33"/>
      <c r="P228" s="117" t="s">
        <v>204</v>
      </c>
      <c r="Q228" s="142" t="s">
        <v>277</v>
      </c>
      <c r="S228" s="6"/>
      <c r="T228" s="6"/>
      <c r="W228" s="6"/>
      <c r="Y228" s="35"/>
    </row>
    <row r="229" spans="1:27" ht="14.1" customHeight="1" thickBot="1">
      <c r="A229" s="20">
        <v>13</v>
      </c>
      <c r="B229" s="71"/>
      <c r="C229" s="388" t="str">
        <f>IF(O230="","TBD",IF(O230=1,"YES",IF(O230=3,"NA","")))</f>
        <v>YES</v>
      </c>
      <c r="D229" s="72" t="s">
        <v>279</v>
      </c>
      <c r="E229" s="111"/>
      <c r="F229" s="111"/>
      <c r="G229" s="111"/>
      <c r="H229" s="111"/>
      <c r="I229" s="111"/>
      <c r="J229" s="343"/>
      <c r="K229" s="342"/>
      <c r="L229" s="72"/>
      <c r="M229" s="73"/>
      <c r="O229" s="33"/>
      <c r="P229" s="6"/>
      <c r="Q229" s="195" t="s">
        <v>278</v>
      </c>
      <c r="S229" s="6"/>
      <c r="T229" s="6"/>
      <c r="W229" s="6"/>
      <c r="Y229" s="35"/>
    </row>
    <row r="230" spans="1:27" ht="14.1" customHeight="1" thickBot="1">
      <c r="A230" s="20">
        <v>14</v>
      </c>
      <c r="B230" s="71"/>
      <c r="C230" s="388" t="str">
        <f>IF(O231="","TBD",IF(O231=1,"YES",IF(O231=3,"NA","")))</f>
        <v>YES</v>
      </c>
      <c r="D230" s="72" t="s">
        <v>280</v>
      </c>
      <c r="E230" s="111"/>
      <c r="F230" s="111"/>
      <c r="G230" s="111"/>
      <c r="H230" s="111"/>
      <c r="I230" s="111"/>
      <c r="J230" s="343"/>
      <c r="K230" s="342"/>
      <c r="L230" s="72"/>
      <c r="M230" s="73"/>
      <c r="O230" s="100">
        <v>1</v>
      </c>
      <c r="P230" s="24" t="s">
        <v>279</v>
      </c>
      <c r="Q230" s="6"/>
      <c r="R230" s="6"/>
      <c r="S230" s="6"/>
      <c r="T230" s="6"/>
      <c r="U230" s="6"/>
      <c r="V230" s="6"/>
      <c r="W230" s="6"/>
      <c r="Y230" s="35"/>
    </row>
    <row r="231" spans="1:27" ht="14.1" customHeight="1" thickBot="1">
      <c r="A231" s="20">
        <v>15</v>
      </c>
      <c r="B231" s="383"/>
      <c r="C231" s="384"/>
      <c r="D231" s="384"/>
      <c r="E231" s="384"/>
      <c r="F231" s="384"/>
      <c r="G231" s="442"/>
      <c r="H231" s="443"/>
      <c r="I231" s="384"/>
      <c r="J231" s="384"/>
      <c r="K231" s="444"/>
      <c r="L231" s="384"/>
      <c r="M231" s="385"/>
      <c r="O231" s="100">
        <v>1</v>
      </c>
      <c r="P231" s="24" t="s">
        <v>280</v>
      </c>
      <c r="Q231" s="6"/>
      <c r="R231" s="6"/>
      <c r="S231" s="6"/>
      <c r="T231" s="6"/>
      <c r="U231" s="6"/>
      <c r="V231" s="6" t="str">
        <f>IF(OR(T231="",$X$224=""),"",(T231-$X$224)/$X$224)</f>
        <v/>
      </c>
      <c r="W231" s="6"/>
      <c r="Y231" s="35"/>
    </row>
    <row r="232" spans="1:27" ht="14.1" customHeight="1">
      <c r="A232" s="20">
        <v>16</v>
      </c>
      <c r="B232" s="71"/>
      <c r="C232" s="150" t="s">
        <v>281</v>
      </c>
      <c r="D232" s="72"/>
      <c r="E232" s="72"/>
      <c r="F232" s="72"/>
      <c r="G232" s="72"/>
      <c r="H232" s="72"/>
      <c r="I232" s="72"/>
      <c r="J232" s="72"/>
      <c r="K232" s="72"/>
      <c r="L232" s="72"/>
      <c r="M232" s="73"/>
      <c r="O232" s="33"/>
      <c r="P232" s="6"/>
      <c r="Q232" s="6"/>
      <c r="R232" s="6"/>
      <c r="S232" s="6"/>
      <c r="T232" s="6"/>
      <c r="U232" s="6"/>
      <c r="V232" s="6"/>
      <c r="W232" s="6"/>
      <c r="Y232" s="35"/>
      <c r="AA232" s="243"/>
    </row>
    <row r="233" spans="1:27" ht="14.1" customHeight="1">
      <c r="A233" s="20">
        <v>17</v>
      </c>
      <c r="B233" s="71"/>
      <c r="C233" s="166" t="s">
        <v>266</v>
      </c>
      <c r="D233" s="144" t="str">
        <f>IF(P234="","",P234)</f>
        <v>AEC</v>
      </c>
      <c r="E233" s="72"/>
      <c r="F233" s="72" t="s">
        <v>95</v>
      </c>
      <c r="G233" s="144" t="str">
        <f>IF(S234="","",S234)</f>
        <v>W/Rh</v>
      </c>
      <c r="H233" s="166" t="s">
        <v>173</v>
      </c>
      <c r="I233" s="144">
        <f>IF(U234="","",U234)</f>
        <v>28</v>
      </c>
      <c r="J233" s="72"/>
      <c r="K233" s="72"/>
      <c r="L233" s="72"/>
      <c r="M233" s="73"/>
      <c r="O233" s="143" t="s">
        <v>281</v>
      </c>
      <c r="P233" s="6"/>
      <c r="Q233" s="6"/>
      <c r="R233" s="6"/>
      <c r="S233" s="6"/>
      <c r="T233" s="6"/>
      <c r="U233" s="6"/>
      <c r="V233" s="6"/>
      <c r="Y233" s="35"/>
      <c r="AA233" s="243"/>
    </row>
    <row r="234" spans="1:27" ht="14.1" customHeight="1">
      <c r="A234" s="20">
        <v>18</v>
      </c>
      <c r="B234" s="71"/>
      <c r="C234" s="72"/>
      <c r="D234" s="72"/>
      <c r="E234" s="72"/>
      <c r="F234" s="72"/>
      <c r="G234" s="72"/>
      <c r="H234" s="72"/>
      <c r="I234" s="111"/>
      <c r="J234" s="72"/>
      <c r="K234" s="72"/>
      <c r="L234" s="72"/>
      <c r="M234" s="73"/>
      <c r="O234" s="33" t="s">
        <v>266</v>
      </c>
      <c r="P234" s="141" t="s">
        <v>498</v>
      </c>
      <c r="R234" s="24" t="s">
        <v>95</v>
      </c>
      <c r="S234" s="141" t="s">
        <v>238</v>
      </c>
      <c r="T234" s="166" t="s">
        <v>173</v>
      </c>
      <c r="U234" s="141">
        <v>28</v>
      </c>
      <c r="Y234" s="35"/>
      <c r="AA234" s="243"/>
    </row>
    <row r="235" spans="1:27" ht="14.1" customHeight="1" thickBot="1">
      <c r="A235" s="20">
        <v>19</v>
      </c>
      <c r="B235" s="71"/>
      <c r="C235" s="72"/>
      <c r="D235" s="600"/>
      <c r="E235" s="72"/>
      <c r="F235" s="166"/>
      <c r="G235" s="600"/>
      <c r="H235" s="111"/>
      <c r="I235" s="342"/>
      <c r="J235" s="72" t="s">
        <v>282</v>
      </c>
      <c r="K235" s="72"/>
      <c r="L235" s="72"/>
      <c r="M235" s="73"/>
      <c r="O235" s="33"/>
      <c r="Y235" s="35"/>
      <c r="AA235" s="243"/>
    </row>
    <row r="236" spans="1:27" ht="14.1" customHeight="1" thickBot="1">
      <c r="A236" s="20">
        <v>20</v>
      </c>
      <c r="B236" s="71"/>
      <c r="C236" s="72"/>
      <c r="D236" s="462" t="s">
        <v>72</v>
      </c>
      <c r="E236" s="440" t="s">
        <v>283</v>
      </c>
      <c r="F236" s="440" t="s">
        <v>284</v>
      </c>
      <c r="G236" s="440" t="s">
        <v>285</v>
      </c>
      <c r="H236" s="440" t="s">
        <v>286</v>
      </c>
      <c r="I236" s="440" t="s">
        <v>287</v>
      </c>
      <c r="J236" s="441" t="s">
        <v>27</v>
      </c>
      <c r="K236" s="397" t="s">
        <v>288</v>
      </c>
      <c r="L236" s="413" t="s">
        <v>289</v>
      </c>
      <c r="M236" s="73"/>
      <c r="O236" s="33"/>
      <c r="P236" s="600"/>
      <c r="R236" s="38"/>
      <c r="S236" s="600"/>
      <c r="T236" s="601"/>
      <c r="U236" s="6"/>
      <c r="V236" s="24" t="s">
        <v>282</v>
      </c>
      <c r="Y236" s="35"/>
      <c r="AA236" s="243"/>
    </row>
    <row r="237" spans="1:27" ht="14.1" customHeight="1" thickBot="1">
      <c r="A237" s="20">
        <v>21</v>
      </c>
      <c r="B237" s="71"/>
      <c r="C237" s="72"/>
      <c r="D237" s="437" t="str">
        <f t="shared" ref="D237:J244" si="36">IF(P238="","",P238)</f>
        <v/>
      </c>
      <c r="E237" s="438" t="str">
        <f t="shared" si="36"/>
        <v/>
      </c>
      <c r="F237" s="438" t="str">
        <f t="shared" si="36"/>
        <v/>
      </c>
      <c r="G237" s="438" t="str">
        <f t="shared" si="36"/>
        <v/>
      </c>
      <c r="H237" s="438" t="str">
        <f t="shared" si="36"/>
        <v/>
      </c>
      <c r="I237" s="438" t="str">
        <f t="shared" si="36"/>
        <v/>
      </c>
      <c r="J237" s="439" t="str">
        <f t="shared" si="36"/>
        <v/>
      </c>
      <c r="K237" s="427" t="str">
        <f t="shared" ref="K237:L243" si="37">IF(X238="","",X238)</f>
        <v/>
      </c>
      <c r="L237" s="433" t="str">
        <f t="shared" si="37"/>
        <v/>
      </c>
      <c r="M237" s="73"/>
      <c r="O237" s="33"/>
      <c r="P237" s="601" t="s">
        <v>72</v>
      </c>
      <c r="Q237" s="601" t="s">
        <v>283</v>
      </c>
      <c r="R237" s="601" t="s">
        <v>284</v>
      </c>
      <c r="S237" s="601" t="s">
        <v>285</v>
      </c>
      <c r="T237" s="601" t="s">
        <v>286</v>
      </c>
      <c r="U237" s="601" t="s">
        <v>287</v>
      </c>
      <c r="V237" s="24" t="s">
        <v>27</v>
      </c>
      <c r="X237" s="601" t="s">
        <v>288</v>
      </c>
      <c r="Y237" s="213" t="s">
        <v>289</v>
      </c>
      <c r="AA237" s="243"/>
    </row>
    <row r="238" spans="1:27" ht="14.1" customHeight="1">
      <c r="A238" s="20">
        <v>22</v>
      </c>
      <c r="B238" s="71"/>
      <c r="C238" s="72"/>
      <c r="D238" s="414" t="str">
        <f t="shared" si="36"/>
        <v/>
      </c>
      <c r="E238" s="412" t="str">
        <f t="shared" si="36"/>
        <v/>
      </c>
      <c r="F238" s="412" t="str">
        <f t="shared" si="36"/>
        <v/>
      </c>
      <c r="G238" s="412" t="str">
        <f t="shared" si="36"/>
        <v/>
      </c>
      <c r="H238" s="412" t="str">
        <f t="shared" si="36"/>
        <v/>
      </c>
      <c r="I238" s="412" t="str">
        <f t="shared" si="36"/>
        <v/>
      </c>
      <c r="J238" s="415" t="str">
        <f t="shared" si="36"/>
        <v/>
      </c>
      <c r="K238" s="427" t="str">
        <f t="shared" si="37"/>
        <v/>
      </c>
      <c r="L238" s="433" t="str">
        <f t="shared" si="37"/>
        <v/>
      </c>
      <c r="M238" s="73"/>
      <c r="O238" s="33"/>
      <c r="P238" s="167"/>
      <c r="Q238" s="168"/>
      <c r="R238" s="168"/>
      <c r="S238" s="168"/>
      <c r="T238" s="214" t="str">
        <f>IF(OR(R238="",S238=""),"",(R238-50)/S238)</f>
        <v/>
      </c>
      <c r="U238" s="215" t="str">
        <f>IF(OR(Q238="",R238="",S238=""),"",(R238-Q238)/S238)</f>
        <v/>
      </c>
      <c r="V238" s="216" t="str">
        <f>IF($V$360="","",$V$360*P238)</f>
        <v/>
      </c>
      <c r="X238" s="217" t="str">
        <f>IF(OR(Q238="",$Q$243=""),"",ABS(Q238-$Q$243)/$Q$243)</f>
        <v/>
      </c>
      <c r="Y238" s="218" t="str">
        <f>IF(OR(T238="",$T$243=""),"",ABS(T238-$T$243)/$T$243)</f>
        <v/>
      </c>
      <c r="AA238" s="243"/>
    </row>
    <row r="239" spans="1:27" ht="14.1" customHeight="1">
      <c r="A239" s="20">
        <v>23</v>
      </c>
      <c r="B239" s="71"/>
      <c r="C239" s="72"/>
      <c r="D239" s="414" t="str">
        <f t="shared" si="36"/>
        <v/>
      </c>
      <c r="E239" s="412" t="str">
        <f t="shared" si="36"/>
        <v/>
      </c>
      <c r="F239" s="412" t="str">
        <f t="shared" si="36"/>
        <v/>
      </c>
      <c r="G239" s="412" t="str">
        <f t="shared" si="36"/>
        <v/>
      </c>
      <c r="H239" s="412" t="str">
        <f t="shared" si="36"/>
        <v/>
      </c>
      <c r="I239" s="412" t="str">
        <f t="shared" si="36"/>
        <v/>
      </c>
      <c r="J239" s="415" t="str">
        <f t="shared" si="36"/>
        <v/>
      </c>
      <c r="K239" s="427" t="str">
        <f t="shared" si="37"/>
        <v/>
      </c>
      <c r="L239" s="433" t="str">
        <f t="shared" si="37"/>
        <v/>
      </c>
      <c r="M239" s="73"/>
      <c r="O239" s="33"/>
      <c r="P239" s="170"/>
      <c r="Q239" s="171"/>
      <c r="R239" s="171"/>
      <c r="S239" s="171"/>
      <c r="T239" s="74" t="str">
        <f>IF(OR(R239="",S239=""),"",(R239-50)/S239)</f>
        <v/>
      </c>
      <c r="U239" s="75" t="str">
        <f>IF(OR(Q239="",R239="",S239=""),"",(R239-Q239)/S239)</f>
        <v/>
      </c>
      <c r="V239" s="219" t="str">
        <f>IF($V$360="","",$V$360*P239)</f>
        <v/>
      </c>
      <c r="X239" s="217" t="str">
        <f>IF(OR(Q239="",$Q$243=""),"",ABS(Q239-$Q$243)/$Q$243)</f>
        <v/>
      </c>
      <c r="Y239" s="218" t="str">
        <f>IF(OR(T239="",$T$243=""),"",ABS(T239-$T$243)/$T$243)</f>
        <v/>
      </c>
      <c r="AA239" s="243"/>
    </row>
    <row r="240" spans="1:27" ht="14.1" customHeight="1">
      <c r="A240" s="20">
        <v>24</v>
      </c>
      <c r="B240" s="71"/>
      <c r="C240" s="72"/>
      <c r="D240" s="414" t="str">
        <f t="shared" si="36"/>
        <v/>
      </c>
      <c r="E240" s="412" t="str">
        <f t="shared" si="36"/>
        <v/>
      </c>
      <c r="F240" s="412" t="str">
        <f t="shared" si="36"/>
        <v/>
      </c>
      <c r="G240" s="412" t="str">
        <f t="shared" si="36"/>
        <v/>
      </c>
      <c r="H240" s="412" t="str">
        <f t="shared" si="36"/>
        <v/>
      </c>
      <c r="I240" s="412" t="str">
        <f t="shared" si="36"/>
        <v/>
      </c>
      <c r="J240" s="415" t="str">
        <f t="shared" si="36"/>
        <v/>
      </c>
      <c r="K240" s="427" t="str">
        <f t="shared" si="37"/>
        <v/>
      </c>
      <c r="L240" s="433" t="str">
        <f t="shared" si="37"/>
        <v/>
      </c>
      <c r="M240" s="73"/>
      <c r="O240" s="33"/>
      <c r="P240" s="170"/>
      <c r="Q240" s="171"/>
      <c r="R240" s="171"/>
      <c r="S240" s="171"/>
      <c r="T240" s="74" t="str">
        <f>IF(OR(R240="",S240=""),"",(R240-50)/S240)</f>
        <v/>
      </c>
      <c r="U240" s="75" t="str">
        <f>IF(OR(Q240="",R240="",S240=""),"",(R240-Q240)/S240)</f>
        <v/>
      </c>
      <c r="V240" s="219" t="str">
        <f>IF($V$360="","",$V$360*P240)</f>
        <v/>
      </c>
      <c r="X240" s="217" t="str">
        <f>IF(OR(Q240="",$Q$243=""),"",ABS(Q240-$Q$243)/$Q$243)</f>
        <v/>
      </c>
      <c r="Y240" s="218" t="str">
        <f>IF(OR(T240="",$T$243=""),"",ABS(T240-$T$243)/$T$243)</f>
        <v/>
      </c>
      <c r="AA240" s="243"/>
    </row>
    <row r="241" spans="1:27" ht="14.1" customHeight="1" thickBot="1">
      <c r="A241" s="20">
        <v>25</v>
      </c>
      <c r="B241" s="71"/>
      <c r="C241" s="72"/>
      <c r="D241" s="416" t="str">
        <f t="shared" si="36"/>
        <v/>
      </c>
      <c r="E241" s="417" t="str">
        <f t="shared" si="36"/>
        <v/>
      </c>
      <c r="F241" s="417" t="str">
        <f t="shared" si="36"/>
        <v/>
      </c>
      <c r="G241" s="417" t="str">
        <f t="shared" si="36"/>
        <v/>
      </c>
      <c r="H241" s="417" t="str">
        <f t="shared" si="36"/>
        <v/>
      </c>
      <c r="I241" s="417" t="str">
        <f t="shared" si="36"/>
        <v/>
      </c>
      <c r="J241" s="418" t="str">
        <f t="shared" si="36"/>
        <v/>
      </c>
      <c r="K241" s="428" t="str">
        <f t="shared" si="37"/>
        <v/>
      </c>
      <c r="L241" s="445" t="str">
        <f t="shared" si="37"/>
        <v/>
      </c>
      <c r="M241" s="73"/>
      <c r="O241" s="33"/>
      <c r="P241" s="170"/>
      <c r="Q241" s="171"/>
      <c r="R241" s="171"/>
      <c r="S241" s="171"/>
      <c r="T241" s="74" t="str">
        <f>IF(OR(R241="",S241=""),"",(R241-50)/S241)</f>
        <v/>
      </c>
      <c r="U241" s="75" t="str">
        <f>IF(OR(Q241="",R241="",S241=""),"",(R241-Q241)/S241)</f>
        <v/>
      </c>
      <c r="V241" s="219" t="str">
        <f>IF($V$360="","",$V$360*P241)</f>
        <v/>
      </c>
      <c r="X241" s="217" t="str">
        <f>IF(OR(Q241="",$Q$243=""),"",ABS(Q241-$Q$243)/$Q$243)</f>
        <v/>
      </c>
      <c r="Y241" s="218" t="str">
        <f>IF(OR(T241="",$T$243=""),"",ABS(T241-$T$243)/$T$243)</f>
        <v/>
      </c>
    </row>
    <row r="242" spans="1:27" ht="14.1" customHeight="1" thickBot="1">
      <c r="A242" s="20">
        <v>26</v>
      </c>
      <c r="B242" s="71"/>
      <c r="C242" s="464" t="s">
        <v>272</v>
      </c>
      <c r="D242" s="419" t="str">
        <f t="shared" si="36"/>
        <v/>
      </c>
      <c r="E242" s="420" t="str">
        <f t="shared" si="36"/>
        <v/>
      </c>
      <c r="F242" s="420" t="str">
        <f t="shared" si="36"/>
        <v/>
      </c>
      <c r="G242" s="420" t="str">
        <f t="shared" si="36"/>
        <v/>
      </c>
      <c r="H242" s="420" t="str">
        <f t="shared" si="36"/>
        <v/>
      </c>
      <c r="I242" s="420" t="str">
        <f t="shared" si="36"/>
        <v/>
      </c>
      <c r="J242" s="421" t="str">
        <f t="shared" si="36"/>
        <v/>
      </c>
      <c r="K242" s="429" t="str">
        <f t="shared" si="37"/>
        <v/>
      </c>
      <c r="L242" s="429" t="str">
        <f t="shared" si="37"/>
        <v/>
      </c>
      <c r="M242" s="73"/>
      <c r="O242" s="33"/>
      <c r="P242" s="220"/>
      <c r="Q242" s="221"/>
      <c r="R242" s="221"/>
      <c r="S242" s="221"/>
      <c r="T242" s="222" t="str">
        <f>IF(OR(R242="",S242=""),"",(R242-50)/S242)</f>
        <v/>
      </c>
      <c r="U242" s="223" t="str">
        <f>IF(OR(Q242="",R242="",S242=""),"",(R242-Q242)/S242)</f>
        <v/>
      </c>
      <c r="V242" s="224" t="str">
        <f>IF($V$360="","",$V$360*P242)</f>
        <v/>
      </c>
      <c r="X242" s="217" t="str">
        <f>IF(OR(Q242="",$Q$243=""),"",ABS(Q242-$Q$243)/$Q$243)</f>
        <v/>
      </c>
      <c r="Y242" s="218" t="str">
        <f>IF(OR(T242="",$T$243=""),"",ABS(T242-$T$243)/$T$243)</f>
        <v/>
      </c>
    </row>
    <row r="243" spans="1:27" ht="14.1" customHeight="1" thickBot="1">
      <c r="A243" s="20">
        <v>27</v>
      </c>
      <c r="B243" s="71"/>
      <c r="C243" s="464" t="s">
        <v>273</v>
      </c>
      <c r="D243" s="414" t="str">
        <f t="shared" si="36"/>
        <v/>
      </c>
      <c r="E243" s="412" t="str">
        <f t="shared" si="36"/>
        <v/>
      </c>
      <c r="F243" s="412" t="str">
        <f t="shared" si="36"/>
        <v/>
      </c>
      <c r="G243" s="412" t="str">
        <f t="shared" si="36"/>
        <v/>
      </c>
      <c r="H243" s="412" t="str">
        <f t="shared" si="36"/>
        <v/>
      </c>
      <c r="I243" s="412" t="str">
        <f t="shared" si="36"/>
        <v/>
      </c>
      <c r="J243" s="415" t="str">
        <f t="shared" si="36"/>
        <v/>
      </c>
      <c r="K243" s="429" t="str">
        <f t="shared" si="37"/>
        <v/>
      </c>
      <c r="L243" s="429" t="str">
        <f t="shared" si="37"/>
        <v/>
      </c>
      <c r="M243" s="73"/>
      <c r="O243" s="165" t="s">
        <v>272</v>
      </c>
      <c r="P243" s="226" t="str">
        <f t="shared" ref="P243:V243" si="38">IF(P238="","",AVERAGE(P238:P242))</f>
        <v/>
      </c>
      <c r="Q243" s="214" t="str">
        <f t="shared" si="38"/>
        <v/>
      </c>
      <c r="R243" s="214" t="str">
        <f t="shared" si="38"/>
        <v/>
      </c>
      <c r="S243" s="214" t="str">
        <f t="shared" si="38"/>
        <v/>
      </c>
      <c r="T243" s="214" t="str">
        <f t="shared" si="38"/>
        <v/>
      </c>
      <c r="U243" s="215" t="str">
        <f t="shared" si="38"/>
        <v/>
      </c>
      <c r="V243" s="227" t="str">
        <f t="shared" si="38"/>
        <v/>
      </c>
      <c r="W243" s="38" t="s">
        <v>292</v>
      </c>
      <c r="X243" s="204" t="str">
        <f>IF(X238="","",MAX(X238:X242))</f>
        <v/>
      </c>
      <c r="Y243" s="204" t="str">
        <f>IF(Y238="","",MAX(Y238:Y242))</f>
        <v/>
      </c>
    </row>
    <row r="244" spans="1:27" ht="14.1" customHeight="1" thickBot="1">
      <c r="A244" s="20">
        <v>28</v>
      </c>
      <c r="B244" s="71"/>
      <c r="C244" s="165" t="s">
        <v>274</v>
      </c>
      <c r="D244" s="422" t="str">
        <f t="shared" si="36"/>
        <v/>
      </c>
      <c r="E244" s="423" t="str">
        <f t="shared" si="36"/>
        <v/>
      </c>
      <c r="F244" s="423" t="str">
        <f t="shared" si="36"/>
        <v/>
      </c>
      <c r="G244" s="423" t="str">
        <f t="shared" si="36"/>
        <v/>
      </c>
      <c r="H244" s="423" t="str">
        <f t="shared" si="36"/>
        <v/>
      </c>
      <c r="I244" s="423" t="str">
        <f t="shared" si="36"/>
        <v/>
      </c>
      <c r="J244" s="424" t="str">
        <f t="shared" si="36"/>
        <v/>
      </c>
      <c r="K244" s="72"/>
      <c r="L244" s="72"/>
      <c r="M244" s="73"/>
      <c r="O244" s="165" t="s">
        <v>273</v>
      </c>
      <c r="P244" s="229" t="str">
        <f>IF(P238="","",STDEV(P238:P242))</f>
        <v/>
      </c>
      <c r="Q244" s="74" t="str">
        <f t="shared" ref="Q244:V244" si="39">IF(Q238="","",STDEV(Q238:Q242))</f>
        <v/>
      </c>
      <c r="R244" s="74" t="str">
        <f t="shared" si="39"/>
        <v/>
      </c>
      <c r="S244" s="74" t="str">
        <f t="shared" si="39"/>
        <v/>
      </c>
      <c r="T244" s="74" t="str">
        <f t="shared" si="39"/>
        <v/>
      </c>
      <c r="U244" s="75" t="str">
        <f t="shared" si="39"/>
        <v/>
      </c>
      <c r="V244" s="230" t="str">
        <f t="shared" si="39"/>
        <v/>
      </c>
      <c r="X244" s="148" t="str">
        <f>IF(X243="","",IF(X243&lt;=0.15,"Pass","Fail"))</f>
        <v/>
      </c>
      <c r="Y244" s="148" t="str">
        <f>IF(Y243="","",IF(Y243&lt;=0.15,"Pass","Fail"))</f>
        <v/>
      </c>
    </row>
    <row r="245" spans="1:27" ht="14.1" customHeight="1" thickBot="1">
      <c r="A245" s="20">
        <v>29</v>
      </c>
      <c r="B245" s="71"/>
      <c r="C245" s="72"/>
      <c r="D245" s="425" t="str">
        <f>IF(P246="","",P246)</f>
        <v/>
      </c>
      <c r="E245" s="112"/>
      <c r="F245" s="112"/>
      <c r="G245" s="112"/>
      <c r="H245" s="112"/>
      <c r="I245" s="112"/>
      <c r="J245" s="425" t="str">
        <f>IF(V246="","",V246)</f>
        <v/>
      </c>
      <c r="K245" s="72"/>
      <c r="L245" s="72"/>
      <c r="M245" s="73"/>
      <c r="O245" s="165" t="s">
        <v>274</v>
      </c>
      <c r="P245" s="231" t="str">
        <f t="shared" ref="P245:V245" si="40">IF(OR(P243="",P244=""),"",P244/P243)</f>
        <v/>
      </c>
      <c r="Q245" s="232" t="str">
        <f t="shared" si="40"/>
        <v/>
      </c>
      <c r="R245" s="232" t="str">
        <f t="shared" si="40"/>
        <v/>
      </c>
      <c r="S245" s="232" t="str">
        <f t="shared" si="40"/>
        <v/>
      </c>
      <c r="T245" s="232" t="str">
        <f t="shared" si="40"/>
        <v/>
      </c>
      <c r="U245" s="232" t="str">
        <f t="shared" si="40"/>
        <v/>
      </c>
      <c r="V245" s="233" t="str">
        <f t="shared" si="40"/>
        <v/>
      </c>
      <c r="X245" s="601"/>
      <c r="Y245" s="213"/>
      <c r="Z245" s="601"/>
      <c r="AA245" s="6"/>
    </row>
    <row r="246" spans="1:27" ht="14.1" customHeight="1" thickBot="1">
      <c r="A246" s="20">
        <v>30</v>
      </c>
      <c r="B246" s="71"/>
      <c r="C246" s="5" t="s">
        <v>204</v>
      </c>
      <c r="D246" s="105" t="s">
        <v>293</v>
      </c>
      <c r="E246" s="72"/>
      <c r="F246" s="72"/>
      <c r="G246" s="72"/>
      <c r="H246" s="72"/>
      <c r="I246" s="72"/>
      <c r="J246" s="72"/>
      <c r="K246" s="72"/>
      <c r="L246" s="72"/>
      <c r="M246" s="73"/>
      <c r="O246" s="33"/>
      <c r="P246" s="148" t="str">
        <f>IF(P245="","",IF(P245&lt;=0.05,"Pass","Fail"))</f>
        <v/>
      </c>
      <c r="Q246" s="6"/>
      <c r="R246" s="6"/>
      <c r="S246" s="6"/>
      <c r="T246" s="6"/>
      <c r="U246" s="6"/>
      <c r="V246" s="148" t="str">
        <f>IF(V245="","",IF(V245&lt;=0.05,"Pass","Fail"))</f>
        <v/>
      </c>
      <c r="Y246" s="35"/>
      <c r="Z246" s="601"/>
      <c r="AA246" s="6"/>
    </row>
    <row r="247" spans="1:27" ht="14.1" customHeight="1">
      <c r="A247" s="20">
        <v>31</v>
      </c>
      <c r="B247" s="71"/>
      <c r="C247" s="72"/>
      <c r="D247" s="105" t="s">
        <v>294</v>
      </c>
      <c r="E247" s="72"/>
      <c r="F247" s="72"/>
      <c r="G247" s="72"/>
      <c r="H247" s="72"/>
      <c r="I247" s="72"/>
      <c r="J247" s="72"/>
      <c r="K247" s="72"/>
      <c r="L247" s="72"/>
      <c r="M247" s="73"/>
      <c r="O247" s="33"/>
      <c r="P247" s="5" t="s">
        <v>204</v>
      </c>
      <c r="Q247" s="105" t="s">
        <v>293</v>
      </c>
      <c r="R247" s="72"/>
      <c r="S247" s="72"/>
      <c r="T247" s="72"/>
      <c r="U247" s="72"/>
      <c r="V247" s="72"/>
      <c r="W247" s="72"/>
      <c r="X247" s="72"/>
      <c r="Y247" s="35"/>
      <c r="Z247" s="601"/>
      <c r="AA247" s="30"/>
    </row>
    <row r="248" spans="1:27" ht="14.1" customHeight="1" thickBot="1">
      <c r="A248" s="20">
        <v>32</v>
      </c>
      <c r="B248" s="163"/>
      <c r="C248" s="44"/>
      <c r="D248" s="44"/>
      <c r="E248" s="44"/>
      <c r="F248" s="44"/>
      <c r="G248" s="44"/>
      <c r="H248" s="44"/>
      <c r="I248" s="44"/>
      <c r="J248" s="44"/>
      <c r="K248" s="44"/>
      <c r="L248" s="44"/>
      <c r="M248" s="164"/>
      <c r="O248" s="33"/>
      <c r="P248" s="72"/>
      <c r="Q248" s="105" t="s">
        <v>294</v>
      </c>
      <c r="R248" s="72"/>
      <c r="S248" s="72"/>
      <c r="T248" s="72"/>
      <c r="U248" s="72"/>
      <c r="V248" s="72"/>
      <c r="W248" s="72"/>
      <c r="X248" s="72"/>
      <c r="Y248" s="35"/>
    </row>
    <row r="249" spans="1:27" ht="14.1" customHeight="1" thickBot="1">
      <c r="A249" s="20">
        <v>33</v>
      </c>
      <c r="B249" s="71"/>
      <c r="C249" s="150" t="s">
        <v>295</v>
      </c>
      <c r="D249" s="72"/>
      <c r="E249" s="72"/>
      <c r="F249" s="72"/>
      <c r="G249" s="72"/>
      <c r="H249" s="72"/>
      <c r="I249" s="72"/>
      <c r="J249" s="72"/>
      <c r="K249" s="72"/>
      <c r="L249" s="72"/>
      <c r="M249" s="73"/>
      <c r="O249" s="234"/>
      <c r="P249" s="196"/>
      <c r="Q249" s="196"/>
      <c r="R249" s="196"/>
      <c r="S249" s="196"/>
      <c r="T249" s="196"/>
      <c r="U249" s="196"/>
      <c r="V249" s="196"/>
      <c r="W249" s="196"/>
      <c r="X249" s="196"/>
      <c r="Y249" s="235"/>
    </row>
    <row r="250" spans="1:27" ht="14.1" customHeight="1">
      <c r="A250" s="20">
        <v>34</v>
      </c>
      <c r="B250" s="71"/>
      <c r="C250" s="434" t="s">
        <v>71</v>
      </c>
      <c r="D250" s="431" t="s">
        <v>237</v>
      </c>
      <c r="E250" s="431" t="s">
        <v>262</v>
      </c>
      <c r="F250" s="432" t="s">
        <v>238</v>
      </c>
      <c r="G250" s="72"/>
      <c r="H250" s="818" t="s">
        <v>296</v>
      </c>
      <c r="I250" s="819"/>
      <c r="J250" s="820"/>
      <c r="K250" s="72"/>
      <c r="L250" s="72"/>
      <c r="M250" s="73"/>
      <c r="O250" s="140" t="s">
        <v>295</v>
      </c>
      <c r="P250" s="236"/>
      <c r="Q250" s="236"/>
      <c r="R250" s="236"/>
      <c r="S250" s="236"/>
      <c r="T250" s="236"/>
      <c r="U250" s="236"/>
      <c r="V250" s="236"/>
      <c r="W250" s="236"/>
      <c r="X250" s="236"/>
      <c r="Y250" s="237"/>
    </row>
    <row r="251" spans="1:27" ht="14.1" customHeight="1">
      <c r="A251" s="20">
        <v>35</v>
      </c>
      <c r="B251" s="71"/>
      <c r="C251" s="435" t="s">
        <v>269</v>
      </c>
      <c r="D251" s="303">
        <v>28</v>
      </c>
      <c r="E251" s="303">
        <v>28</v>
      </c>
      <c r="F251" s="349">
        <v>28</v>
      </c>
      <c r="G251" s="72"/>
      <c r="H251" s="348" t="s">
        <v>237</v>
      </c>
      <c r="I251" s="303" t="s">
        <v>262</v>
      </c>
      <c r="J251" s="349" t="s">
        <v>238</v>
      </c>
      <c r="K251" s="72"/>
      <c r="L251" s="72"/>
      <c r="M251" s="73"/>
      <c r="O251" s="190"/>
      <c r="P251" s="239" t="s">
        <v>71</v>
      </c>
      <c r="Q251" s="240" t="s">
        <v>237</v>
      </c>
      <c r="R251" s="240" t="s">
        <v>262</v>
      </c>
      <c r="S251" s="240" t="s">
        <v>238</v>
      </c>
      <c r="T251" s="6"/>
      <c r="U251" s="791" t="s">
        <v>296</v>
      </c>
      <c r="V251" s="791"/>
      <c r="W251" s="791"/>
      <c r="X251" s="6"/>
      <c r="Y251" s="241"/>
    </row>
    <row r="252" spans="1:27" ht="14.1" customHeight="1">
      <c r="A252" s="20">
        <v>36</v>
      </c>
      <c r="B252" s="71"/>
      <c r="C252" s="435" t="s">
        <v>72</v>
      </c>
      <c r="D252" s="303" t="str">
        <f t="shared" ref="D252:D260" si="41">IF(Q253="","",Q253)</f>
        <v/>
      </c>
      <c r="E252" s="303" t="str">
        <f t="shared" ref="E252:E260" si="42">IF(R253="","",R253)</f>
        <v/>
      </c>
      <c r="F252" s="349" t="str">
        <f t="shared" ref="F252:F260" si="43">IF(S253="","",S253)</f>
        <v/>
      </c>
      <c r="G252" s="72"/>
      <c r="H252" s="427" t="str">
        <f t="shared" ref="H252:J256" si="44">IF(U253="","",U253)</f>
        <v/>
      </c>
      <c r="I252" s="18" t="str">
        <f t="shared" si="44"/>
        <v/>
      </c>
      <c r="J252" s="433" t="str">
        <f t="shared" si="44"/>
        <v/>
      </c>
      <c r="K252" s="72"/>
      <c r="L252" s="72"/>
      <c r="M252" s="73"/>
      <c r="O252" s="190"/>
      <c r="P252" s="242" t="s">
        <v>269</v>
      </c>
      <c r="Q252" s="14">
        <v>28</v>
      </c>
      <c r="R252" s="14">
        <v>28</v>
      </c>
      <c r="S252" s="14">
        <v>28</v>
      </c>
      <c r="T252" s="6"/>
      <c r="U252" s="240" t="s">
        <v>237</v>
      </c>
      <c r="V252" s="240" t="s">
        <v>262</v>
      </c>
      <c r="W252" s="240" t="s">
        <v>238</v>
      </c>
      <c r="X252" s="6"/>
      <c r="Y252" s="241"/>
    </row>
    <row r="253" spans="1:27" ht="14.1" customHeight="1">
      <c r="A253" s="20">
        <v>37</v>
      </c>
      <c r="B253" s="71"/>
      <c r="C253" s="435" t="s">
        <v>297</v>
      </c>
      <c r="D253" s="412" t="str">
        <f t="shared" si="41"/>
        <v/>
      </c>
      <c r="E253" s="303" t="str">
        <f t="shared" si="42"/>
        <v/>
      </c>
      <c r="F253" s="349" t="str">
        <f t="shared" si="43"/>
        <v/>
      </c>
      <c r="G253" s="72"/>
      <c r="H253" s="427" t="str">
        <f t="shared" si="44"/>
        <v/>
      </c>
      <c r="I253" s="18" t="str">
        <f t="shared" si="44"/>
        <v/>
      </c>
      <c r="J253" s="433" t="str">
        <f t="shared" si="44"/>
        <v/>
      </c>
      <c r="K253" s="72"/>
      <c r="L253" s="72"/>
      <c r="M253" s="73"/>
      <c r="O253" s="190"/>
      <c r="P253" s="242" t="s">
        <v>72</v>
      </c>
      <c r="Q253" s="589" t="str">
        <f>IF(Q163="","",Q163)</f>
        <v/>
      </c>
      <c r="R253" s="589" t="str">
        <f t="shared" ref="R253:S253" si="45">IF(R163="","",R163)</f>
        <v/>
      </c>
      <c r="S253" s="589" t="str">
        <f t="shared" si="45"/>
        <v/>
      </c>
      <c r="T253" s="6"/>
      <c r="U253" s="185" t="str">
        <f t="shared" ref="U253:W257" si="46">IF(Q254="","",(Q254-Q$259)/Q$259)</f>
        <v/>
      </c>
      <c r="V253" s="185" t="str">
        <f t="shared" si="46"/>
        <v/>
      </c>
      <c r="W253" s="185" t="str">
        <f t="shared" si="46"/>
        <v/>
      </c>
      <c r="X253" s="6"/>
      <c r="Y253" s="241"/>
    </row>
    <row r="254" spans="1:27" ht="14.1" customHeight="1">
      <c r="A254" s="20">
        <v>38</v>
      </c>
      <c r="B254" s="71"/>
      <c r="C254" s="435" t="s">
        <v>299</v>
      </c>
      <c r="D254" s="412" t="str">
        <f t="shared" si="41"/>
        <v/>
      </c>
      <c r="E254" s="303" t="str">
        <f t="shared" si="42"/>
        <v/>
      </c>
      <c r="F254" s="349" t="str">
        <f t="shared" si="43"/>
        <v/>
      </c>
      <c r="G254" s="72"/>
      <c r="H254" s="427" t="str">
        <f t="shared" si="44"/>
        <v/>
      </c>
      <c r="I254" s="18" t="str">
        <f t="shared" si="44"/>
        <v/>
      </c>
      <c r="J254" s="433" t="str">
        <f t="shared" si="44"/>
        <v/>
      </c>
      <c r="K254" s="72"/>
      <c r="L254" s="72"/>
      <c r="M254" s="73"/>
      <c r="O254" s="190"/>
      <c r="P254" s="239" t="s">
        <v>297</v>
      </c>
      <c r="Q254" s="2"/>
      <c r="R254" s="2"/>
      <c r="S254" s="2"/>
      <c r="T254" s="6"/>
      <c r="U254" s="185" t="str">
        <f t="shared" si="46"/>
        <v/>
      </c>
      <c r="V254" s="185" t="str">
        <f t="shared" si="46"/>
        <v/>
      </c>
      <c r="W254" s="185" t="str">
        <f t="shared" si="46"/>
        <v/>
      </c>
      <c r="X254" s="6"/>
      <c r="Y254" s="241"/>
    </row>
    <row r="255" spans="1:27" ht="14.1" customHeight="1">
      <c r="A255" s="20">
        <v>39</v>
      </c>
      <c r="B255" s="71"/>
      <c r="C255" s="435" t="s">
        <v>300</v>
      </c>
      <c r="D255" s="412" t="str">
        <f t="shared" si="41"/>
        <v/>
      </c>
      <c r="E255" s="303" t="str">
        <f t="shared" si="42"/>
        <v/>
      </c>
      <c r="F255" s="349" t="str">
        <f t="shared" si="43"/>
        <v/>
      </c>
      <c r="G255" s="72"/>
      <c r="H255" s="427" t="str">
        <f t="shared" si="44"/>
        <v/>
      </c>
      <c r="I255" s="18" t="str">
        <f t="shared" si="44"/>
        <v/>
      </c>
      <c r="J255" s="433" t="str">
        <f t="shared" si="44"/>
        <v/>
      </c>
      <c r="K255" s="72"/>
      <c r="L255" s="72"/>
      <c r="M255" s="73"/>
      <c r="O255" s="190"/>
      <c r="P255" s="242" t="s">
        <v>299</v>
      </c>
      <c r="Q255" s="3"/>
      <c r="R255" s="3"/>
      <c r="S255" s="3"/>
      <c r="T255" s="6"/>
      <c r="U255" s="185" t="str">
        <f t="shared" si="46"/>
        <v/>
      </c>
      <c r="V255" s="185" t="str">
        <f t="shared" si="46"/>
        <v/>
      </c>
      <c r="W255" s="185" t="str">
        <f t="shared" si="46"/>
        <v/>
      </c>
      <c r="X255" s="6"/>
      <c r="Y255" s="241"/>
    </row>
    <row r="256" spans="1:27" ht="14.1" customHeight="1" thickBot="1">
      <c r="A256" s="20">
        <v>40</v>
      </c>
      <c r="B256" s="71"/>
      <c r="C256" s="435" t="s">
        <v>302</v>
      </c>
      <c r="D256" s="412" t="str">
        <f t="shared" si="41"/>
        <v/>
      </c>
      <c r="E256" s="303" t="str">
        <f t="shared" si="42"/>
        <v/>
      </c>
      <c r="F256" s="349" t="str">
        <f t="shared" si="43"/>
        <v/>
      </c>
      <c r="G256" s="72"/>
      <c r="H256" s="422" t="str">
        <f t="shared" si="44"/>
        <v/>
      </c>
      <c r="I256" s="423" t="str">
        <f t="shared" si="44"/>
        <v/>
      </c>
      <c r="J256" s="424" t="str">
        <f t="shared" si="44"/>
        <v/>
      </c>
      <c r="K256" s="72"/>
      <c r="L256" s="72"/>
      <c r="M256" s="73"/>
      <c r="O256" s="190"/>
      <c r="P256" s="242" t="s">
        <v>300</v>
      </c>
      <c r="Q256" s="3"/>
      <c r="R256" s="3"/>
      <c r="S256" s="3"/>
      <c r="T256" s="6"/>
      <c r="U256" s="185" t="str">
        <f t="shared" si="46"/>
        <v/>
      </c>
      <c r="V256" s="185" t="str">
        <f t="shared" si="46"/>
        <v/>
      </c>
      <c r="W256" s="185" t="str">
        <f t="shared" si="46"/>
        <v/>
      </c>
      <c r="X256" s="6"/>
      <c r="Y256" s="241"/>
    </row>
    <row r="257" spans="1:34" ht="14.1" customHeight="1">
      <c r="A257" s="20">
        <v>41</v>
      </c>
      <c r="B257" s="71"/>
      <c r="C257" s="435" t="s">
        <v>306</v>
      </c>
      <c r="D257" s="412" t="str">
        <f t="shared" si="41"/>
        <v/>
      </c>
      <c r="E257" s="303" t="str">
        <f t="shared" si="42"/>
        <v/>
      </c>
      <c r="F257" s="349" t="str">
        <f t="shared" si="43"/>
        <v/>
      </c>
      <c r="G257" s="72"/>
      <c r="H257" s="72"/>
      <c r="I257" s="72"/>
      <c r="J257" s="72"/>
      <c r="K257" s="72"/>
      <c r="L257" s="72"/>
      <c r="M257" s="73"/>
      <c r="O257" s="190"/>
      <c r="P257" s="242" t="s">
        <v>302</v>
      </c>
      <c r="Q257" s="3"/>
      <c r="R257" s="3"/>
      <c r="S257" s="3"/>
      <c r="T257" s="6"/>
      <c r="U257" s="185" t="str">
        <f t="shared" si="46"/>
        <v/>
      </c>
      <c r="V257" s="185" t="str">
        <f t="shared" si="46"/>
        <v/>
      </c>
      <c r="W257" s="185" t="str">
        <f t="shared" si="46"/>
        <v/>
      </c>
      <c r="X257" s="6"/>
      <c r="Y257" s="241"/>
    </row>
    <row r="258" spans="1:34" ht="14.1" customHeight="1">
      <c r="A258" s="20">
        <v>42</v>
      </c>
      <c r="B258" s="71"/>
      <c r="C258" s="435" t="s">
        <v>308</v>
      </c>
      <c r="D258" s="412" t="str">
        <f t="shared" si="41"/>
        <v/>
      </c>
      <c r="E258" s="303" t="str">
        <f t="shared" si="42"/>
        <v/>
      </c>
      <c r="F258" s="349" t="str">
        <f t="shared" si="43"/>
        <v/>
      </c>
      <c r="G258" s="72"/>
      <c r="H258" s="72"/>
      <c r="I258" s="72"/>
      <c r="J258" s="72"/>
      <c r="K258" s="72"/>
      <c r="L258" s="72"/>
      <c r="M258" s="73"/>
      <c r="O258" s="190"/>
      <c r="P258" s="242" t="s">
        <v>306</v>
      </c>
      <c r="Q258" s="3"/>
      <c r="R258" s="3"/>
      <c r="S258" s="3"/>
      <c r="T258" s="6"/>
      <c r="U258" s="6"/>
      <c r="V258" s="6"/>
      <c r="W258" s="6"/>
      <c r="X258" s="6"/>
      <c r="Y258" s="241"/>
    </row>
    <row r="259" spans="1:34" ht="14.1" customHeight="1" thickBot="1">
      <c r="A259" s="20">
        <v>43</v>
      </c>
      <c r="B259" s="71"/>
      <c r="C259" s="436" t="s">
        <v>310</v>
      </c>
      <c r="D259" s="423" t="str">
        <f t="shared" si="41"/>
        <v/>
      </c>
      <c r="E259" s="423" t="str">
        <f t="shared" si="42"/>
        <v/>
      </c>
      <c r="F259" s="424" t="str">
        <f t="shared" si="43"/>
        <v/>
      </c>
      <c r="G259" s="72"/>
      <c r="H259" s="72"/>
      <c r="I259" s="72"/>
      <c r="J259" s="72"/>
      <c r="K259" s="72"/>
      <c r="L259" s="72"/>
      <c r="M259" s="73"/>
      <c r="O259" s="190"/>
      <c r="P259" s="242" t="s">
        <v>308</v>
      </c>
      <c r="Q259" s="110" t="str">
        <f>IF(Q254="","",AVERAGE(Q254:Q258))</f>
        <v/>
      </c>
      <c r="R259" s="110" t="str">
        <f>IF(R254="","",AVERAGE(R254:R258))</f>
        <v/>
      </c>
      <c r="S259" s="110" t="str">
        <f>IF(S254="","",AVERAGE(S254:S258))</f>
        <v/>
      </c>
      <c r="T259" s="6"/>
      <c r="U259" s="6"/>
      <c r="V259" s="6"/>
      <c r="W259" s="6"/>
      <c r="X259" s="6"/>
      <c r="Y259" s="241"/>
      <c r="AA259" s="6"/>
    </row>
    <row r="260" spans="1:34" ht="14.1" customHeight="1" thickBot="1">
      <c r="A260" s="20">
        <v>44</v>
      </c>
      <c r="B260" s="71"/>
      <c r="C260" s="72"/>
      <c r="D260" s="388" t="str">
        <f t="shared" si="41"/>
        <v/>
      </c>
      <c r="E260" s="388" t="str">
        <f t="shared" si="42"/>
        <v/>
      </c>
      <c r="F260" s="388" t="str">
        <f t="shared" si="43"/>
        <v/>
      </c>
      <c r="G260" s="72"/>
      <c r="H260" s="72"/>
      <c r="I260" s="72"/>
      <c r="J260" s="72"/>
      <c r="K260" s="72"/>
      <c r="L260" s="72"/>
      <c r="M260" s="73"/>
      <c r="O260" s="190"/>
      <c r="P260" s="242" t="s">
        <v>310</v>
      </c>
      <c r="Q260" s="250" t="str">
        <f>IF(U253="","",MAX(U253:U257))</f>
        <v/>
      </c>
      <c r="R260" s="250" t="str">
        <f t="shared" ref="R260:S260" si="47">IF(V253="","",MAX(V253:V257))</f>
        <v/>
      </c>
      <c r="S260" s="250" t="str">
        <f t="shared" si="47"/>
        <v/>
      </c>
      <c r="T260" s="6"/>
      <c r="U260" s="6"/>
      <c r="V260" s="6"/>
      <c r="W260" s="6"/>
      <c r="X260" s="6"/>
      <c r="Y260" s="241"/>
      <c r="AA260" s="6"/>
      <c r="AD260" s="601"/>
      <c r="AE260" s="601"/>
      <c r="AF260" s="601"/>
      <c r="AG260" s="601"/>
      <c r="AH260" s="601"/>
    </row>
    <row r="261" spans="1:34" ht="14.1" customHeight="1">
      <c r="A261" s="20">
        <v>45</v>
      </c>
      <c r="B261" s="71"/>
      <c r="C261" s="5" t="s">
        <v>204</v>
      </c>
      <c r="D261" s="105" t="s">
        <v>313</v>
      </c>
      <c r="E261" s="72"/>
      <c r="F261" s="72"/>
      <c r="G261" s="72"/>
      <c r="H261" s="72"/>
      <c r="I261" s="72"/>
      <c r="J261" s="72"/>
      <c r="K261" s="72"/>
      <c r="L261" s="72"/>
      <c r="M261" s="73"/>
      <c r="O261" s="190"/>
      <c r="Q261" s="4" t="str">
        <f>IF(Q260="","",IF(Q260&lt;=0.07,"Pass","Fail"))</f>
        <v/>
      </c>
      <c r="R261" s="4" t="str">
        <f t="shared" ref="R261:S261" si="48">IF(R260="","",IF(R260&lt;=0.07,"Pass","Fail"))</f>
        <v/>
      </c>
      <c r="S261" s="4" t="str">
        <f t="shared" si="48"/>
        <v/>
      </c>
      <c r="T261" s="6"/>
      <c r="U261" s="6"/>
      <c r="V261" s="6"/>
      <c r="W261" s="6"/>
      <c r="X261" s="6"/>
      <c r="Y261" s="241"/>
      <c r="AA261" s="6"/>
    </row>
    <row r="262" spans="1:34" ht="14.1" customHeight="1" thickBot="1">
      <c r="A262" s="20">
        <v>46</v>
      </c>
      <c r="B262" s="163"/>
      <c r="C262" s="44"/>
      <c r="D262" s="44"/>
      <c r="E262" s="44"/>
      <c r="F262" s="44"/>
      <c r="G262" s="44"/>
      <c r="H262" s="44"/>
      <c r="I262" s="44"/>
      <c r="J262" s="44"/>
      <c r="K262" s="44"/>
      <c r="L262" s="44"/>
      <c r="M262" s="164"/>
      <c r="O262" s="190"/>
      <c r="P262" s="5" t="s">
        <v>204</v>
      </c>
      <c r="Q262" s="142" t="s">
        <v>313</v>
      </c>
      <c r="T262" s="6"/>
      <c r="U262" s="6"/>
      <c r="V262" s="6"/>
      <c r="W262" s="6"/>
      <c r="X262" s="6"/>
      <c r="Y262" s="241"/>
      <c r="AA262" s="6"/>
    </row>
    <row r="263" spans="1:34" ht="14.1" customHeight="1" thickBot="1">
      <c r="A263" s="20">
        <v>47</v>
      </c>
      <c r="B263" s="71"/>
      <c r="C263" s="150" t="str">
        <f>O264</f>
        <v>Mean Glandular Dose - 2D</v>
      </c>
      <c r="D263" s="72"/>
      <c r="E263" s="72"/>
      <c r="F263" s="72"/>
      <c r="G263" s="72"/>
      <c r="H263" s="72"/>
      <c r="I263" s="72"/>
      <c r="J263" s="72"/>
      <c r="K263" s="72"/>
      <c r="L263" s="72"/>
      <c r="M263" s="73"/>
      <c r="O263" s="234"/>
      <c r="P263" s="196"/>
      <c r="Q263" s="196"/>
      <c r="R263" s="196"/>
      <c r="S263" s="196"/>
      <c r="T263" s="196"/>
      <c r="U263" s="196"/>
      <c r="V263" s="196"/>
      <c r="W263" s="196"/>
      <c r="X263" s="196"/>
      <c r="Y263" s="235"/>
      <c r="AA263" s="6"/>
    </row>
    <row r="264" spans="1:34" ht="14.1" customHeight="1">
      <c r="A264" s="20">
        <v>48</v>
      </c>
      <c r="B264" s="71"/>
      <c r="C264" s="166" t="s">
        <v>298</v>
      </c>
      <c r="D264" s="144" t="str">
        <f>IF(Q265="","",Q265)</f>
        <v/>
      </c>
      <c r="E264" s="72"/>
      <c r="F264" s="166" t="s">
        <v>173</v>
      </c>
      <c r="G264" s="144">
        <f>IF(T265="","",T265)</f>
        <v>28</v>
      </c>
      <c r="H264" s="72"/>
      <c r="I264" s="72"/>
      <c r="J264" s="72"/>
      <c r="K264" s="72"/>
      <c r="L264" s="72"/>
      <c r="M264" s="73"/>
      <c r="O264" s="140" t="s">
        <v>587</v>
      </c>
      <c r="P264" s="26"/>
      <c r="Q264" s="26"/>
      <c r="R264" s="26"/>
      <c r="S264" s="26"/>
      <c r="T264" s="26"/>
      <c r="U264" s="26"/>
      <c r="V264" s="26"/>
      <c r="W264" s="26"/>
      <c r="X264" s="26"/>
      <c r="Y264" s="27"/>
      <c r="AA264" s="6"/>
    </row>
    <row r="265" spans="1:34" ht="14.1" customHeight="1">
      <c r="A265" s="20">
        <v>49</v>
      </c>
      <c r="B265" s="71"/>
      <c r="C265" s="166" t="s">
        <v>95</v>
      </c>
      <c r="D265" s="144" t="str">
        <f>IF(Q266="","",Q266)</f>
        <v>W/Rh</v>
      </c>
      <c r="E265" s="72"/>
      <c r="F265" s="166" t="s">
        <v>176</v>
      </c>
      <c r="G265" s="144">
        <f>IF(T266="","",T266)</f>
        <v>100</v>
      </c>
      <c r="H265" s="72"/>
      <c r="I265" s="72"/>
      <c r="J265" s="72"/>
      <c r="K265" s="72"/>
      <c r="L265" s="72"/>
      <c r="M265" s="73"/>
      <c r="O265" s="33"/>
      <c r="P265" s="166" t="s">
        <v>298</v>
      </c>
      <c r="Q265" s="1"/>
      <c r="R265" s="72"/>
      <c r="S265" s="166" t="s">
        <v>173</v>
      </c>
      <c r="T265" s="141">
        <v>28</v>
      </c>
      <c r="U265" s="72"/>
      <c r="V265" s="342"/>
      <c r="W265" s="342"/>
      <c r="X265" s="72"/>
      <c r="Y265" s="35"/>
      <c r="AA265" s="6"/>
    </row>
    <row r="266" spans="1:34" ht="14.1" customHeight="1">
      <c r="A266" s="20">
        <v>50</v>
      </c>
      <c r="B266" s="71"/>
      <c r="C266" s="72"/>
      <c r="D266" s="72"/>
      <c r="E266" s="72"/>
      <c r="F266" s="111" t="s">
        <v>275</v>
      </c>
      <c r="G266" s="72"/>
      <c r="H266" s="72" t="s">
        <v>301</v>
      </c>
      <c r="I266" s="72"/>
      <c r="J266" s="72"/>
      <c r="K266" s="72"/>
      <c r="L266" s="72"/>
      <c r="M266" s="73"/>
      <c r="O266" s="33"/>
      <c r="P266" s="166" t="s">
        <v>95</v>
      </c>
      <c r="Q266" s="141" t="s">
        <v>238</v>
      </c>
      <c r="R266" s="72"/>
      <c r="S266" s="166" t="s">
        <v>176</v>
      </c>
      <c r="T266" s="141">
        <v>100</v>
      </c>
      <c r="U266" s="72"/>
      <c r="V266" s="72"/>
      <c r="W266" s="72"/>
      <c r="X266" s="72"/>
      <c r="Y266" s="35"/>
      <c r="AA266" s="6"/>
    </row>
    <row r="267" spans="1:34" ht="14.1" customHeight="1" thickBot="1">
      <c r="A267" s="20">
        <v>51</v>
      </c>
      <c r="B267" s="71"/>
      <c r="C267" s="111"/>
      <c r="D267" s="111" t="s">
        <v>72</v>
      </c>
      <c r="E267" s="111" t="s">
        <v>284</v>
      </c>
      <c r="F267" s="111" t="s">
        <v>276</v>
      </c>
      <c r="G267" s="111" t="s">
        <v>303</v>
      </c>
      <c r="H267" s="111" t="s">
        <v>304</v>
      </c>
      <c r="I267" s="72"/>
      <c r="J267" s="166" t="s">
        <v>305</v>
      </c>
      <c r="K267" s="145" t="e">
        <f t="shared" ref="K267:K272" si="49">IF(X268="","",X268)</f>
        <v>#N/A</v>
      </c>
      <c r="L267" s="72"/>
      <c r="M267" s="73"/>
      <c r="O267" s="33"/>
      <c r="P267" s="72"/>
      <c r="Q267" s="72"/>
      <c r="R267" s="72"/>
      <c r="S267" s="111" t="s">
        <v>275</v>
      </c>
      <c r="T267" s="72"/>
      <c r="U267" s="72" t="s">
        <v>301</v>
      </c>
      <c r="V267" s="72"/>
      <c r="W267" s="72"/>
      <c r="X267" s="72"/>
      <c r="Y267" s="35"/>
    </row>
    <row r="268" spans="1:34" ht="14.1" customHeight="1">
      <c r="A268" s="20">
        <v>52</v>
      </c>
      <c r="B268" s="71"/>
      <c r="C268" s="72"/>
      <c r="D268" s="244" t="str">
        <f t="shared" ref="D268:H273" si="50">IF(Q269="","",Q269)</f>
        <v/>
      </c>
      <c r="E268" s="594" t="str">
        <f t="shared" si="50"/>
        <v/>
      </c>
      <c r="F268" s="209" t="str">
        <f t="shared" si="50"/>
        <v/>
      </c>
      <c r="G268" s="245" t="str">
        <f t="shared" si="50"/>
        <v/>
      </c>
      <c r="H268" s="246" t="str">
        <f t="shared" si="50"/>
        <v/>
      </c>
      <c r="I268" s="72"/>
      <c r="J268" s="166" t="s">
        <v>307</v>
      </c>
      <c r="K268" s="146" t="str">
        <f t="shared" si="49"/>
        <v/>
      </c>
      <c r="L268" s="72"/>
      <c r="M268" s="73"/>
      <c r="O268" s="190"/>
      <c r="P268" s="72"/>
      <c r="Q268" s="111" t="s">
        <v>72</v>
      </c>
      <c r="R268" s="111" t="s">
        <v>284</v>
      </c>
      <c r="S268" s="111" t="s">
        <v>276</v>
      </c>
      <c r="T268" s="111" t="s">
        <v>303</v>
      </c>
      <c r="U268" s="111" t="s">
        <v>304</v>
      </c>
      <c r="V268" s="72"/>
      <c r="W268" s="166" t="s">
        <v>305</v>
      </c>
      <c r="X268" s="277" t="e">
        <f>IF(T265="","",T265*HLOOKUP($Q$266,Tables!D78:F80,2)+HLOOKUP(Sheet1!$Q$266,Tables!D78:F80,3))</f>
        <v>#N/A</v>
      </c>
      <c r="Y268" s="35"/>
    </row>
    <row r="269" spans="1:34" ht="14.1" customHeight="1">
      <c r="A269" s="20">
        <v>53</v>
      </c>
      <c r="B269" s="71"/>
      <c r="C269" s="72"/>
      <c r="D269" s="247" t="str">
        <f t="shared" si="50"/>
        <v/>
      </c>
      <c r="E269" s="110" t="str">
        <f t="shared" si="50"/>
        <v/>
      </c>
      <c r="F269" s="14" t="str">
        <f t="shared" si="50"/>
        <v/>
      </c>
      <c r="G269" s="16" t="str">
        <f t="shared" si="50"/>
        <v/>
      </c>
      <c r="H269" s="248" t="str">
        <f t="shared" si="50"/>
        <v/>
      </c>
      <c r="I269" s="72"/>
      <c r="J269" s="166" t="s">
        <v>309</v>
      </c>
      <c r="K269" s="249" t="e">
        <f t="shared" si="49"/>
        <v>#N/A</v>
      </c>
      <c r="L269" s="72"/>
      <c r="M269" s="73"/>
      <c r="O269" s="190"/>
      <c r="P269" s="72"/>
      <c r="Q269" s="149"/>
      <c r="R269" s="149"/>
      <c r="S269" s="149"/>
      <c r="T269" s="308" t="str">
        <f>IF(Q269="","",Q269/$T$266)</f>
        <v/>
      </c>
      <c r="U269" s="310" t="str">
        <f>IF(Q269="","",($T$265^2*HLOOKUP($Q$266,Tables!$D$70:$F$72,2)+HLOOKUP(Sheet1!$Q$266,Tables!$D$70:$F$72,3))*Q269)</f>
        <v/>
      </c>
      <c r="V269" s="72"/>
      <c r="W269" s="166" t="s">
        <v>307</v>
      </c>
      <c r="X269" s="277" t="str">
        <f>IF(U273="","",U273)</f>
        <v/>
      </c>
      <c r="Y269" s="35"/>
    </row>
    <row r="270" spans="1:34" ht="14.1" customHeight="1">
      <c r="A270" s="20">
        <v>54</v>
      </c>
      <c r="B270" s="71"/>
      <c r="C270" s="72"/>
      <c r="D270" s="247" t="str">
        <f t="shared" si="50"/>
        <v/>
      </c>
      <c r="E270" s="110" t="str">
        <f t="shared" si="50"/>
        <v/>
      </c>
      <c r="F270" s="14" t="str">
        <f t="shared" si="50"/>
        <v/>
      </c>
      <c r="G270" s="16" t="str">
        <f t="shared" si="50"/>
        <v/>
      </c>
      <c r="H270" s="248" t="str">
        <f t="shared" si="50"/>
        <v/>
      </c>
      <c r="I270" s="72"/>
      <c r="J270" s="166" t="s">
        <v>311</v>
      </c>
      <c r="K270" s="146" t="str">
        <f t="shared" si="49"/>
        <v/>
      </c>
      <c r="L270" s="72"/>
      <c r="M270" s="73"/>
      <c r="O270" s="190"/>
      <c r="P270" s="72"/>
      <c r="Q270" s="149"/>
      <c r="R270" s="149"/>
      <c r="S270" s="149"/>
      <c r="T270" s="308" t="str">
        <f>IF(Q270="","",Q270/$T$266)</f>
        <v/>
      </c>
      <c r="U270" s="310" t="str">
        <f>IF(Q270="","",($T$265^2*HLOOKUP($Q$266,Tables!$D$70:$F$72,2)+HLOOKUP(Sheet1!$Q$266,Tables!$D$70:$F$72,3))*Q270)</f>
        <v/>
      </c>
      <c r="V270" s="72"/>
      <c r="W270" s="166" t="s">
        <v>309</v>
      </c>
      <c r="X270" s="260" t="e">
        <f>IF(Q266="","",HLOOKUP(Q266,Tables!A83:F84,2))</f>
        <v>#N/A</v>
      </c>
      <c r="Y270" s="35"/>
    </row>
    <row r="271" spans="1:34" ht="14.1" customHeight="1" thickBot="1">
      <c r="A271" s="20">
        <v>55</v>
      </c>
      <c r="B271" s="71"/>
      <c r="C271" s="72"/>
      <c r="D271" s="251" t="str">
        <f t="shared" si="50"/>
        <v/>
      </c>
      <c r="E271" s="595" t="str">
        <f t="shared" si="50"/>
        <v/>
      </c>
      <c r="F271" s="212" t="str">
        <f t="shared" si="50"/>
        <v/>
      </c>
      <c r="G271" s="252" t="str">
        <f t="shared" si="50"/>
        <v/>
      </c>
      <c r="H271" s="253" t="str">
        <f t="shared" si="50"/>
        <v/>
      </c>
      <c r="I271" s="72"/>
      <c r="J271" s="166" t="s">
        <v>312</v>
      </c>
      <c r="K271" s="146" t="str">
        <f t="shared" si="49"/>
        <v/>
      </c>
      <c r="L271" s="72"/>
      <c r="M271" s="73"/>
      <c r="O271" s="190"/>
      <c r="P271" s="72"/>
      <c r="Q271" s="149"/>
      <c r="R271" s="149"/>
      <c r="S271" s="149"/>
      <c r="T271" s="308" t="str">
        <f>IF(Q271="","",Q271/$T$266)</f>
        <v/>
      </c>
      <c r="U271" s="310" t="str">
        <f>IF(Q271="","",($T$265^2*HLOOKUP($Q$266,Tables!$D$70:$F$72,2)+HLOOKUP(Sheet1!$Q$266,Tables!$D$70:$F$72,3))*Q271)</f>
        <v/>
      </c>
      <c r="V271" s="72"/>
      <c r="W271" s="166" t="s">
        <v>311</v>
      </c>
      <c r="X271" s="261" t="str">
        <f>IF(ESE="","",ESE*Tables!D84)</f>
        <v/>
      </c>
      <c r="Y271" s="35"/>
    </row>
    <row r="272" spans="1:34" ht="14.1" customHeight="1">
      <c r="A272" s="20">
        <v>56</v>
      </c>
      <c r="B272" s="71"/>
      <c r="C272" s="166" t="s">
        <v>272</v>
      </c>
      <c r="D272" s="247" t="str">
        <f t="shared" si="50"/>
        <v/>
      </c>
      <c r="E272" s="110" t="str">
        <f t="shared" si="50"/>
        <v/>
      </c>
      <c r="F272" s="15" t="str">
        <f t="shared" si="50"/>
        <v/>
      </c>
      <c r="G272" s="16" t="str">
        <f t="shared" si="50"/>
        <v/>
      </c>
      <c r="H272" s="248" t="str">
        <f t="shared" si="50"/>
        <v/>
      </c>
      <c r="I272" s="72"/>
      <c r="J272" s="166" t="s">
        <v>314</v>
      </c>
      <c r="K272" s="254" t="str">
        <f t="shared" si="49"/>
        <v/>
      </c>
      <c r="L272" s="72"/>
      <c r="M272" s="73"/>
      <c r="O272" s="190"/>
      <c r="P272" s="72"/>
      <c r="Q272" s="149"/>
      <c r="R272" s="149"/>
      <c r="S272" s="149"/>
      <c r="T272" s="308" t="str">
        <f>IF(Q272="","",Q272/$T$266)</f>
        <v/>
      </c>
      <c r="U272" s="310" t="str">
        <f>IF(Q272="","",($T$265^2*HLOOKUP($Q$266,Tables!$D$70:$F$72,2)+HLOOKUP(Sheet1!$Q$266,Tables!$D$70:$F$72,3))*Q272)</f>
        <v/>
      </c>
      <c r="V272" s="72"/>
      <c r="W272" s="166" t="s">
        <v>312</v>
      </c>
      <c r="X272" s="262" t="str">
        <f>IF(AB85="","",AB85)</f>
        <v/>
      </c>
      <c r="Y272" s="35"/>
    </row>
    <row r="273" spans="1:25" ht="14.1" customHeight="1" thickBot="1">
      <c r="A273" s="20">
        <v>57</v>
      </c>
      <c r="B273" s="71"/>
      <c r="C273" s="166" t="s">
        <v>274</v>
      </c>
      <c r="D273" s="194" t="str">
        <f t="shared" si="50"/>
        <v/>
      </c>
      <c r="E273" s="188" t="str">
        <f t="shared" si="50"/>
        <v/>
      </c>
      <c r="F273" s="188" t="str">
        <f t="shared" si="50"/>
        <v/>
      </c>
      <c r="G273" s="188" t="str">
        <f t="shared" si="50"/>
        <v/>
      </c>
      <c r="H273" s="189" t="str">
        <f t="shared" si="50"/>
        <v/>
      </c>
      <c r="I273" s="72"/>
      <c r="J273" s="72"/>
      <c r="K273" s="72"/>
      <c r="L273" s="72"/>
      <c r="M273" s="73"/>
      <c r="O273" s="190"/>
      <c r="P273" s="166" t="s">
        <v>272</v>
      </c>
      <c r="Q273" s="74" t="str">
        <f>IF(OR(Q269="",Q270="",Q271="",Q272=""),"",AVERAGE(Q269:Q272))</f>
        <v/>
      </c>
      <c r="R273" s="263" t="str">
        <f>IF(OR(R269="",R270="",R271="",R272=""),"",AVERAGE(R269:R272))</f>
        <v/>
      </c>
      <c r="S273" s="75" t="str">
        <f>IF(OR(S269="",S270="",S271="",S272=""),"",AVERAGE(S269:S272))</f>
        <v/>
      </c>
      <c r="T273" s="264" t="str">
        <f>IF(OR(T269="",T270="",T271="",T272=""),"",AVERAGE(T269:T272))</f>
        <v/>
      </c>
      <c r="U273" s="309" t="str">
        <f>IF(OR(U269="",U270="",U271="",U272=""),"",AVERAGE(U269:U272))</f>
        <v/>
      </c>
      <c r="V273" s="72"/>
      <c r="W273" s="166" t="s">
        <v>314</v>
      </c>
      <c r="X273" s="265" t="str">
        <f>IF(OR(X271="",X272=""),"",(X271-X272)/X272)</f>
        <v/>
      </c>
      <c r="Y273" s="35"/>
    </row>
    <row r="274" spans="1:25" ht="14.1" customHeight="1">
      <c r="A274" s="20">
        <v>58</v>
      </c>
      <c r="B274" s="71"/>
      <c r="C274" s="5" t="s">
        <v>204</v>
      </c>
      <c r="D274" s="105" t="s">
        <v>315</v>
      </c>
      <c r="E274" s="72"/>
      <c r="F274" s="72"/>
      <c r="G274" s="72"/>
      <c r="H274" s="72"/>
      <c r="I274" s="72"/>
      <c r="J274" s="166" t="s">
        <v>316</v>
      </c>
      <c r="K274" s="255" t="str">
        <f>IF(X276="","",X276)</f>
        <v/>
      </c>
      <c r="L274" s="72"/>
      <c r="M274" s="73"/>
      <c r="O274" s="190"/>
      <c r="P274" s="166" t="s">
        <v>274</v>
      </c>
      <c r="Q274" s="258" t="str">
        <f>IF(Q273="","",_xlfn.STDEV.S(Q269:Q272)/Q273)</f>
        <v/>
      </c>
      <c r="R274" s="258" t="str">
        <f>IF(R273="","",_xlfn.STDEV.S(R269:R272)/R273)</f>
        <v/>
      </c>
      <c r="S274" s="258" t="str">
        <f>IF(S273="","",_xlfn.STDEV.S(S269:S272)/S273)</f>
        <v/>
      </c>
      <c r="T274" s="258" t="str">
        <f>IF(T273="","",_xlfn.STDEV.S(T269:T272)/T273)</f>
        <v/>
      </c>
      <c r="U274" s="258" t="str">
        <f>IF(U273="","",_xlfn.STDEV.S(U269:U272)/U273)</f>
        <v/>
      </c>
      <c r="V274" s="72"/>
      <c r="W274" s="342"/>
      <c r="X274" s="342"/>
      <c r="Y274" s="35"/>
    </row>
    <row r="275" spans="1:25" ht="14.1" customHeight="1">
      <c r="A275" s="20">
        <v>59</v>
      </c>
      <c r="B275" s="71"/>
      <c r="C275" s="72"/>
      <c r="D275" s="105" t="s">
        <v>317</v>
      </c>
      <c r="E275" s="72"/>
      <c r="F275" s="72"/>
      <c r="G275" s="72"/>
      <c r="H275" s="72"/>
      <c r="I275" s="72"/>
      <c r="J275" s="166" t="s">
        <v>318</v>
      </c>
      <c r="K275" s="256" t="str">
        <f>IF(X277="","",X277)</f>
        <v/>
      </c>
      <c r="L275" s="72"/>
      <c r="M275" s="73"/>
      <c r="O275" s="33"/>
      <c r="P275" s="342"/>
      <c r="Q275" s="342"/>
      <c r="R275" s="342"/>
      <c r="S275" s="342"/>
      <c r="T275" s="342"/>
      <c r="U275" s="342"/>
      <c r="V275" s="72"/>
      <c r="W275" s="72"/>
      <c r="X275" s="72"/>
      <c r="Y275" s="35"/>
    </row>
    <row r="276" spans="1:25" ht="14.1" customHeight="1">
      <c r="A276" s="20">
        <v>60</v>
      </c>
      <c r="B276" s="71"/>
      <c r="C276" s="72"/>
      <c r="D276" s="72"/>
      <c r="E276" s="72"/>
      <c r="F276" s="72"/>
      <c r="G276" s="72"/>
      <c r="H276" s="72"/>
      <c r="I276" s="72"/>
      <c r="J276" s="72"/>
      <c r="K276" s="72"/>
      <c r="L276" s="72"/>
      <c r="M276" s="73"/>
      <c r="O276" s="33"/>
      <c r="P276" s="5" t="s">
        <v>204</v>
      </c>
      <c r="Q276" s="105" t="s">
        <v>315</v>
      </c>
      <c r="R276" s="72"/>
      <c r="S276" s="72"/>
      <c r="T276" s="72"/>
      <c r="U276" s="72"/>
      <c r="V276" s="72"/>
      <c r="W276" s="166" t="s">
        <v>316</v>
      </c>
      <c r="X276" s="255" t="str">
        <f>IF(X271="","",(X271-AVERAGE(S269:S272))/AVERAGE(S269:S272))</f>
        <v/>
      </c>
      <c r="Y276" s="35"/>
    </row>
    <row r="277" spans="1:25" ht="14.1" customHeight="1">
      <c r="A277" s="20">
        <v>61</v>
      </c>
      <c r="B277" s="71"/>
      <c r="C277" s="72"/>
      <c r="D277" s="72"/>
      <c r="E277" s="72"/>
      <c r="F277" s="72"/>
      <c r="G277" s="72"/>
      <c r="H277" s="72"/>
      <c r="I277" s="72"/>
      <c r="J277" s="72"/>
      <c r="K277" s="72"/>
      <c r="L277" s="72"/>
      <c r="M277" s="73"/>
      <c r="O277" s="33"/>
      <c r="P277" s="197"/>
      <c r="Q277" s="105" t="s">
        <v>520</v>
      </c>
      <c r="R277" s="72"/>
      <c r="S277" s="72"/>
      <c r="T277" s="72"/>
      <c r="U277" s="72"/>
      <c r="V277" s="72"/>
      <c r="W277" s="166" t="s">
        <v>318</v>
      </c>
      <c r="X277" s="256" t="str">
        <f>IF(OR(X271="",Q273=""),"",3/(X271/Q273))</f>
        <v/>
      </c>
      <c r="Y277" s="35"/>
    </row>
    <row r="278" spans="1:25" ht="14.1" customHeight="1">
      <c r="A278" s="20">
        <v>62</v>
      </c>
      <c r="B278" s="71"/>
      <c r="C278" s="72"/>
      <c r="D278" s="72"/>
      <c r="E278" s="72"/>
      <c r="F278" s="72"/>
      <c r="G278" s="72"/>
      <c r="H278" s="72"/>
      <c r="I278" s="72"/>
      <c r="J278" s="72"/>
      <c r="K278" s="72"/>
      <c r="L278" s="72"/>
      <c r="M278" s="73"/>
      <c r="O278" s="33"/>
      <c r="P278" s="72"/>
      <c r="Q278" s="72"/>
      <c r="R278" s="72"/>
      <c r="S278" s="72"/>
      <c r="T278" s="72"/>
      <c r="U278" s="72"/>
      <c r="V278" s="72"/>
      <c r="W278" s="72"/>
      <c r="X278" s="72"/>
      <c r="Y278" s="35"/>
    </row>
    <row r="279" spans="1:25" ht="14.1" customHeight="1" thickBot="1">
      <c r="A279" s="20">
        <v>63</v>
      </c>
      <c r="B279" s="71"/>
      <c r="C279" s="150" t="str">
        <f>O279</f>
        <v>Mean Glandular Dose - 3D</v>
      </c>
      <c r="D279" s="72"/>
      <c r="E279" s="72"/>
      <c r="F279" s="72"/>
      <c r="G279" s="72"/>
      <c r="H279" s="72"/>
      <c r="I279" s="72"/>
      <c r="J279" s="72"/>
      <c r="K279" s="72"/>
      <c r="L279" s="72"/>
      <c r="M279" s="73"/>
      <c r="O279" s="143" t="s">
        <v>588</v>
      </c>
      <c r="P279" s="72"/>
      <c r="Q279" s="72"/>
      <c r="R279" s="72"/>
      <c r="S279" s="72"/>
      <c r="T279" s="72"/>
      <c r="U279" s="72"/>
      <c r="V279" s="72"/>
      <c r="W279" s="72"/>
      <c r="X279" s="72"/>
      <c r="Y279" s="35"/>
    </row>
    <row r="280" spans="1:25" ht="14.1" customHeight="1" thickBot="1">
      <c r="A280" s="20">
        <v>64</v>
      </c>
      <c r="B280" s="71"/>
      <c r="C280" s="739" t="s">
        <v>589</v>
      </c>
      <c r="D280" s="740" t="s">
        <v>269</v>
      </c>
      <c r="E280" s="740" t="s">
        <v>72</v>
      </c>
      <c r="F280" s="740" t="s">
        <v>276</v>
      </c>
      <c r="G280" s="740" t="s">
        <v>590</v>
      </c>
      <c r="H280" s="741" t="s">
        <v>291</v>
      </c>
      <c r="I280" s="72"/>
      <c r="J280" s="72"/>
      <c r="K280" s="72"/>
      <c r="L280" s="72"/>
      <c r="M280" s="73"/>
      <c r="O280" s="33"/>
      <c r="P280" s="72"/>
      <c r="Q280" s="72"/>
      <c r="R280" s="72"/>
      <c r="S280" s="72"/>
      <c r="T280" s="72"/>
      <c r="U280" s="72"/>
      <c r="V280" s="72"/>
      <c r="W280" s="72"/>
      <c r="X280" s="72"/>
      <c r="Y280" s="35"/>
    </row>
    <row r="281" spans="1:25" ht="14.1" customHeight="1">
      <c r="A281" s="20">
        <v>65</v>
      </c>
      <c r="B281" s="71"/>
      <c r="C281" s="348">
        <v>20</v>
      </c>
      <c r="D281" s="303">
        <v>26</v>
      </c>
      <c r="E281" s="735" t="str">
        <f>IF(R282="","",R282)</f>
        <v/>
      </c>
      <c r="F281" s="735" t="str">
        <f t="shared" ref="F281:F283" si="51">IF(S282="","",S282)</f>
        <v/>
      </c>
      <c r="G281" s="412">
        <v>1</v>
      </c>
      <c r="H281" s="736" t="str">
        <f>IF(V282="","",V282)</f>
        <v/>
      </c>
      <c r="I281" s="72"/>
      <c r="J281" s="72"/>
      <c r="K281" s="72"/>
      <c r="L281" s="72"/>
      <c r="M281" s="73"/>
      <c r="O281" s="33"/>
      <c r="P281" s="739" t="s">
        <v>589</v>
      </c>
      <c r="Q281" s="740" t="s">
        <v>269</v>
      </c>
      <c r="R281" s="740" t="s">
        <v>72</v>
      </c>
      <c r="S281" s="740" t="s">
        <v>276</v>
      </c>
      <c r="T281" s="718" t="s">
        <v>630</v>
      </c>
      <c r="U281" s="740" t="s">
        <v>590</v>
      </c>
      <c r="V281" s="741" t="s">
        <v>291</v>
      </c>
      <c r="W281" s="72"/>
      <c r="X281" s="72"/>
      <c r="Y281" s="35"/>
    </row>
    <row r="282" spans="1:25" ht="14.1" customHeight="1">
      <c r="A282" s="20">
        <v>66</v>
      </c>
      <c r="B282" s="71"/>
      <c r="C282" s="348">
        <v>40</v>
      </c>
      <c r="D282" s="303">
        <v>28</v>
      </c>
      <c r="E282" s="735" t="str">
        <f t="shared" ref="E282:E283" si="52">IF(R283="","",R283)</f>
        <v/>
      </c>
      <c r="F282" s="735" t="str">
        <f t="shared" si="51"/>
        <v/>
      </c>
      <c r="G282" s="412">
        <v>2</v>
      </c>
      <c r="H282" s="736" t="str">
        <f>IF(V283="","",V283)</f>
        <v/>
      </c>
      <c r="I282" s="72"/>
      <c r="J282" s="72"/>
      <c r="K282" s="72"/>
      <c r="L282" s="72"/>
      <c r="M282" s="73"/>
      <c r="O282" s="33"/>
      <c r="P282" s="348">
        <v>20</v>
      </c>
      <c r="Q282" s="303">
        <v>26</v>
      </c>
      <c r="R282" s="737"/>
      <c r="S282" s="737"/>
      <c r="T282" s="833" t="str">
        <f>IF(AB119="","",AB119)</f>
        <v/>
      </c>
      <c r="U282" s="412">
        <v>1</v>
      </c>
      <c r="V282" s="349" t="str">
        <f>IF(S282="","",IF(S282&lt;=U282, "Pass","Fail"))</f>
        <v/>
      </c>
      <c r="W282" s="72"/>
      <c r="X282" s="72"/>
      <c r="Y282" s="35"/>
    </row>
    <row r="283" spans="1:25" ht="14.1" customHeight="1" thickBot="1">
      <c r="A283" s="20">
        <v>67</v>
      </c>
      <c r="B283" s="71"/>
      <c r="C283" s="398">
        <v>60</v>
      </c>
      <c r="D283" s="456">
        <v>30</v>
      </c>
      <c r="E283" s="716" t="str">
        <f t="shared" si="52"/>
        <v/>
      </c>
      <c r="F283" s="716" t="str">
        <f t="shared" si="51"/>
        <v/>
      </c>
      <c r="G283" s="727">
        <v>4.5</v>
      </c>
      <c r="H283" s="717" t="str">
        <f>IF(V284="","",V284)</f>
        <v/>
      </c>
      <c r="I283" s="72"/>
      <c r="J283" s="72"/>
      <c r="K283" s="72"/>
      <c r="L283" s="72"/>
      <c r="M283" s="73"/>
      <c r="O283" s="33"/>
      <c r="P283" s="348">
        <v>40</v>
      </c>
      <c r="Q283" s="303">
        <v>28</v>
      </c>
      <c r="R283" s="737"/>
      <c r="S283" s="737"/>
      <c r="T283" s="833" t="str">
        <f t="shared" ref="T283:T284" si="53">IF(AB120="","",AB120)</f>
        <v/>
      </c>
      <c r="U283" s="412">
        <v>2</v>
      </c>
      <c r="V283" s="349" t="str">
        <f>IF(S283="","",IF(S283&lt;=U283, "Pass","Fail"))</f>
        <v/>
      </c>
      <c r="W283" s="72"/>
      <c r="X283" s="72"/>
      <c r="Y283" s="35"/>
    </row>
    <row r="284" spans="1:25" ht="14.1" customHeight="1" thickBot="1">
      <c r="A284" s="20">
        <v>68</v>
      </c>
      <c r="B284" s="71"/>
      <c r="C284" s="5" t="s">
        <v>204</v>
      </c>
      <c r="D284" s="105" t="s">
        <v>591</v>
      </c>
      <c r="E284" s="72"/>
      <c r="F284" s="72"/>
      <c r="G284" s="72"/>
      <c r="H284" s="72"/>
      <c r="I284" s="72"/>
      <c r="J284" s="72"/>
      <c r="K284" s="72"/>
      <c r="L284" s="72"/>
      <c r="M284" s="73"/>
      <c r="O284" s="33"/>
      <c r="P284" s="398">
        <v>60</v>
      </c>
      <c r="Q284" s="456">
        <v>30</v>
      </c>
      <c r="R284" s="738"/>
      <c r="S284" s="738"/>
      <c r="T284" s="834" t="str">
        <f t="shared" si="53"/>
        <v/>
      </c>
      <c r="U284" s="727">
        <v>4.5</v>
      </c>
      <c r="V284" s="399" t="str">
        <f>IF(S284="","",IF(S284&lt;=U284, "Pass","Fail"))</f>
        <v/>
      </c>
      <c r="W284" s="72"/>
      <c r="X284" s="72"/>
      <c r="Y284" s="35"/>
    </row>
    <row r="285" spans="1:25" ht="14.1" customHeight="1">
      <c r="A285" s="20">
        <v>69</v>
      </c>
      <c r="B285" s="71"/>
      <c r="C285" s="72"/>
      <c r="D285" s="72"/>
      <c r="E285" s="72"/>
      <c r="F285" s="72"/>
      <c r="G285" s="72"/>
      <c r="H285" s="72"/>
      <c r="I285" s="72"/>
      <c r="J285" s="72"/>
      <c r="K285" s="72"/>
      <c r="L285" s="72"/>
      <c r="M285" s="73"/>
      <c r="O285" s="33"/>
      <c r="P285" s="5" t="s">
        <v>204</v>
      </c>
      <c r="Q285" s="105" t="s">
        <v>591</v>
      </c>
      <c r="R285" s="72"/>
      <c r="S285" s="72"/>
      <c r="T285" s="72"/>
      <c r="U285" s="72"/>
      <c r="V285" s="72"/>
      <c r="W285" s="72"/>
      <c r="X285" s="72"/>
      <c r="Y285" s="35"/>
    </row>
    <row r="286" spans="1:25" ht="14.1" customHeight="1" thickBot="1">
      <c r="A286" s="20">
        <v>70</v>
      </c>
      <c r="B286" s="84"/>
      <c r="C286" s="85"/>
      <c r="D286" s="85"/>
      <c r="E286" s="85"/>
      <c r="F286" s="85"/>
      <c r="G286" s="85"/>
      <c r="H286" s="85"/>
      <c r="I286" s="85"/>
      <c r="J286" s="85"/>
      <c r="K286" s="85"/>
      <c r="L286" s="85"/>
      <c r="M286" s="86"/>
      <c r="O286" s="43"/>
      <c r="P286" s="44"/>
      <c r="Q286" s="44"/>
      <c r="R286" s="44"/>
      <c r="S286" s="44"/>
      <c r="T286" s="44"/>
      <c r="U286" s="44"/>
      <c r="V286" s="44"/>
      <c r="W286" s="44"/>
      <c r="X286" s="44"/>
      <c r="Y286" s="45"/>
    </row>
    <row r="287" spans="1:25" ht="14.1" customHeight="1" thickTop="1">
      <c r="A287" s="20">
        <v>71</v>
      </c>
      <c r="C287" s="113" t="s">
        <v>11</v>
      </c>
      <c r="D287" s="386" t="str">
        <f>IF($P$7="","",$P$7)</f>
        <v/>
      </c>
      <c r="E287" s="30"/>
      <c r="F287" s="30"/>
      <c r="G287" s="30"/>
      <c r="H287" s="30"/>
      <c r="I287" s="30"/>
      <c r="J287" s="30"/>
      <c r="K287" s="30"/>
      <c r="L287" s="113" t="s">
        <v>12</v>
      </c>
      <c r="M287" s="387" t="str">
        <f>IF($X$7="","",$X$7)</f>
        <v>Eugene Mah</v>
      </c>
      <c r="O287" s="140" t="s">
        <v>592</v>
      </c>
      <c r="P287" s="26"/>
      <c r="Q287" s="26"/>
      <c r="R287" s="26"/>
      <c r="S287" s="26"/>
      <c r="T287" s="26"/>
      <c r="U287" s="26"/>
      <c r="V287" s="26"/>
      <c r="W287" s="26"/>
      <c r="X287" s="26"/>
      <c r="Y287" s="27"/>
    </row>
    <row r="288" spans="1:25" ht="14.1" customHeight="1">
      <c r="A288" s="20">
        <v>72</v>
      </c>
      <c r="C288" s="113" t="s">
        <v>121</v>
      </c>
      <c r="D288" s="387" t="str">
        <f>IF($R$14="","",$R$14)</f>
        <v/>
      </c>
      <c r="E288" s="30"/>
      <c r="F288" s="30"/>
      <c r="G288" s="30"/>
      <c r="H288" s="30"/>
      <c r="I288" s="30"/>
      <c r="J288" s="30"/>
      <c r="K288" s="30"/>
      <c r="L288" s="113" t="s">
        <v>37</v>
      </c>
      <c r="M288" s="387" t="str">
        <f>IF($R$13="","",$R$13)</f>
        <v/>
      </c>
      <c r="O288" s="33"/>
      <c r="P288" s="166" t="s">
        <v>598</v>
      </c>
      <c r="Q288" s="166" t="s">
        <v>595</v>
      </c>
      <c r="R288" s="1">
        <v>100</v>
      </c>
      <c r="S288" s="72"/>
      <c r="T288" s="72"/>
      <c r="U288" s="72"/>
      <c r="V288" s="72"/>
      <c r="W288" s="72"/>
      <c r="X288" s="72"/>
      <c r="Y288" s="35"/>
    </row>
    <row r="289" spans="1:25" ht="14.1" customHeight="1" thickBot="1">
      <c r="A289" s="20">
        <v>1</v>
      </c>
      <c r="M289" s="116" t="str">
        <f>$H$2</f>
        <v>Medical University of South Carolina</v>
      </c>
      <c r="O289" s="33"/>
      <c r="P289" s="72"/>
      <c r="Q289" s="166" t="s">
        <v>596</v>
      </c>
      <c r="R289" s="728">
        <v>100</v>
      </c>
      <c r="S289" s="835" t="s">
        <v>321</v>
      </c>
      <c r="T289" s="835"/>
      <c r="U289" s="72"/>
      <c r="V289" s="72"/>
      <c r="W289" s="72"/>
      <c r="X289" s="72"/>
      <c r="Y289" s="35"/>
    </row>
    <row r="290" spans="1:25" ht="14.1" customHeight="1" thickBot="1">
      <c r="A290" s="20">
        <v>2</v>
      </c>
      <c r="H290" s="54" t="s">
        <v>73</v>
      </c>
      <c r="M290" s="117" t="str">
        <f>$H$5</f>
        <v>Mammography System Compliance Inspection</v>
      </c>
      <c r="O290" s="33"/>
      <c r="P290" s="739" t="s">
        <v>594</v>
      </c>
      <c r="Q290" s="740" t="s">
        <v>593</v>
      </c>
      <c r="R290" s="741" t="s">
        <v>291</v>
      </c>
      <c r="S290" s="739" t="s">
        <v>594</v>
      </c>
      <c r="T290" s="741" t="s">
        <v>593</v>
      </c>
      <c r="U290" s="72"/>
      <c r="V290" s="72"/>
      <c r="W290" s="72"/>
      <c r="X290" s="72"/>
      <c r="Y290" s="35"/>
    </row>
    <row r="291" spans="1:25" ht="14.1" customHeight="1" thickTop="1">
      <c r="A291" s="20">
        <v>3</v>
      </c>
      <c r="B291" s="62"/>
      <c r="C291" s="274" t="s">
        <v>332</v>
      </c>
      <c r="D291" s="275" t="str">
        <f>IF(P342="","",P342)</f>
        <v/>
      </c>
      <c r="E291" s="274" t="s">
        <v>339</v>
      </c>
      <c r="F291" s="512" t="str">
        <f>IF(P343="","",P343)</f>
        <v/>
      </c>
      <c r="G291" s="63"/>
      <c r="H291" s="274" t="s">
        <v>333</v>
      </c>
      <c r="I291" s="816" t="str">
        <f>IF(S342="","",S342)</f>
        <v/>
      </c>
      <c r="J291" s="816"/>
      <c r="K291" s="63"/>
      <c r="L291" s="63"/>
      <c r="M291" s="65"/>
      <c r="O291" s="165" t="s">
        <v>609</v>
      </c>
      <c r="P291" s="729"/>
      <c r="Q291" s="149"/>
      <c r="R291" s="349" t="str">
        <f>IF(OR(P291="",Q291=""),"",IF(AND(ABS($R$288-P291)&lt;=$R$288*0.02,ABS($R$289-Q291)&lt;=$R$289*0.02),"Pass","Fail"))</f>
        <v/>
      </c>
      <c r="S291" s="826" t="str">
        <f>IF(AB122="","",AB122)</f>
        <v/>
      </c>
      <c r="T291" s="827" t="str">
        <f>IF(AB123="","",AB123)</f>
        <v/>
      </c>
      <c r="U291" s="72"/>
      <c r="V291" s="72"/>
      <c r="W291" s="72"/>
      <c r="X291" s="72"/>
      <c r="Y291" s="35"/>
    </row>
    <row r="292" spans="1:25" ht="14.1" customHeight="1">
      <c r="A292" s="20">
        <v>4</v>
      </c>
      <c r="B292" s="71"/>
      <c r="C292" s="6"/>
      <c r="D292" s="6"/>
      <c r="E292" s="6"/>
      <c r="F292" s="6"/>
      <c r="G292" s="6"/>
      <c r="H292" s="166" t="s">
        <v>335</v>
      </c>
      <c r="I292" s="817" t="str">
        <f>IF(S343="","",S343)</f>
        <v/>
      </c>
      <c r="J292" s="817"/>
      <c r="K292" s="6"/>
      <c r="M292" s="73"/>
      <c r="O292" s="165" t="s">
        <v>610</v>
      </c>
      <c r="P292" s="729"/>
      <c r="Q292" s="149"/>
      <c r="R292" s="349" t="str">
        <f t="shared" ref="R292:R293" si="54">IF(OR(P292="",Q292=""),"",IF(AND(ABS($R$288-P292)&lt;=$R$288*0.02,ABS($R$289-Q292)&lt;=$R$289*0.02),"Pass","Fail"))</f>
        <v/>
      </c>
      <c r="S292" s="826" t="str">
        <f>IF(AB124="","",AB124)</f>
        <v/>
      </c>
      <c r="T292" s="827" t="str">
        <f>IF(AB125="","",AB125)</f>
        <v/>
      </c>
      <c r="U292" s="72"/>
      <c r="V292" s="72"/>
      <c r="W292" s="72"/>
      <c r="X292" s="72"/>
      <c r="Y292" s="35"/>
    </row>
    <row r="293" spans="1:25" ht="14.1" customHeight="1" thickBot="1">
      <c r="A293" s="20">
        <v>5</v>
      </c>
      <c r="B293" s="71"/>
      <c r="C293" s="150" t="s">
        <v>330</v>
      </c>
      <c r="D293" s="72"/>
      <c r="E293" s="72"/>
      <c r="F293" s="72"/>
      <c r="G293" s="72"/>
      <c r="H293" s="72"/>
      <c r="I293" s="72"/>
      <c r="J293" s="72"/>
      <c r="K293" s="72"/>
      <c r="M293" s="73"/>
      <c r="O293" s="165" t="s">
        <v>611</v>
      </c>
      <c r="P293" s="730"/>
      <c r="Q293" s="731"/>
      <c r="R293" s="399" t="str">
        <f t="shared" si="54"/>
        <v/>
      </c>
      <c r="S293" s="828" t="str">
        <f>IF(AB126="","",AB126)</f>
        <v/>
      </c>
      <c r="T293" s="829" t="str">
        <f>IF(AB127="","",AB127)</f>
        <v/>
      </c>
      <c r="U293" s="72"/>
      <c r="V293" s="72"/>
      <c r="W293" s="72"/>
      <c r="X293" s="72"/>
      <c r="Y293" s="35"/>
    </row>
    <row r="294" spans="1:25" ht="14.1" customHeight="1">
      <c r="A294" s="20">
        <v>6</v>
      </c>
      <c r="B294" s="71"/>
      <c r="C294" s="166"/>
      <c r="F294" s="791" t="s">
        <v>336</v>
      </c>
      <c r="G294" s="791"/>
      <c r="H294" s="791"/>
      <c r="I294" s="601"/>
      <c r="J294" s="601"/>
      <c r="K294" s="111"/>
      <c r="M294" s="73"/>
      <c r="O294" s="33"/>
      <c r="P294" s="5" t="s">
        <v>204</v>
      </c>
      <c r="Q294" s="105" t="s">
        <v>597</v>
      </c>
      <c r="R294" s="72"/>
      <c r="S294" s="72"/>
      <c r="T294" s="72"/>
      <c r="U294" s="72"/>
      <c r="V294" s="72"/>
      <c r="W294" s="72"/>
      <c r="X294" s="72"/>
      <c r="Y294" s="35"/>
    </row>
    <row r="295" spans="1:25" ht="14.1" customHeight="1" thickBot="1">
      <c r="A295" s="20">
        <v>7</v>
      </c>
      <c r="B295" s="71"/>
      <c r="C295" s="24" t="s">
        <v>71</v>
      </c>
      <c r="D295" s="601" t="s">
        <v>269</v>
      </c>
      <c r="E295" s="601" t="s">
        <v>72</v>
      </c>
      <c r="F295" s="601" t="s">
        <v>25</v>
      </c>
      <c r="G295" s="601" t="s">
        <v>26</v>
      </c>
      <c r="H295" s="601" t="s">
        <v>27</v>
      </c>
      <c r="I295" s="601" t="s">
        <v>337</v>
      </c>
      <c r="J295" s="601" t="s">
        <v>338</v>
      </c>
      <c r="K295" s="601" t="s">
        <v>518</v>
      </c>
      <c r="M295" s="73"/>
      <c r="O295" s="33"/>
      <c r="P295" s="72"/>
      <c r="Q295" s="72"/>
      <c r="R295" s="72"/>
      <c r="S295" s="72"/>
      <c r="T295" s="72"/>
      <c r="U295" s="72"/>
      <c r="V295" s="72"/>
      <c r="W295" s="72"/>
      <c r="X295" s="72"/>
      <c r="Y295" s="35"/>
    </row>
    <row r="296" spans="1:25" ht="14.1" customHeight="1" thickBot="1">
      <c r="A296" s="20">
        <v>8</v>
      </c>
      <c r="B296" s="71"/>
      <c r="C296" s="449" t="str">
        <f>P346</f>
        <v>Mo/Mo</v>
      </c>
      <c r="D296" s="431">
        <f t="shared" ref="D296:K301" si="55">IF(Q346="","",Q346)</f>
        <v>24</v>
      </c>
      <c r="E296" s="431">
        <f t="shared" si="55"/>
        <v>50</v>
      </c>
      <c r="F296" s="450" t="str">
        <f t="shared" si="55"/>
        <v/>
      </c>
      <c r="G296" s="450" t="str">
        <f t="shared" si="55"/>
        <v/>
      </c>
      <c r="H296" s="450" t="str">
        <f t="shared" si="55"/>
        <v/>
      </c>
      <c r="I296" s="451" t="str">
        <f t="shared" si="55"/>
        <v/>
      </c>
      <c r="J296" s="450" t="str">
        <f t="shared" si="55"/>
        <v/>
      </c>
      <c r="K296" s="452" t="str">
        <f t="shared" si="55"/>
        <v/>
      </c>
      <c r="M296" s="73"/>
      <c r="O296" s="143" t="s">
        <v>599</v>
      </c>
      <c r="P296" s="72"/>
      <c r="Q296" s="72"/>
      <c r="R296" s="72"/>
      <c r="S296" s="72"/>
      <c r="T296" s="72"/>
      <c r="U296" s="72"/>
      <c r="V296" s="72"/>
      <c r="W296" s="72"/>
      <c r="X296" s="72"/>
      <c r="Y296" s="35"/>
    </row>
    <row r="297" spans="1:25" ht="14.1" customHeight="1">
      <c r="A297" s="20">
        <v>9</v>
      </c>
      <c r="B297" s="71"/>
      <c r="C297" s="453"/>
      <c r="D297" s="303">
        <f t="shared" si="55"/>
        <v>25</v>
      </c>
      <c r="E297" s="303">
        <f t="shared" si="55"/>
        <v>50</v>
      </c>
      <c r="F297" s="310" t="str">
        <f t="shared" si="55"/>
        <v/>
      </c>
      <c r="G297" s="310" t="str">
        <f t="shared" si="55"/>
        <v/>
      </c>
      <c r="H297" s="310" t="str">
        <f t="shared" si="55"/>
        <v/>
      </c>
      <c r="I297" s="304" t="str">
        <f t="shared" si="55"/>
        <v/>
      </c>
      <c r="J297" s="310" t="str">
        <f t="shared" si="55"/>
        <v/>
      </c>
      <c r="K297" s="433" t="str">
        <f t="shared" si="55"/>
        <v/>
      </c>
      <c r="M297" s="73"/>
      <c r="O297" s="836" t="s">
        <v>617</v>
      </c>
      <c r="P297" s="732" t="s">
        <v>613</v>
      </c>
      <c r="Q297" s="733"/>
      <c r="R297" s="732" t="s">
        <v>612</v>
      </c>
      <c r="S297" s="733"/>
      <c r="T297" s="732" t="s">
        <v>614</v>
      </c>
      <c r="U297" s="733"/>
      <c r="V297" s="732" t="s">
        <v>615</v>
      </c>
      <c r="W297" s="733"/>
      <c r="X297" s="732" t="s">
        <v>616</v>
      </c>
      <c r="Y297" s="837"/>
    </row>
    <row r="298" spans="1:25" ht="14.1" customHeight="1">
      <c r="A298" s="20">
        <v>10</v>
      </c>
      <c r="B298" s="71"/>
      <c r="C298" s="453"/>
      <c r="D298" s="303">
        <f t="shared" si="55"/>
        <v>26</v>
      </c>
      <c r="E298" s="303">
        <f t="shared" si="55"/>
        <v>50</v>
      </c>
      <c r="F298" s="310" t="str">
        <f t="shared" si="55"/>
        <v/>
      </c>
      <c r="G298" s="310" t="str">
        <f t="shared" si="55"/>
        <v/>
      </c>
      <c r="H298" s="310" t="str">
        <f t="shared" si="55"/>
        <v/>
      </c>
      <c r="I298" s="304" t="str">
        <f t="shared" si="55"/>
        <v/>
      </c>
      <c r="J298" s="310" t="str">
        <f t="shared" si="55"/>
        <v/>
      </c>
      <c r="K298" s="433" t="str">
        <f t="shared" si="55"/>
        <v/>
      </c>
      <c r="M298" s="73"/>
      <c r="O298" s="838" t="s">
        <v>609</v>
      </c>
      <c r="P298" s="735" t="s">
        <v>605</v>
      </c>
      <c r="Q298" s="735" t="s">
        <v>284</v>
      </c>
      <c r="R298" s="735" t="s">
        <v>605</v>
      </c>
      <c r="S298" s="735" t="s">
        <v>284</v>
      </c>
      <c r="T298" s="735" t="s">
        <v>605</v>
      </c>
      <c r="U298" s="735" t="s">
        <v>284</v>
      </c>
      <c r="V298" s="735" t="s">
        <v>605</v>
      </c>
      <c r="W298" s="735" t="s">
        <v>284</v>
      </c>
      <c r="X298" s="735" t="s">
        <v>605</v>
      </c>
      <c r="Y298" s="839" t="s">
        <v>284</v>
      </c>
    </row>
    <row r="299" spans="1:25" ht="14.1" customHeight="1">
      <c r="A299" s="20">
        <v>11</v>
      </c>
      <c r="B299" s="71"/>
      <c r="C299" s="453"/>
      <c r="D299" s="303">
        <f t="shared" si="55"/>
        <v>28</v>
      </c>
      <c r="E299" s="303">
        <f t="shared" si="55"/>
        <v>50</v>
      </c>
      <c r="F299" s="310" t="str">
        <f t="shared" si="55"/>
        <v/>
      </c>
      <c r="G299" s="310" t="str">
        <f t="shared" si="55"/>
        <v/>
      </c>
      <c r="H299" s="310" t="str">
        <f t="shared" si="55"/>
        <v/>
      </c>
      <c r="I299" s="304" t="str">
        <f t="shared" si="55"/>
        <v/>
      </c>
      <c r="J299" s="310" t="str">
        <f t="shared" si="55"/>
        <v/>
      </c>
      <c r="K299" s="433" t="str">
        <f t="shared" si="55"/>
        <v/>
      </c>
      <c r="M299" s="73"/>
      <c r="O299" s="840">
        <v>1</v>
      </c>
      <c r="P299" s="737"/>
      <c r="Q299" s="737"/>
      <c r="R299" s="737"/>
      <c r="S299" s="737"/>
      <c r="T299" s="737"/>
      <c r="U299" s="737"/>
      <c r="V299" s="737"/>
      <c r="W299" s="737"/>
      <c r="X299" s="737"/>
      <c r="Y299" s="841"/>
    </row>
    <row r="300" spans="1:25" ht="14.1" customHeight="1" thickBot="1">
      <c r="A300" s="20">
        <v>12</v>
      </c>
      <c r="B300" s="71"/>
      <c r="C300" s="453"/>
      <c r="D300" s="303">
        <f t="shared" si="55"/>
        <v>30</v>
      </c>
      <c r="E300" s="303">
        <f t="shared" si="55"/>
        <v>50</v>
      </c>
      <c r="F300" s="310" t="str">
        <f t="shared" si="55"/>
        <v/>
      </c>
      <c r="G300" s="310" t="str">
        <f t="shared" si="55"/>
        <v/>
      </c>
      <c r="H300" s="310" t="str">
        <f t="shared" si="55"/>
        <v/>
      </c>
      <c r="I300" s="304" t="str">
        <f t="shared" si="55"/>
        <v/>
      </c>
      <c r="J300" s="310" t="str">
        <f t="shared" si="55"/>
        <v/>
      </c>
      <c r="K300" s="433" t="str">
        <f t="shared" si="55"/>
        <v/>
      </c>
      <c r="M300" s="73"/>
      <c r="O300" s="840">
        <v>2</v>
      </c>
      <c r="P300" s="737"/>
      <c r="Q300" s="737"/>
      <c r="R300" s="737"/>
      <c r="S300" s="737"/>
      <c r="T300" s="737"/>
      <c r="U300" s="737"/>
      <c r="V300" s="737"/>
      <c r="W300" s="737"/>
      <c r="X300" s="737"/>
      <c r="Y300" s="841"/>
    </row>
    <row r="301" spans="1:25" ht="14.1" customHeight="1" thickBot="1">
      <c r="A301" s="20">
        <v>13</v>
      </c>
      <c r="B301" s="71"/>
      <c r="C301" s="462"/>
      <c r="D301" s="456">
        <f t="shared" si="55"/>
        <v>32</v>
      </c>
      <c r="E301" s="456">
        <f t="shared" si="55"/>
        <v>50</v>
      </c>
      <c r="F301" s="457" t="str">
        <f t="shared" si="55"/>
        <v/>
      </c>
      <c r="G301" s="457" t="str">
        <f t="shared" si="55"/>
        <v/>
      </c>
      <c r="H301" s="457" t="str">
        <f t="shared" si="55"/>
        <v/>
      </c>
      <c r="I301" s="458" t="str">
        <f t="shared" si="55"/>
        <v/>
      </c>
      <c r="J301" s="457" t="str">
        <f t="shared" si="55"/>
        <v/>
      </c>
      <c r="K301" s="424" t="str">
        <f t="shared" si="55"/>
        <v/>
      </c>
      <c r="L301" s="388" t="str">
        <f>IF(K296="","",IF(MAX(K296:K301)&lt;0.05,"Pass","Fail"))</f>
        <v/>
      </c>
      <c r="M301" s="73"/>
      <c r="O301" s="840">
        <v>3</v>
      </c>
      <c r="P301" s="737"/>
      <c r="Q301" s="737"/>
      <c r="R301" s="737"/>
      <c r="S301" s="737"/>
      <c r="T301" s="737"/>
      <c r="U301" s="737"/>
      <c r="V301" s="737"/>
      <c r="W301" s="737"/>
      <c r="X301" s="737"/>
      <c r="Y301" s="841"/>
    </row>
    <row r="302" spans="1:25" ht="14.1" customHeight="1">
      <c r="A302" s="20">
        <v>14</v>
      </c>
      <c r="B302" s="71"/>
      <c r="C302" s="463" t="str">
        <f>P353</f>
        <v>Mo/Rh</v>
      </c>
      <c r="D302" s="431">
        <f t="shared" ref="D302:K306" si="56">IF(Q353="","",Q353)</f>
        <v>28</v>
      </c>
      <c r="E302" s="431">
        <f t="shared" si="56"/>
        <v>50</v>
      </c>
      <c r="F302" s="450" t="str">
        <f t="shared" si="56"/>
        <v/>
      </c>
      <c r="G302" s="450" t="str">
        <f t="shared" si="56"/>
        <v/>
      </c>
      <c r="H302" s="450" t="str">
        <f t="shared" si="56"/>
        <v/>
      </c>
      <c r="I302" s="451" t="str">
        <f t="shared" si="56"/>
        <v/>
      </c>
      <c r="J302" s="450" t="str">
        <f t="shared" si="56"/>
        <v/>
      </c>
      <c r="K302" s="452" t="str">
        <f t="shared" si="56"/>
        <v/>
      </c>
      <c r="M302" s="73"/>
      <c r="O302" s="840">
        <v>4</v>
      </c>
      <c r="P302" s="737"/>
      <c r="Q302" s="737"/>
      <c r="R302" s="737"/>
      <c r="S302" s="737"/>
      <c r="T302" s="737"/>
      <c r="U302" s="737"/>
      <c r="V302" s="737"/>
      <c r="W302" s="737"/>
      <c r="X302" s="737"/>
      <c r="Y302" s="841"/>
    </row>
    <row r="303" spans="1:25" ht="14.1" customHeight="1" thickBot="1">
      <c r="A303" s="20">
        <v>15</v>
      </c>
      <c r="B303" s="71"/>
      <c r="C303" s="454"/>
      <c r="D303" s="303">
        <f t="shared" si="56"/>
        <v>30</v>
      </c>
      <c r="E303" s="303">
        <f t="shared" si="56"/>
        <v>50</v>
      </c>
      <c r="F303" s="310" t="str">
        <f t="shared" si="56"/>
        <v/>
      </c>
      <c r="G303" s="310" t="str">
        <f t="shared" si="56"/>
        <v/>
      </c>
      <c r="H303" s="310" t="str">
        <f t="shared" si="56"/>
        <v/>
      </c>
      <c r="I303" s="304" t="str">
        <f t="shared" si="56"/>
        <v/>
      </c>
      <c r="J303" s="310" t="str">
        <f t="shared" si="56"/>
        <v/>
      </c>
      <c r="K303" s="433" t="str">
        <f t="shared" si="56"/>
        <v/>
      </c>
      <c r="M303" s="73"/>
      <c r="O303" s="842">
        <v>5</v>
      </c>
      <c r="P303" s="738"/>
      <c r="Q303" s="738"/>
      <c r="R303" s="738"/>
      <c r="S303" s="738"/>
      <c r="T303" s="738"/>
      <c r="U303" s="738"/>
      <c r="V303" s="738"/>
      <c r="W303" s="738"/>
      <c r="X303" s="738"/>
      <c r="Y303" s="843"/>
    </row>
    <row r="304" spans="1:25" ht="14.1" customHeight="1">
      <c r="A304" s="20">
        <v>16</v>
      </c>
      <c r="B304" s="71"/>
      <c r="C304" s="454"/>
      <c r="D304" s="303">
        <f t="shared" si="56"/>
        <v>32</v>
      </c>
      <c r="E304" s="303">
        <f t="shared" si="56"/>
        <v>50</v>
      </c>
      <c r="F304" s="310" t="str">
        <f t="shared" si="56"/>
        <v/>
      </c>
      <c r="G304" s="310" t="str">
        <f t="shared" si="56"/>
        <v/>
      </c>
      <c r="H304" s="310" t="str">
        <f t="shared" si="56"/>
        <v/>
      </c>
      <c r="I304" s="304" t="str">
        <f t="shared" si="56"/>
        <v/>
      </c>
      <c r="J304" s="310" t="str">
        <f t="shared" si="56"/>
        <v/>
      </c>
      <c r="K304" s="433" t="str">
        <f t="shared" si="56"/>
        <v/>
      </c>
      <c r="M304" s="73"/>
      <c r="O304" s="844" t="s">
        <v>610</v>
      </c>
      <c r="P304" s="732" t="s">
        <v>613</v>
      </c>
      <c r="Q304" s="733"/>
      <c r="R304" s="732" t="s">
        <v>612</v>
      </c>
      <c r="S304" s="733"/>
      <c r="T304" s="732" t="s">
        <v>614</v>
      </c>
      <c r="U304" s="733"/>
      <c r="V304" s="732" t="s">
        <v>615</v>
      </c>
      <c r="W304" s="733"/>
      <c r="X304" s="732" t="s">
        <v>616</v>
      </c>
      <c r="Y304" s="837"/>
    </row>
    <row r="305" spans="1:25" ht="14.1" customHeight="1" thickBot="1">
      <c r="A305" s="20">
        <v>17</v>
      </c>
      <c r="B305" s="71"/>
      <c r="C305" s="454"/>
      <c r="D305" s="303">
        <f t="shared" si="56"/>
        <v>34</v>
      </c>
      <c r="E305" s="303">
        <f t="shared" si="56"/>
        <v>50</v>
      </c>
      <c r="F305" s="310" t="str">
        <f t="shared" si="56"/>
        <v/>
      </c>
      <c r="G305" s="310" t="str">
        <f t="shared" si="56"/>
        <v/>
      </c>
      <c r="H305" s="310" t="str">
        <f t="shared" si="56"/>
        <v/>
      </c>
      <c r="I305" s="304" t="str">
        <f t="shared" si="56"/>
        <v/>
      </c>
      <c r="J305" s="310" t="str">
        <f t="shared" si="56"/>
        <v/>
      </c>
      <c r="K305" s="433" t="str">
        <f t="shared" si="56"/>
        <v/>
      </c>
      <c r="M305" s="73"/>
      <c r="O305" s="840">
        <v>1</v>
      </c>
      <c r="P305" s="737"/>
      <c r="Q305" s="737"/>
      <c r="R305" s="737"/>
      <c r="S305" s="737"/>
      <c r="T305" s="737"/>
      <c r="U305" s="737"/>
      <c r="V305" s="737"/>
      <c r="W305" s="737"/>
      <c r="X305" s="737"/>
      <c r="Y305" s="841"/>
    </row>
    <row r="306" spans="1:25" ht="14.1" customHeight="1" thickBot="1">
      <c r="A306" s="20">
        <v>18</v>
      </c>
      <c r="B306" s="71"/>
      <c r="C306" s="455"/>
      <c r="D306" s="456">
        <f t="shared" si="56"/>
        <v>36</v>
      </c>
      <c r="E306" s="456">
        <f t="shared" si="56"/>
        <v>50</v>
      </c>
      <c r="F306" s="457" t="str">
        <f t="shared" si="56"/>
        <v/>
      </c>
      <c r="G306" s="457" t="str">
        <f t="shared" si="56"/>
        <v/>
      </c>
      <c r="H306" s="457" t="str">
        <f t="shared" si="56"/>
        <v/>
      </c>
      <c r="I306" s="458" t="str">
        <f t="shared" si="56"/>
        <v/>
      </c>
      <c r="J306" s="457" t="str">
        <f t="shared" si="56"/>
        <v/>
      </c>
      <c r="K306" s="424" t="str">
        <f t="shared" si="56"/>
        <v/>
      </c>
      <c r="L306" s="388" t="str">
        <f>IF(K302="","",IF(MAX(K302:K306)&lt;0.05,"Pass","Fail"))</f>
        <v/>
      </c>
      <c r="M306" s="73"/>
      <c r="O306" s="840">
        <v>2</v>
      </c>
      <c r="P306" s="737"/>
      <c r="Q306" s="737"/>
      <c r="R306" s="737"/>
      <c r="S306" s="737"/>
      <c r="T306" s="737"/>
      <c r="U306" s="737"/>
      <c r="V306" s="737"/>
      <c r="W306" s="737"/>
      <c r="X306" s="737"/>
      <c r="Y306" s="841"/>
    </row>
    <row r="307" spans="1:25" ht="14.1" customHeight="1">
      <c r="A307" s="20">
        <v>19</v>
      </c>
      <c r="B307" s="71"/>
      <c r="C307" s="454" t="str">
        <f>P359</f>
        <v>W/Rh</v>
      </c>
      <c r="D307" s="426">
        <f t="shared" ref="D307:K311" si="57">IF(Q359="","",Q359)</f>
        <v>28</v>
      </c>
      <c r="E307" s="426">
        <f t="shared" si="57"/>
        <v>50</v>
      </c>
      <c r="F307" s="459" t="str">
        <f t="shared" si="57"/>
        <v/>
      </c>
      <c r="G307" s="459" t="str">
        <f t="shared" si="57"/>
        <v/>
      </c>
      <c r="H307" s="459" t="str">
        <f t="shared" si="57"/>
        <v/>
      </c>
      <c r="I307" s="460" t="str">
        <f t="shared" si="57"/>
        <v/>
      </c>
      <c r="J307" s="459" t="str">
        <f t="shared" si="57"/>
        <v/>
      </c>
      <c r="K307" s="461" t="str">
        <f t="shared" si="57"/>
        <v/>
      </c>
      <c r="M307" s="73"/>
      <c r="O307" s="840">
        <v>3</v>
      </c>
      <c r="P307" s="737"/>
      <c r="Q307" s="737"/>
      <c r="R307" s="737"/>
      <c r="S307" s="737"/>
      <c r="T307" s="737"/>
      <c r="U307" s="737"/>
      <c r="V307" s="737"/>
      <c r="W307" s="737"/>
      <c r="X307" s="737"/>
      <c r="Y307" s="841"/>
    </row>
    <row r="308" spans="1:25" ht="14.1" customHeight="1">
      <c r="A308" s="20">
        <v>20</v>
      </c>
      <c r="B308" s="71"/>
      <c r="C308" s="454"/>
      <c r="D308" s="303">
        <f t="shared" si="57"/>
        <v>30</v>
      </c>
      <c r="E308" s="303">
        <f t="shared" si="57"/>
        <v>50</v>
      </c>
      <c r="F308" s="310" t="str">
        <f t="shared" si="57"/>
        <v/>
      </c>
      <c r="G308" s="310" t="str">
        <f t="shared" si="57"/>
        <v/>
      </c>
      <c r="H308" s="310" t="str">
        <f t="shared" si="57"/>
        <v/>
      </c>
      <c r="I308" s="304" t="str">
        <f t="shared" si="57"/>
        <v/>
      </c>
      <c r="J308" s="310" t="str">
        <f t="shared" si="57"/>
        <v/>
      </c>
      <c r="K308" s="433" t="str">
        <f t="shared" si="57"/>
        <v/>
      </c>
      <c r="M308" s="73"/>
      <c r="O308" s="840">
        <v>4</v>
      </c>
      <c r="P308" s="737"/>
      <c r="Q308" s="737"/>
      <c r="R308" s="737"/>
      <c r="S308" s="737"/>
      <c r="T308" s="737"/>
      <c r="U308" s="737"/>
      <c r="V308" s="737"/>
      <c r="W308" s="737"/>
      <c r="X308" s="737"/>
      <c r="Y308" s="841"/>
    </row>
    <row r="309" spans="1:25" ht="14.1" customHeight="1" thickBot="1">
      <c r="A309" s="20">
        <v>21</v>
      </c>
      <c r="B309" s="71"/>
      <c r="C309" s="454"/>
      <c r="D309" s="303">
        <f t="shared" si="57"/>
        <v>32</v>
      </c>
      <c r="E309" s="303">
        <f t="shared" si="57"/>
        <v>50</v>
      </c>
      <c r="F309" s="310" t="str">
        <f t="shared" si="57"/>
        <v/>
      </c>
      <c r="G309" s="310" t="str">
        <f t="shared" si="57"/>
        <v/>
      </c>
      <c r="H309" s="310" t="str">
        <f t="shared" si="57"/>
        <v/>
      </c>
      <c r="I309" s="304" t="str">
        <f t="shared" si="57"/>
        <v/>
      </c>
      <c r="J309" s="310" t="str">
        <f t="shared" si="57"/>
        <v/>
      </c>
      <c r="K309" s="433" t="str">
        <f t="shared" si="57"/>
        <v/>
      </c>
      <c r="M309" s="73"/>
      <c r="O309" s="842">
        <v>5</v>
      </c>
      <c r="P309" s="738"/>
      <c r="Q309" s="738"/>
      <c r="R309" s="738"/>
      <c r="S309" s="738"/>
      <c r="T309" s="738"/>
      <c r="U309" s="738"/>
      <c r="V309" s="738"/>
      <c r="W309" s="738"/>
      <c r="X309" s="738"/>
      <c r="Y309" s="843"/>
    </row>
    <row r="310" spans="1:25" ht="14.1" customHeight="1" thickBot="1">
      <c r="A310" s="20">
        <v>22</v>
      </c>
      <c r="B310" s="71"/>
      <c r="C310" s="454"/>
      <c r="D310" s="303">
        <f t="shared" si="57"/>
        <v>34</v>
      </c>
      <c r="E310" s="303">
        <f t="shared" si="57"/>
        <v>50</v>
      </c>
      <c r="F310" s="310" t="str">
        <f t="shared" si="57"/>
        <v/>
      </c>
      <c r="G310" s="310" t="str">
        <f t="shared" si="57"/>
        <v/>
      </c>
      <c r="H310" s="310" t="str">
        <f t="shared" si="57"/>
        <v/>
      </c>
      <c r="I310" s="304" t="str">
        <f t="shared" si="57"/>
        <v/>
      </c>
      <c r="J310" s="310" t="str">
        <f t="shared" si="57"/>
        <v/>
      </c>
      <c r="K310" s="433" t="str">
        <f t="shared" si="57"/>
        <v/>
      </c>
      <c r="M310" s="73"/>
      <c r="O310" s="844" t="s">
        <v>611</v>
      </c>
      <c r="P310" s="732" t="s">
        <v>613</v>
      </c>
      <c r="Q310" s="733"/>
      <c r="R310" s="732" t="s">
        <v>612</v>
      </c>
      <c r="S310" s="733"/>
      <c r="T310" s="732" t="s">
        <v>614</v>
      </c>
      <c r="U310" s="733"/>
      <c r="V310" s="732" t="s">
        <v>615</v>
      </c>
      <c r="W310" s="733"/>
      <c r="X310" s="732" t="s">
        <v>616</v>
      </c>
      <c r="Y310" s="837"/>
    </row>
    <row r="311" spans="1:25" ht="14.1" customHeight="1" thickBot="1">
      <c r="A311" s="20">
        <v>23</v>
      </c>
      <c r="B311" s="71"/>
      <c r="C311" s="455"/>
      <c r="D311" s="456">
        <f t="shared" si="57"/>
        <v>38</v>
      </c>
      <c r="E311" s="456">
        <f t="shared" si="57"/>
        <v>50</v>
      </c>
      <c r="F311" s="457" t="str">
        <f t="shared" si="57"/>
        <v/>
      </c>
      <c r="G311" s="457" t="str">
        <f t="shared" si="57"/>
        <v/>
      </c>
      <c r="H311" s="457" t="str">
        <f t="shared" si="57"/>
        <v/>
      </c>
      <c r="I311" s="458" t="str">
        <f t="shared" si="57"/>
        <v/>
      </c>
      <c r="J311" s="457" t="str">
        <f t="shared" si="57"/>
        <v/>
      </c>
      <c r="K311" s="424" t="str">
        <f t="shared" si="57"/>
        <v/>
      </c>
      <c r="L311" s="388" t="str">
        <f>IF(K307="","",IF(MAX(K307:K311)&lt;0.05,"Pass","Fail"))</f>
        <v/>
      </c>
      <c r="M311" s="73"/>
      <c r="O311" s="840">
        <v>1</v>
      </c>
      <c r="P311" s="737"/>
      <c r="Q311" s="737"/>
      <c r="R311" s="737"/>
      <c r="S311" s="737"/>
      <c r="T311" s="737"/>
      <c r="U311" s="737"/>
      <c r="V311" s="737"/>
      <c r="W311" s="737"/>
      <c r="X311" s="737"/>
      <c r="Y311" s="841"/>
    </row>
    <row r="312" spans="1:25" ht="14.1" customHeight="1">
      <c r="A312" s="20">
        <v>24</v>
      </c>
      <c r="B312" s="71"/>
      <c r="J312" s="465"/>
      <c r="K312" s="380"/>
      <c r="M312" s="73"/>
      <c r="O312" s="840">
        <v>2</v>
      </c>
      <c r="P312" s="737"/>
      <c r="Q312" s="737"/>
      <c r="R312" s="737"/>
      <c r="S312" s="737"/>
      <c r="T312" s="737"/>
      <c r="U312" s="737"/>
      <c r="V312" s="737"/>
      <c r="W312" s="737"/>
      <c r="X312" s="737"/>
      <c r="Y312" s="841"/>
    </row>
    <row r="313" spans="1:25" ht="14.1" customHeight="1">
      <c r="A313" s="20">
        <v>25</v>
      </c>
      <c r="B313" s="71"/>
      <c r="M313" s="73"/>
      <c r="O313" s="840">
        <v>3</v>
      </c>
      <c r="P313" s="737"/>
      <c r="Q313" s="737"/>
      <c r="R313" s="737"/>
      <c r="S313" s="737"/>
      <c r="T313" s="737"/>
      <c r="U313" s="737"/>
      <c r="V313" s="737"/>
      <c r="W313" s="737"/>
      <c r="X313" s="737"/>
      <c r="Y313" s="841"/>
    </row>
    <row r="314" spans="1:25" ht="14.1" customHeight="1">
      <c r="A314" s="20">
        <v>26</v>
      </c>
      <c r="B314" s="71"/>
      <c r="M314" s="73"/>
      <c r="O314" s="840">
        <v>4</v>
      </c>
      <c r="P314" s="737"/>
      <c r="Q314" s="737"/>
      <c r="R314" s="737"/>
      <c r="S314" s="737"/>
      <c r="T314" s="737"/>
      <c r="U314" s="737"/>
      <c r="V314" s="737"/>
      <c r="W314" s="737"/>
      <c r="X314" s="737"/>
      <c r="Y314" s="841"/>
    </row>
    <row r="315" spans="1:25" ht="14.1" customHeight="1" thickBot="1">
      <c r="A315" s="20">
        <v>27</v>
      </c>
      <c r="B315" s="71"/>
      <c r="I315" s="6"/>
      <c r="J315" s="6"/>
      <c r="M315" s="73"/>
      <c r="O315" s="842">
        <v>5</v>
      </c>
      <c r="P315" s="738"/>
      <c r="Q315" s="738"/>
      <c r="R315" s="738"/>
      <c r="S315" s="738"/>
      <c r="T315" s="738"/>
      <c r="U315" s="738"/>
      <c r="V315" s="738"/>
      <c r="W315" s="738"/>
      <c r="X315" s="738"/>
      <c r="Y315" s="843"/>
    </row>
    <row r="316" spans="1:25" ht="14.1" customHeight="1" thickBot="1">
      <c r="A316" s="20">
        <v>28</v>
      </c>
      <c r="B316" s="71"/>
      <c r="I316" s="6"/>
      <c r="J316" s="6"/>
      <c r="M316" s="73"/>
      <c r="O316" s="33"/>
      <c r="P316" s="72"/>
      <c r="Q316" s="72"/>
      <c r="R316" s="72"/>
      <c r="S316" s="72"/>
      <c r="T316" s="72"/>
      <c r="U316" s="72"/>
      <c r="V316" s="72"/>
      <c r="W316" s="72"/>
      <c r="X316" s="72"/>
      <c r="Y316" s="35"/>
    </row>
    <row r="317" spans="1:25" ht="14.1" customHeight="1">
      <c r="A317" s="20">
        <v>29</v>
      </c>
      <c r="B317" s="71"/>
      <c r="I317" s="6"/>
      <c r="J317" s="6"/>
      <c r="M317" s="73"/>
      <c r="O317" s="33"/>
      <c r="P317" s="792" t="s">
        <v>609</v>
      </c>
      <c r="Q317" s="793"/>
      <c r="R317" s="793"/>
      <c r="S317" s="793" t="s">
        <v>610</v>
      </c>
      <c r="T317" s="793"/>
      <c r="U317" s="793"/>
      <c r="V317" s="793" t="s">
        <v>611</v>
      </c>
      <c r="W317" s="793"/>
      <c r="X317" s="794"/>
      <c r="Y317" s="35"/>
    </row>
    <row r="318" spans="1:25" ht="14.1" customHeight="1" thickBot="1">
      <c r="A318" s="20">
        <v>30</v>
      </c>
      <c r="B318" s="71"/>
      <c r="M318" s="73"/>
      <c r="O318" s="33"/>
      <c r="P318" s="348" t="s">
        <v>606</v>
      </c>
      <c r="Q318" s="303" t="s">
        <v>607</v>
      </c>
      <c r="R318" s="303" t="s">
        <v>608</v>
      </c>
      <c r="S318" s="303" t="s">
        <v>606</v>
      </c>
      <c r="T318" s="303" t="s">
        <v>607</v>
      </c>
      <c r="U318" s="303" t="s">
        <v>608</v>
      </c>
      <c r="V318" s="303" t="s">
        <v>606</v>
      </c>
      <c r="W318" s="303" t="s">
        <v>607</v>
      </c>
      <c r="X318" s="349" t="s">
        <v>608</v>
      </c>
      <c r="Y318" s="35"/>
    </row>
    <row r="319" spans="1:25" ht="14.1" customHeight="1">
      <c r="A319" s="20">
        <v>31</v>
      </c>
      <c r="B319" s="71"/>
      <c r="M319" s="73"/>
      <c r="O319" s="845" t="s">
        <v>601</v>
      </c>
      <c r="P319" s="348" t="str">
        <f>IF(P299="","",AVERAGE(P299:P303))</f>
        <v/>
      </c>
      <c r="Q319" s="303" t="str">
        <f>IF(Q299="","",AVERAGE(Q299:Q303))</f>
        <v/>
      </c>
      <c r="R319" s="303" t="str">
        <f>IF(OR(P319="",Q319=""),"",((P319-Q319)/($P$321-$Q$321)))</f>
        <v/>
      </c>
      <c r="S319" s="303" t="str">
        <f>IF(P305="","",AVERAGE(P305:P309))</f>
        <v/>
      </c>
      <c r="T319" s="303" t="str">
        <f>IF(Q305="","",AVERAGE(Q305:Q309))</f>
        <v/>
      </c>
      <c r="U319" s="303" t="str">
        <f>IF(OR(S319="",T319=""),"",((S319-T319)/($S$321-$T$321)))</f>
        <v/>
      </c>
      <c r="V319" s="303" t="str">
        <f>IF(P311="","",AVERAGE(P311:P315))</f>
        <v/>
      </c>
      <c r="W319" s="303" t="str">
        <f>IF(Q311="","",AVERAGE(Q311:Q315))</f>
        <v/>
      </c>
      <c r="X319" s="349" t="str">
        <f>IF(OR(V319="",W319=""),"",((V319-W319)/($V$321-$W$321)))</f>
        <v/>
      </c>
      <c r="Y319" s="35"/>
    </row>
    <row r="320" spans="1:25" ht="14.1" customHeight="1">
      <c r="A320" s="20">
        <v>32</v>
      </c>
      <c r="B320" s="71"/>
      <c r="M320" s="73"/>
      <c r="O320" s="846" t="s">
        <v>602</v>
      </c>
      <c r="P320" s="348" t="str">
        <f>IF(R299="","",AVERAGE(R299:R303))</f>
        <v/>
      </c>
      <c r="Q320" s="303" t="str">
        <f>IF(S299="","",AVERAGE(S299:S303))</f>
        <v/>
      </c>
      <c r="R320" s="303" t="str">
        <f>IF(OR(P320="",Q320=""),"",((P320-Q320)/($P$321-$Q$321)))</f>
        <v/>
      </c>
      <c r="S320" s="303" t="str">
        <f>IF(R305="","",AVERAGE(R305:R309))</f>
        <v/>
      </c>
      <c r="T320" s="303" t="str">
        <f>IF(S305="","",AVERAGE(S305:S309))</f>
        <v/>
      </c>
      <c r="U320" s="303" t="str">
        <f>IF(OR(S320="",T320=""),"",((S320-T320)/($S$321-$T$321)))</f>
        <v/>
      </c>
      <c r="V320" s="303" t="str">
        <f>IF(R311="","",AVERAGE(R311:R315))</f>
        <v/>
      </c>
      <c r="W320" s="303" t="str">
        <f>IF(S311="","",AVERAGE(S311:S315))</f>
        <v/>
      </c>
      <c r="X320" s="349" t="str">
        <f>IF(OR(V320="",W320=""),"",((V320-W320)/($V$321-$W$321)))</f>
        <v/>
      </c>
      <c r="Y320" s="35"/>
    </row>
    <row r="321" spans="1:25" ht="14.1" customHeight="1">
      <c r="A321" s="20">
        <v>33</v>
      </c>
      <c r="B321" s="71"/>
      <c r="M321" s="73"/>
      <c r="O321" s="846" t="s">
        <v>600</v>
      </c>
      <c r="P321" s="348" t="str">
        <f>IF(T299="","",AVERAGE(T299:T303))</f>
        <v/>
      </c>
      <c r="Q321" s="303" t="str">
        <f>IF(U299="","",AVERAGE(U299:U303))</f>
        <v/>
      </c>
      <c r="R321" s="831"/>
      <c r="S321" s="303" t="str">
        <f>IF(T305="","",AVERAGE(T305:T309))</f>
        <v/>
      </c>
      <c r="T321" s="303" t="str">
        <f>IF(U305="","",AVERAGE(U305:U309))</f>
        <v/>
      </c>
      <c r="U321" s="831"/>
      <c r="V321" s="303" t="str">
        <f>IF(T311="","",AVERAGE(T311:T315))</f>
        <v/>
      </c>
      <c r="W321" s="303" t="str">
        <f>IF(U311="","",AVERAGE(U311:U315))</f>
        <v/>
      </c>
      <c r="X321" s="832"/>
      <c r="Y321" s="35"/>
    </row>
    <row r="322" spans="1:25" ht="14.1" customHeight="1">
      <c r="A322" s="20">
        <v>34</v>
      </c>
      <c r="B322" s="71"/>
      <c r="C322" s="72"/>
      <c r="D322" s="72"/>
      <c r="E322" s="72"/>
      <c r="F322" s="72"/>
      <c r="G322" s="72"/>
      <c r="H322" s="72"/>
      <c r="I322" s="72"/>
      <c r="J322" s="72"/>
      <c r="K322" s="72"/>
      <c r="L322" s="72"/>
      <c r="M322" s="73"/>
      <c r="O322" s="846" t="s">
        <v>603</v>
      </c>
      <c r="P322" s="348" t="str">
        <f>IF(V299="","",AVERAGE(V299:V303))</f>
        <v/>
      </c>
      <c r="Q322" s="303" t="str">
        <f>IF(W299="","",AVERAGE(W299:W303))</f>
        <v/>
      </c>
      <c r="R322" s="303" t="str">
        <f>IF(OR(P322="",Q322=""),"",((P322-Q322)/($P$321-$Q$321)))</f>
        <v/>
      </c>
      <c r="S322" s="303" t="str">
        <f>IF(V305="","",AVERAGE(V305:V309))</f>
        <v/>
      </c>
      <c r="T322" s="303" t="str">
        <f>IF(W305="","",AVERAGE(W305:W309))</f>
        <v/>
      </c>
      <c r="U322" s="303" t="str">
        <f t="shared" ref="U322:U323" si="58">IF(OR(S322="",T322=""),"",((S322-T322)/($S$321-$T$321)))</f>
        <v/>
      </c>
      <c r="V322" s="303" t="str">
        <f>IF(V311="","",AVERAGE(V311:V315))</f>
        <v/>
      </c>
      <c r="W322" s="303" t="str">
        <f>IF(W311="","",AVERAGE(W311:W315))</f>
        <v/>
      </c>
      <c r="X322" s="349" t="str">
        <f t="shared" ref="X322:X323" si="59">IF(OR(V322="",W322=""),"",((V322-W322)/($V$321-$W$321)))</f>
        <v/>
      </c>
      <c r="Y322" s="35"/>
    </row>
    <row r="323" spans="1:25" ht="14.1" customHeight="1" thickBot="1">
      <c r="A323" s="20">
        <v>35</v>
      </c>
      <c r="B323" s="71"/>
      <c r="C323" s="72"/>
      <c r="D323" s="72"/>
      <c r="E323" s="72"/>
      <c r="F323" s="72"/>
      <c r="G323" s="72"/>
      <c r="H323" s="72"/>
      <c r="I323" s="72"/>
      <c r="J323" s="72"/>
      <c r="K323" s="72"/>
      <c r="L323" s="72"/>
      <c r="M323" s="73"/>
      <c r="O323" s="847" t="s">
        <v>604</v>
      </c>
      <c r="P323" s="398" t="str">
        <f>IF(X299="","",AVERAGE(X299:X303))</f>
        <v/>
      </c>
      <c r="Q323" s="456" t="str">
        <f>IF(Y299="","",AVERAGE(Y299:Y303))</f>
        <v/>
      </c>
      <c r="R323" s="456" t="str">
        <f>IF(OR(P323="",Q323=""),"",((P323-Q323)/($P$321-$Q$321)))</f>
        <v/>
      </c>
      <c r="S323" s="456" t="str">
        <f>IF(X305="","",AVERAGE(X305:X309))</f>
        <v/>
      </c>
      <c r="T323" s="456" t="str">
        <f>IF(Y305="","",AVERAGE(Y305:Y309))</f>
        <v/>
      </c>
      <c r="U323" s="456" t="str">
        <f t="shared" si="58"/>
        <v/>
      </c>
      <c r="V323" s="456" t="str">
        <f>IF(X311="","",AVERAGE(X311:X315))</f>
        <v/>
      </c>
      <c r="W323" s="456" t="str">
        <f>IF(Y311="","",AVERAGE(Y311:Y315))</f>
        <v/>
      </c>
      <c r="X323" s="399" t="str">
        <f t="shared" si="59"/>
        <v/>
      </c>
      <c r="Y323" s="35"/>
    </row>
    <row r="324" spans="1:25" ht="14.1" customHeight="1">
      <c r="A324" s="20">
        <v>36</v>
      </c>
      <c r="B324" s="71"/>
      <c r="C324" s="72"/>
      <c r="D324" s="72"/>
      <c r="E324" s="72"/>
      <c r="F324" s="72"/>
      <c r="G324" s="72"/>
      <c r="H324" s="72"/>
      <c r="I324" s="72"/>
      <c r="J324" s="72"/>
      <c r="K324" s="72"/>
      <c r="L324" s="72"/>
      <c r="M324" s="73"/>
      <c r="O324" s="33"/>
      <c r="P324" s="434" t="s">
        <v>618</v>
      </c>
      <c r="Q324" s="740" t="str">
        <f>IF(OR(R320="",R322=""),"",AVERAGE(R320,R322))</f>
        <v/>
      </c>
      <c r="R324" s="741" t="str">
        <f>IF(Q324="","",IF(Q324&lt;0.9,"Pass","Fail"))</f>
        <v/>
      </c>
      <c r="S324" s="434" t="s">
        <v>618</v>
      </c>
      <c r="T324" s="740" t="str">
        <f>IF(OR(U320="",U322=""),"",AVERAGE(U320,U322))</f>
        <v/>
      </c>
      <c r="U324" s="741" t="str">
        <f>IF(T324="","",IF(T324&lt;0.9,"Pass","Fail"))</f>
        <v/>
      </c>
      <c r="V324" s="434" t="s">
        <v>618</v>
      </c>
      <c r="W324" s="740" t="str">
        <f>IF(OR(X320="",X322=""),"",AVERAGE(X320,X322))</f>
        <v/>
      </c>
      <c r="X324" s="741" t="str">
        <f>IF(W324="","",IF(W324&lt;0.9,"Pass","Fail"))</f>
        <v/>
      </c>
      <c r="Y324" s="35"/>
    </row>
    <row r="325" spans="1:25" ht="14.1" customHeight="1" thickBot="1">
      <c r="A325" s="20">
        <v>37</v>
      </c>
      <c r="B325" s="71"/>
      <c r="C325" s="72"/>
      <c r="D325" s="72"/>
      <c r="E325" s="72"/>
      <c r="F325" s="72"/>
      <c r="G325" s="72"/>
      <c r="H325" s="72"/>
      <c r="I325" s="72"/>
      <c r="J325" s="72"/>
      <c r="K325" s="72"/>
      <c r="L325" s="72"/>
      <c r="M325" s="73"/>
      <c r="O325" s="33"/>
      <c r="P325" s="436" t="s">
        <v>619</v>
      </c>
      <c r="Q325" s="456" t="str">
        <f>IF(OR(R319="",R323=""),"",AVERAGE(R319,R323))</f>
        <v/>
      </c>
      <c r="R325" s="399" t="str">
        <f>IF(Q325="","",IF(Q325&lt;0.6,"Pass","Fail"))</f>
        <v/>
      </c>
      <c r="S325" s="436" t="s">
        <v>619</v>
      </c>
      <c r="T325" s="456" t="str">
        <f>IF(OR(U319="",U323=""),"",AVERAGE(U319,U323))</f>
        <v/>
      </c>
      <c r="U325" s="399" t="str">
        <f>IF(T325="","",IF(T325&lt;0.6,"Pass","Fail"))</f>
        <v/>
      </c>
      <c r="V325" s="436" t="s">
        <v>619</v>
      </c>
      <c r="W325" s="456" t="str">
        <f>IF(OR(X319="",X323=""),"",AVERAGE(X319,X323))</f>
        <v/>
      </c>
      <c r="X325" s="399" t="str">
        <f>IF(W325="","",IF(W325&lt;0.6,"Pass","Fail"))</f>
        <v/>
      </c>
      <c r="Y325" s="35"/>
    </row>
    <row r="326" spans="1:25" ht="14.1" customHeight="1">
      <c r="A326" s="20">
        <v>38</v>
      </c>
      <c r="B326" s="71"/>
      <c r="C326" s="72"/>
      <c r="D326" s="72"/>
      <c r="E326" s="72"/>
      <c r="F326" s="72"/>
      <c r="G326" s="72"/>
      <c r="H326" s="72"/>
      <c r="I326" s="72"/>
      <c r="J326" s="72"/>
      <c r="K326" s="72"/>
      <c r="L326" s="72"/>
      <c r="M326" s="73"/>
      <c r="O326" s="33" t="s">
        <v>321</v>
      </c>
      <c r="P326" s="434" t="s">
        <v>618</v>
      </c>
      <c r="Q326" s="830" t="str">
        <f>IF(AB128="","",AB128)</f>
        <v/>
      </c>
      <c r="R326" s="72"/>
      <c r="S326" s="434" t="s">
        <v>618</v>
      </c>
      <c r="T326" s="830" t="str">
        <f>IF(AB130="","",AB130)</f>
        <v/>
      </c>
      <c r="U326" s="72"/>
      <c r="V326" s="434" t="s">
        <v>618</v>
      </c>
      <c r="W326" s="830" t="str">
        <f>IF(AB132="","",AB132)</f>
        <v/>
      </c>
      <c r="X326" s="72"/>
      <c r="Y326" s="35"/>
    </row>
    <row r="327" spans="1:25" ht="14.1" customHeight="1" thickBot="1">
      <c r="A327" s="20">
        <v>39</v>
      </c>
      <c r="B327" s="71"/>
      <c r="C327" s="72"/>
      <c r="D327" s="72"/>
      <c r="E327" s="72"/>
      <c r="F327" s="72"/>
      <c r="G327" s="72"/>
      <c r="H327" s="72"/>
      <c r="I327" s="72"/>
      <c r="J327" s="72"/>
      <c r="K327" s="72"/>
      <c r="L327" s="72"/>
      <c r="M327" s="73"/>
      <c r="O327" s="33"/>
      <c r="P327" s="436" t="s">
        <v>619</v>
      </c>
      <c r="Q327" s="829" t="str">
        <f>IF(AB129="","",AB129)</f>
        <v/>
      </c>
      <c r="R327" s="72"/>
      <c r="S327" s="436" t="s">
        <v>619</v>
      </c>
      <c r="T327" s="829" t="str">
        <f>IF(AB131="","",AB131)</f>
        <v/>
      </c>
      <c r="U327" s="72"/>
      <c r="V327" s="436" t="s">
        <v>619</v>
      </c>
      <c r="W327" s="829" t="str">
        <f>IF(AB133="","",AB133)</f>
        <v/>
      </c>
      <c r="X327" s="72"/>
      <c r="Y327" s="35"/>
    </row>
    <row r="328" spans="1:25" ht="14.1" customHeight="1">
      <c r="A328" s="20">
        <v>40</v>
      </c>
      <c r="B328" s="71"/>
      <c r="C328" s="72"/>
      <c r="D328" s="72"/>
      <c r="E328" s="72"/>
      <c r="F328" s="72"/>
      <c r="G328" s="72"/>
      <c r="H328" s="72"/>
      <c r="I328" s="72"/>
      <c r="J328" s="72"/>
      <c r="K328" s="72"/>
      <c r="L328" s="72"/>
      <c r="M328" s="73"/>
      <c r="O328" s="33"/>
      <c r="P328" s="5" t="s">
        <v>204</v>
      </c>
      <c r="Q328" s="105" t="s">
        <v>626</v>
      </c>
      <c r="R328" s="72"/>
      <c r="S328" s="72"/>
      <c r="T328" s="72"/>
      <c r="U328" s="72"/>
      <c r="V328" s="72"/>
      <c r="W328" s="72"/>
      <c r="X328" s="72"/>
      <c r="Y328" s="35"/>
    </row>
    <row r="329" spans="1:25" ht="14.1" customHeight="1" thickBot="1">
      <c r="A329" s="20">
        <v>41</v>
      </c>
      <c r="B329" s="71"/>
      <c r="C329" s="72"/>
      <c r="D329" s="72"/>
      <c r="E329" s="72"/>
      <c r="F329" s="72"/>
      <c r="G329" s="72"/>
      <c r="H329" s="72"/>
      <c r="I329" s="72"/>
      <c r="J329" s="72"/>
      <c r="K329" s="72"/>
      <c r="L329" s="72"/>
      <c r="M329" s="73"/>
      <c r="O329" s="43"/>
      <c r="P329" s="44"/>
      <c r="Q329" s="44"/>
      <c r="R329" s="44"/>
      <c r="S329" s="44"/>
      <c r="T329" s="44"/>
      <c r="U329" s="44"/>
      <c r="V329" s="44"/>
      <c r="W329" s="44"/>
      <c r="X329" s="44"/>
      <c r="Y329" s="45"/>
    </row>
    <row r="330" spans="1:25" ht="14.1" customHeight="1" thickBot="1">
      <c r="A330" s="20">
        <v>42</v>
      </c>
      <c r="B330" s="71"/>
      <c r="C330" s="72"/>
      <c r="D330" s="72"/>
      <c r="E330" s="72"/>
      <c r="F330" s="72"/>
      <c r="G330" s="72"/>
      <c r="H330" s="72"/>
      <c r="I330" s="72"/>
      <c r="J330" s="72"/>
      <c r="K330" s="72"/>
      <c r="L330" s="72"/>
      <c r="M330" s="73"/>
      <c r="O330" s="140" t="s">
        <v>621</v>
      </c>
      <c r="P330" s="26"/>
      <c r="Q330" s="26"/>
      <c r="R330" s="26"/>
      <c r="S330" s="26"/>
      <c r="T330" s="26"/>
      <c r="U330" s="26"/>
      <c r="V330" s="26"/>
      <c r="W330" s="26"/>
      <c r="X330" s="26"/>
      <c r="Y330" s="27"/>
    </row>
    <row r="331" spans="1:25" ht="14.1" customHeight="1">
      <c r="A331" s="20">
        <v>43</v>
      </c>
      <c r="B331" s="71"/>
      <c r="C331" s="72"/>
      <c r="D331" s="72"/>
      <c r="E331" s="72"/>
      <c r="F331" s="72"/>
      <c r="G331" s="72"/>
      <c r="H331" s="72"/>
      <c r="I331" s="72"/>
      <c r="J331" s="72"/>
      <c r="K331" s="72"/>
      <c r="L331" s="72"/>
      <c r="M331" s="73"/>
      <c r="O331" s="33"/>
      <c r="P331" s="739" t="s">
        <v>622</v>
      </c>
      <c r="Q331" s="740" t="s">
        <v>623</v>
      </c>
      <c r="R331" s="740" t="s">
        <v>624</v>
      </c>
      <c r="S331" s="741" t="s">
        <v>625</v>
      </c>
      <c r="T331" s="72"/>
      <c r="U331" s="72" t="s">
        <v>321</v>
      </c>
      <c r="V331" s="739" t="s">
        <v>622</v>
      </c>
      <c r="W331" s="740" t="s">
        <v>623</v>
      </c>
      <c r="X331" s="740" t="s">
        <v>624</v>
      </c>
      <c r="Y331" s="848" t="s">
        <v>625</v>
      </c>
    </row>
    <row r="332" spans="1:25" ht="14.1" customHeight="1">
      <c r="A332" s="20">
        <v>44</v>
      </c>
      <c r="B332" s="71"/>
      <c r="C332" s="72"/>
      <c r="D332" s="72"/>
      <c r="E332" s="72"/>
      <c r="F332" s="72"/>
      <c r="G332" s="72"/>
      <c r="H332" s="72"/>
      <c r="I332" s="72"/>
      <c r="J332" s="72"/>
      <c r="K332" s="72"/>
      <c r="L332" s="72"/>
      <c r="M332" s="73"/>
      <c r="O332" s="165" t="s">
        <v>187</v>
      </c>
      <c r="P332" s="734"/>
      <c r="Q332" s="735"/>
      <c r="R332" s="735"/>
      <c r="S332" s="736"/>
      <c r="T332" s="72"/>
      <c r="U332" s="166" t="s">
        <v>187</v>
      </c>
      <c r="V332" s="826" t="str">
        <f>IF(AB135="","",AB135)</f>
        <v/>
      </c>
      <c r="W332" s="833" t="str">
        <f>IF(AB139="","",AB139)</f>
        <v/>
      </c>
      <c r="X332" s="833" t="str">
        <f>IF(AB143="","",AB143)</f>
        <v/>
      </c>
      <c r="Y332" s="849" t="str">
        <f>IF(AB147="","",AB147)</f>
        <v/>
      </c>
    </row>
    <row r="333" spans="1:25" ht="14.1" customHeight="1">
      <c r="A333" s="20">
        <v>45</v>
      </c>
      <c r="B333" s="71"/>
      <c r="C333" s="72"/>
      <c r="D333" s="72"/>
      <c r="E333" s="72"/>
      <c r="F333" s="72"/>
      <c r="G333" s="72"/>
      <c r="H333" s="72"/>
      <c r="I333" s="72"/>
      <c r="J333" s="72"/>
      <c r="K333" s="72"/>
      <c r="L333" s="72"/>
      <c r="M333" s="73"/>
      <c r="O333" s="165" t="s">
        <v>189</v>
      </c>
      <c r="P333" s="734"/>
      <c r="Q333" s="735"/>
      <c r="R333" s="735"/>
      <c r="S333" s="736"/>
      <c r="T333" s="72"/>
      <c r="U333" s="166" t="s">
        <v>189</v>
      </c>
      <c r="V333" s="826" t="str">
        <f>IF(AB136="","",AB136)</f>
        <v/>
      </c>
      <c r="W333" s="833" t="str">
        <f>IF(AB140="","",AB140)</f>
        <v/>
      </c>
      <c r="X333" s="833" t="str">
        <f>IF(AB144="","",AB144)</f>
        <v/>
      </c>
      <c r="Y333" s="849" t="str">
        <f t="shared" ref="Y333:Y334" si="60">IF(AB148="","",AB148)</f>
        <v/>
      </c>
    </row>
    <row r="334" spans="1:25" ht="14.1" customHeight="1" thickBot="1">
      <c r="A334" s="20">
        <v>46</v>
      </c>
      <c r="B334" s="71"/>
      <c r="C334" s="72"/>
      <c r="D334" s="72"/>
      <c r="E334" s="72"/>
      <c r="F334" s="72"/>
      <c r="G334" s="72"/>
      <c r="H334" s="72"/>
      <c r="I334" s="72"/>
      <c r="J334" s="72"/>
      <c r="K334" s="72"/>
      <c r="L334" s="72"/>
      <c r="M334" s="73"/>
      <c r="O334" s="165" t="s">
        <v>191</v>
      </c>
      <c r="P334" s="734"/>
      <c r="Q334" s="735"/>
      <c r="R334" s="735"/>
      <c r="S334" s="736"/>
      <c r="T334" s="72"/>
      <c r="U334" s="166" t="s">
        <v>191</v>
      </c>
      <c r="V334" s="828" t="str">
        <f>IF(AB137="","",AB137)</f>
        <v/>
      </c>
      <c r="W334" s="834" t="str">
        <f>IF(AB141="","",AB141)</f>
        <v/>
      </c>
      <c r="X334" s="834" t="str">
        <f>IF(AB145="","",AB145)</f>
        <v/>
      </c>
      <c r="Y334" s="850" t="str">
        <f t="shared" si="60"/>
        <v/>
      </c>
    </row>
    <row r="335" spans="1:25" ht="14.1" customHeight="1" thickBot="1">
      <c r="A335" s="20">
        <v>47</v>
      </c>
      <c r="B335" s="71"/>
      <c r="C335" s="72"/>
      <c r="D335" s="72"/>
      <c r="E335" s="72"/>
      <c r="F335" s="72"/>
      <c r="G335" s="72"/>
      <c r="H335" s="72"/>
      <c r="I335" s="72"/>
      <c r="J335" s="72"/>
      <c r="K335" s="72"/>
      <c r="L335" s="72"/>
      <c r="M335" s="73"/>
      <c r="O335" s="165" t="s">
        <v>218</v>
      </c>
      <c r="P335" s="720"/>
      <c r="Q335" s="716"/>
      <c r="R335" s="716"/>
      <c r="S335" s="717"/>
      <c r="T335" s="72"/>
      <c r="U335" s="851"/>
      <c r="V335" s="851"/>
      <c r="W335" s="851"/>
      <c r="X335" s="851"/>
      <c r="Y335" s="852"/>
    </row>
    <row r="336" spans="1:25" ht="14.1" customHeight="1">
      <c r="A336" s="20">
        <v>48</v>
      </c>
      <c r="B336" s="71"/>
      <c r="C336" s="72"/>
      <c r="D336" s="72"/>
      <c r="E336" s="72"/>
      <c r="F336" s="72"/>
      <c r="G336" s="72"/>
      <c r="H336" s="72"/>
      <c r="I336" s="72"/>
      <c r="J336" s="72"/>
      <c r="K336" s="72"/>
      <c r="L336" s="72"/>
      <c r="M336" s="73"/>
      <c r="O336" s="33"/>
      <c r="P336" s="5" t="s">
        <v>204</v>
      </c>
      <c r="Q336" s="105" t="s">
        <v>627</v>
      </c>
      <c r="R336" s="72"/>
      <c r="S336" s="72"/>
      <c r="T336" s="72"/>
      <c r="U336" s="72"/>
      <c r="V336" s="72"/>
      <c r="W336" s="72"/>
      <c r="X336" s="72"/>
      <c r="Y336" s="35"/>
    </row>
    <row r="337" spans="1:25" ht="14.1" customHeight="1">
      <c r="A337" s="20">
        <v>49</v>
      </c>
      <c r="B337" s="71"/>
      <c r="M337" s="73"/>
      <c r="O337" s="33"/>
      <c r="P337" s="72"/>
      <c r="Q337" s="72"/>
      <c r="R337" s="72"/>
      <c r="S337" s="72"/>
      <c r="T337" s="72"/>
      <c r="U337" s="72"/>
      <c r="V337" s="72"/>
      <c r="W337" s="72"/>
      <c r="X337" s="72"/>
      <c r="Y337" s="35"/>
    </row>
    <row r="338" spans="1:25" ht="14.1" customHeight="1">
      <c r="A338" s="20">
        <v>50</v>
      </c>
      <c r="B338" s="71"/>
      <c r="M338" s="73"/>
      <c r="O338" s="100">
        <v>1</v>
      </c>
      <c r="P338" s="72" t="s">
        <v>620</v>
      </c>
      <c r="Q338" s="72"/>
      <c r="R338" s="72"/>
      <c r="S338" s="72"/>
      <c r="T338" s="72"/>
      <c r="U338" s="72"/>
      <c r="V338" s="72"/>
      <c r="W338" s="72"/>
      <c r="X338" s="72"/>
      <c r="Y338" s="35"/>
    </row>
    <row r="339" spans="1:25" ht="14.1" customHeight="1">
      <c r="A339" s="20">
        <v>51</v>
      </c>
      <c r="B339" s="71"/>
      <c r="M339" s="73"/>
      <c r="O339" s="100">
        <v>1</v>
      </c>
      <c r="P339" s="72" t="s">
        <v>628</v>
      </c>
      <c r="Q339" s="72"/>
      <c r="R339" s="72"/>
      <c r="S339" s="72"/>
      <c r="T339" s="72"/>
      <c r="U339" s="72"/>
      <c r="V339" s="72"/>
      <c r="W339" s="72"/>
      <c r="X339" s="72"/>
      <c r="Y339" s="35"/>
    </row>
    <row r="340" spans="1:25" ht="14.1" customHeight="1" thickBot="1">
      <c r="A340" s="20">
        <v>52</v>
      </c>
      <c r="B340" s="71"/>
      <c r="M340" s="73"/>
      <c r="O340" s="43"/>
      <c r="P340" s="196"/>
      <c r="Q340" s="196"/>
      <c r="R340" s="44"/>
      <c r="S340" s="44"/>
      <c r="T340" s="196"/>
      <c r="U340" s="196"/>
      <c r="V340" s="44"/>
      <c r="W340" s="268"/>
      <c r="X340" s="44"/>
      <c r="Y340" s="45"/>
    </row>
    <row r="341" spans="1:25" ht="14.1" customHeight="1">
      <c r="A341" s="20">
        <v>53</v>
      </c>
      <c r="B341" s="71"/>
      <c r="M341" s="73"/>
      <c r="O341" s="140" t="s">
        <v>330</v>
      </c>
      <c r="P341" s="236"/>
      <c r="Q341" s="236"/>
      <c r="R341" s="26"/>
      <c r="S341" s="26"/>
      <c r="T341" s="236"/>
      <c r="U341" s="236"/>
      <c r="V341" s="26"/>
      <c r="W341" s="26"/>
      <c r="X341" s="26"/>
      <c r="Y341" s="27"/>
    </row>
    <row r="342" spans="1:25" ht="14.1" customHeight="1" thickBot="1">
      <c r="A342" s="20">
        <v>54</v>
      </c>
      <c r="B342" s="71"/>
      <c r="C342" s="150" t="s">
        <v>342</v>
      </c>
      <c r="D342" s="72"/>
      <c r="E342" s="72"/>
      <c r="F342" s="72"/>
      <c r="G342" s="72"/>
      <c r="H342" s="72"/>
      <c r="I342" s="72"/>
      <c r="J342" s="72"/>
      <c r="K342" s="72"/>
      <c r="L342" s="72"/>
      <c r="M342" s="73"/>
      <c r="O342" s="33" t="s">
        <v>332</v>
      </c>
      <c r="P342" s="141"/>
      <c r="R342" s="38" t="s">
        <v>333</v>
      </c>
      <c r="S342" s="271"/>
      <c r="Y342" s="35"/>
    </row>
    <row r="343" spans="1:25" ht="14.1" customHeight="1">
      <c r="A343" s="20">
        <v>55</v>
      </c>
      <c r="B343" s="71"/>
      <c r="C343" s="166"/>
      <c r="D343" s="329" t="s">
        <v>95</v>
      </c>
      <c r="E343" s="330" t="str">
        <f>Q367</f>
        <v>Mo/Mo</v>
      </c>
      <c r="F343" s="465" t="s">
        <v>173</v>
      </c>
      <c r="G343" s="470">
        <f>S367</f>
        <v>28</v>
      </c>
      <c r="H343" s="27"/>
      <c r="I343" s="329" t="s">
        <v>95</v>
      </c>
      <c r="J343" s="330" t="str">
        <f>V367</f>
        <v>W/Rh</v>
      </c>
      <c r="K343" s="331" t="s">
        <v>173</v>
      </c>
      <c r="L343" s="598">
        <f>X367</f>
        <v>28</v>
      </c>
      <c r="M343" s="485"/>
      <c r="O343" s="33" t="s">
        <v>334</v>
      </c>
      <c r="P343" s="141"/>
      <c r="R343" s="38" t="s">
        <v>335</v>
      </c>
      <c r="S343" s="271"/>
      <c r="Y343" s="35"/>
    </row>
    <row r="344" spans="1:25" ht="14.1" customHeight="1">
      <c r="A344" s="20">
        <v>56</v>
      </c>
      <c r="B344" s="71"/>
      <c r="C344" s="166"/>
      <c r="D344" s="475"/>
      <c r="E344" s="72"/>
      <c r="F344" s="166" t="s">
        <v>219</v>
      </c>
      <c r="G344" s="599">
        <f>S368</f>
        <v>20</v>
      </c>
      <c r="H344" s="213"/>
      <c r="I344" s="72"/>
      <c r="J344" s="72"/>
      <c r="K344" s="166" t="s">
        <v>219</v>
      </c>
      <c r="L344" s="599">
        <f>X368</f>
        <v>50</v>
      </c>
      <c r="M344" s="73"/>
      <c r="O344" s="33"/>
      <c r="S344" s="791" t="s">
        <v>336</v>
      </c>
      <c r="T344" s="791"/>
      <c r="U344" s="791"/>
      <c r="V344" s="601"/>
      <c r="W344" s="601"/>
      <c r="Y344" s="35"/>
    </row>
    <row r="345" spans="1:25" ht="14.1" customHeight="1" thickBot="1">
      <c r="A345" s="20">
        <v>57</v>
      </c>
      <c r="B345" s="71"/>
      <c r="C345" s="111"/>
      <c r="D345" s="337" t="s">
        <v>25</v>
      </c>
      <c r="E345" s="338" t="s">
        <v>26</v>
      </c>
      <c r="F345" s="338" t="s">
        <v>27</v>
      </c>
      <c r="G345" s="338" t="s">
        <v>337</v>
      </c>
      <c r="H345" s="339" t="s">
        <v>338</v>
      </c>
      <c r="I345" s="337" t="s">
        <v>25</v>
      </c>
      <c r="J345" s="338" t="s">
        <v>26</v>
      </c>
      <c r="K345" s="338" t="s">
        <v>27</v>
      </c>
      <c r="L345" s="338" t="s">
        <v>337</v>
      </c>
      <c r="M345" s="486" t="s">
        <v>338</v>
      </c>
      <c r="O345" s="33"/>
      <c r="P345" s="24" t="s">
        <v>71</v>
      </c>
      <c r="Q345" s="601" t="s">
        <v>269</v>
      </c>
      <c r="R345" s="601" t="s">
        <v>72</v>
      </c>
      <c r="S345" s="601" t="s">
        <v>25</v>
      </c>
      <c r="T345" s="601" t="s">
        <v>26</v>
      </c>
      <c r="U345" s="601" t="s">
        <v>27</v>
      </c>
      <c r="V345" s="601" t="s">
        <v>337</v>
      </c>
      <c r="W345" s="601" t="s">
        <v>338</v>
      </c>
      <c r="X345" s="601" t="s">
        <v>518</v>
      </c>
      <c r="Y345" s="35"/>
    </row>
    <row r="346" spans="1:25" ht="14.1" customHeight="1">
      <c r="A346" s="20">
        <v>58</v>
      </c>
      <c r="B346" s="71"/>
      <c r="C346" s="111"/>
      <c r="D346" s="469" t="str">
        <f t="shared" ref="D346:M351" si="61">IF(P370="","",P370)</f>
        <v/>
      </c>
      <c r="E346" s="459" t="str">
        <f t="shared" si="61"/>
        <v/>
      </c>
      <c r="F346" s="459" t="str">
        <f t="shared" si="61"/>
        <v/>
      </c>
      <c r="G346" s="460" t="str">
        <f t="shared" si="61"/>
        <v/>
      </c>
      <c r="H346" s="471" t="str">
        <f t="shared" si="61"/>
        <v/>
      </c>
      <c r="I346" s="474" t="str">
        <f t="shared" si="61"/>
        <v/>
      </c>
      <c r="J346" s="450" t="str">
        <f t="shared" si="61"/>
        <v/>
      </c>
      <c r="K346" s="450" t="str">
        <f t="shared" si="61"/>
        <v/>
      </c>
      <c r="L346" s="451" t="str">
        <f t="shared" si="61"/>
        <v/>
      </c>
      <c r="M346" s="487" t="str">
        <f t="shared" si="61"/>
        <v/>
      </c>
      <c r="O346" s="33"/>
      <c r="P346" s="721" t="str">
        <f>AK10&amp;"/"&amp;AL10</f>
        <v>Mo/Mo</v>
      </c>
      <c r="Q346" s="316">
        <f>AH10</f>
        <v>24</v>
      </c>
      <c r="R346" s="14">
        <f>AI10</f>
        <v>50</v>
      </c>
      <c r="S346" s="15" t="str">
        <f>IF(AQ10="","",AQ10)</f>
        <v/>
      </c>
      <c r="T346" s="15" t="str">
        <f>IF(AN10="","",AN10)</f>
        <v/>
      </c>
      <c r="U346" s="15" t="str">
        <f>IF(AO10="","",AO10)</f>
        <v/>
      </c>
      <c r="V346" s="16" t="str">
        <f>IF(U346="","",U346/R346)</f>
        <v/>
      </c>
      <c r="W346" s="17" t="str">
        <f>IF(U346="","",U346/(T346/1000))</f>
        <v/>
      </c>
      <c r="X346" s="18" t="str">
        <f>IF(S346="","",(S346-Q346)/Q346)</f>
        <v/>
      </c>
      <c r="Y346" s="35"/>
    </row>
    <row r="347" spans="1:25" ht="14.1" customHeight="1">
      <c r="A347" s="20">
        <v>59</v>
      </c>
      <c r="B347" s="71"/>
      <c r="C347" s="111"/>
      <c r="D347" s="466" t="str">
        <f t="shared" si="61"/>
        <v/>
      </c>
      <c r="E347" s="310" t="str">
        <f t="shared" si="61"/>
        <v/>
      </c>
      <c r="F347" s="310" t="str">
        <f t="shared" si="61"/>
        <v/>
      </c>
      <c r="G347" s="304" t="str">
        <f t="shared" si="61"/>
        <v/>
      </c>
      <c r="H347" s="472" t="str">
        <f t="shared" si="61"/>
        <v/>
      </c>
      <c r="I347" s="466" t="str">
        <f t="shared" si="61"/>
        <v/>
      </c>
      <c r="J347" s="310" t="str">
        <f t="shared" si="61"/>
        <v/>
      </c>
      <c r="K347" s="310" t="str">
        <f t="shared" si="61"/>
        <v/>
      </c>
      <c r="L347" s="304" t="str">
        <f t="shared" si="61"/>
        <v/>
      </c>
      <c r="M347" s="488" t="str">
        <f t="shared" si="61"/>
        <v/>
      </c>
      <c r="O347" s="33"/>
      <c r="P347" s="722"/>
      <c r="Q347" s="317">
        <f>AH18</f>
        <v>25</v>
      </c>
      <c r="R347" s="14">
        <f>AI18</f>
        <v>50</v>
      </c>
      <c r="S347" s="15" t="str">
        <f>IF(AQ18="","",AQ18)</f>
        <v/>
      </c>
      <c r="T347" s="15" t="str">
        <f>IF(AN18="","",AN18)</f>
        <v/>
      </c>
      <c r="U347" s="15" t="str">
        <f>IF(AO18="","",AO18)</f>
        <v/>
      </c>
      <c r="V347" s="16" t="str">
        <f t="shared" ref="V347:V351" si="62">IF(U347="","",U347/R347)</f>
        <v/>
      </c>
      <c r="W347" s="15" t="str">
        <f t="shared" ref="W347:W351" si="63">IF(U347="","",U347/(T347/1000))</f>
        <v/>
      </c>
      <c r="X347" s="18" t="str">
        <f t="shared" ref="X347:X351" si="64">IF(S347="","",(S347-Q347)/Q347)</f>
        <v/>
      </c>
      <c r="Y347" s="35"/>
    </row>
    <row r="348" spans="1:25" ht="14.1" customHeight="1">
      <c r="A348" s="20">
        <v>60</v>
      </c>
      <c r="B348" s="71"/>
      <c r="C348" s="111"/>
      <c r="D348" s="466" t="str">
        <f t="shared" si="61"/>
        <v/>
      </c>
      <c r="E348" s="310" t="str">
        <f t="shared" si="61"/>
        <v/>
      </c>
      <c r="F348" s="310" t="str">
        <f t="shared" si="61"/>
        <v/>
      </c>
      <c r="G348" s="304" t="str">
        <f t="shared" si="61"/>
        <v/>
      </c>
      <c r="H348" s="472" t="str">
        <f t="shared" si="61"/>
        <v/>
      </c>
      <c r="I348" s="466" t="str">
        <f t="shared" si="61"/>
        <v/>
      </c>
      <c r="J348" s="310" t="str">
        <f t="shared" si="61"/>
        <v/>
      </c>
      <c r="K348" s="310" t="str">
        <f t="shared" si="61"/>
        <v/>
      </c>
      <c r="L348" s="304" t="str">
        <f t="shared" si="61"/>
        <v/>
      </c>
      <c r="M348" s="488" t="str">
        <f t="shared" si="61"/>
        <v/>
      </c>
      <c r="O348" s="33"/>
      <c r="P348" s="722"/>
      <c r="Q348" s="316">
        <f>AH26</f>
        <v>26</v>
      </c>
      <c r="R348" s="14">
        <f>AI26</f>
        <v>50</v>
      </c>
      <c r="S348" s="15" t="str">
        <f>IF(AQ26="","",AQ26)</f>
        <v/>
      </c>
      <c r="T348" s="15" t="str">
        <f>IF(AN26="","",AN26)</f>
        <v/>
      </c>
      <c r="U348" s="15" t="str">
        <f>IF(AO26="","",AO26)</f>
        <v/>
      </c>
      <c r="V348" s="16" t="str">
        <f t="shared" si="62"/>
        <v/>
      </c>
      <c r="W348" s="15" t="str">
        <f t="shared" si="63"/>
        <v/>
      </c>
      <c r="X348" s="18" t="str">
        <f t="shared" si="64"/>
        <v/>
      </c>
      <c r="Y348" s="35"/>
    </row>
    <row r="349" spans="1:25" ht="14.1" customHeight="1" thickBot="1">
      <c r="A349" s="20">
        <v>61</v>
      </c>
      <c r="B349" s="71"/>
      <c r="C349" s="111"/>
      <c r="D349" s="468" t="str">
        <f t="shared" si="61"/>
        <v/>
      </c>
      <c r="E349" s="457" t="str">
        <f t="shared" si="61"/>
        <v/>
      </c>
      <c r="F349" s="457" t="str">
        <f t="shared" si="61"/>
        <v/>
      </c>
      <c r="G349" s="458" t="str">
        <f t="shared" si="61"/>
        <v/>
      </c>
      <c r="H349" s="473" t="str">
        <f t="shared" si="61"/>
        <v/>
      </c>
      <c r="I349" s="468" t="str">
        <f t="shared" si="61"/>
        <v/>
      </c>
      <c r="J349" s="457" t="str">
        <f t="shared" si="61"/>
        <v/>
      </c>
      <c r="K349" s="457" t="str">
        <f t="shared" si="61"/>
        <v/>
      </c>
      <c r="L349" s="458" t="str">
        <f t="shared" si="61"/>
        <v/>
      </c>
      <c r="M349" s="489" t="str">
        <f t="shared" si="61"/>
        <v/>
      </c>
      <c r="O349" s="33"/>
      <c r="P349" s="722"/>
      <c r="Q349" s="316">
        <f>AH28</f>
        <v>28</v>
      </c>
      <c r="R349" s="14">
        <f>AI28</f>
        <v>50</v>
      </c>
      <c r="S349" s="15" t="str">
        <f>IF(AQ28="","",AQ28)</f>
        <v/>
      </c>
      <c r="T349" s="15" t="str">
        <f>IF(AN28="","",AN28)</f>
        <v/>
      </c>
      <c r="U349" s="15" t="str">
        <f>IF(AO28="","",AO28)</f>
        <v/>
      </c>
      <c r="V349" s="16" t="str">
        <f t="shared" si="62"/>
        <v/>
      </c>
      <c r="W349" s="15" t="str">
        <f t="shared" si="63"/>
        <v/>
      </c>
      <c r="X349" s="18" t="str">
        <f t="shared" si="64"/>
        <v/>
      </c>
      <c r="Y349" s="35"/>
    </row>
    <row r="350" spans="1:25" ht="14.1" customHeight="1">
      <c r="A350" s="20">
        <v>62</v>
      </c>
      <c r="B350" s="71"/>
      <c r="C350" s="166" t="s">
        <v>210</v>
      </c>
      <c r="D350" s="469" t="str">
        <f t="shared" si="61"/>
        <v/>
      </c>
      <c r="E350" s="459" t="str">
        <f t="shared" si="61"/>
        <v/>
      </c>
      <c r="F350" s="459" t="str">
        <f t="shared" si="61"/>
        <v/>
      </c>
      <c r="G350" s="460" t="str">
        <f t="shared" si="61"/>
        <v/>
      </c>
      <c r="H350" s="471" t="str">
        <f t="shared" si="61"/>
        <v/>
      </c>
      <c r="I350" s="469" t="str">
        <f t="shared" si="61"/>
        <v/>
      </c>
      <c r="J350" s="459" t="str">
        <f t="shared" si="61"/>
        <v/>
      </c>
      <c r="K350" s="459" t="str">
        <f t="shared" si="61"/>
        <v/>
      </c>
      <c r="L350" s="460" t="str">
        <f t="shared" si="61"/>
        <v/>
      </c>
      <c r="M350" s="490" t="str">
        <f t="shared" si="61"/>
        <v/>
      </c>
      <c r="O350" s="33"/>
      <c r="P350" s="722"/>
      <c r="Q350" s="316">
        <f>AH40</f>
        <v>30</v>
      </c>
      <c r="R350" s="14">
        <f>AI40</f>
        <v>50</v>
      </c>
      <c r="S350" s="15" t="str">
        <f>IF(AQ40="","",AQ40)</f>
        <v/>
      </c>
      <c r="T350" s="15" t="str">
        <f>IF(AN40="","",AN40)</f>
        <v/>
      </c>
      <c r="U350" s="15" t="str">
        <f>IF(AO40="","",AO40)</f>
        <v/>
      </c>
      <c r="V350" s="16" t="str">
        <f t="shared" si="62"/>
        <v/>
      </c>
      <c r="W350" s="15" t="str">
        <f t="shared" si="63"/>
        <v/>
      </c>
      <c r="X350" s="18" t="str">
        <f t="shared" si="64"/>
        <v/>
      </c>
      <c r="Y350" s="35"/>
    </row>
    <row r="351" spans="1:25" ht="14.1" customHeight="1">
      <c r="A351" s="20">
        <v>63</v>
      </c>
      <c r="B351" s="71"/>
      <c r="C351" s="166" t="s">
        <v>343</v>
      </c>
      <c r="D351" s="466" t="str">
        <f t="shared" si="61"/>
        <v/>
      </c>
      <c r="E351" s="310" t="str">
        <f t="shared" si="61"/>
        <v/>
      </c>
      <c r="F351" s="310" t="str">
        <f t="shared" si="61"/>
        <v/>
      </c>
      <c r="G351" s="304" t="str">
        <f t="shared" si="61"/>
        <v/>
      </c>
      <c r="H351" s="472" t="str">
        <f t="shared" si="61"/>
        <v/>
      </c>
      <c r="I351" s="466" t="str">
        <f t="shared" si="61"/>
        <v/>
      </c>
      <c r="J351" s="310" t="str">
        <f t="shared" si="61"/>
        <v/>
      </c>
      <c r="K351" s="310" t="str">
        <f t="shared" si="61"/>
        <v/>
      </c>
      <c r="L351" s="304" t="str">
        <f t="shared" si="61"/>
        <v/>
      </c>
      <c r="M351" s="488" t="str">
        <f t="shared" si="61"/>
        <v/>
      </c>
      <c r="O351" s="33"/>
      <c r="P351" s="722"/>
      <c r="Q351" s="316">
        <f>AH41</f>
        <v>32</v>
      </c>
      <c r="R351" s="14">
        <f>AI41</f>
        <v>50</v>
      </c>
      <c r="S351" s="15" t="str">
        <f>IF(AQ41="","",AQ41)</f>
        <v/>
      </c>
      <c r="T351" s="15" t="str">
        <f>IF(AN41="","",AN41)</f>
        <v/>
      </c>
      <c r="U351" s="15" t="str">
        <f>IF(AO41="","",AO41)</f>
        <v/>
      </c>
      <c r="V351" s="16" t="str">
        <f t="shared" si="62"/>
        <v/>
      </c>
      <c r="W351" s="15" t="str">
        <f t="shared" si="63"/>
        <v/>
      </c>
      <c r="X351" s="18" t="str">
        <f t="shared" si="64"/>
        <v/>
      </c>
      <c r="Y351" s="35"/>
    </row>
    <row r="352" spans="1:25" ht="14.1" customHeight="1" thickBot="1">
      <c r="A352" s="20">
        <v>64</v>
      </c>
      <c r="B352" s="71"/>
      <c r="C352" s="327" t="s">
        <v>274</v>
      </c>
      <c r="D352" s="422" t="str">
        <f>IF(P376="","",P376)</f>
        <v/>
      </c>
      <c r="E352" s="484"/>
      <c r="F352" s="423" t="str">
        <f>IF(R376="","",R376)</f>
        <v/>
      </c>
      <c r="G352" s="423" t="str">
        <f>IF(S376="","",S376)</f>
        <v/>
      </c>
      <c r="H352" s="483"/>
      <c r="I352" s="422" t="str">
        <f>IF(U376="","",U376)</f>
        <v/>
      </c>
      <c r="J352" s="484"/>
      <c r="K352" s="423" t="str">
        <f>IF(W376="","",W376)</f>
        <v/>
      </c>
      <c r="L352" s="423" t="str">
        <f>IF(X376="","",X376)</f>
        <v/>
      </c>
      <c r="M352" s="491"/>
      <c r="O352" s="33"/>
      <c r="P352" s="723"/>
      <c r="Q352" s="316">
        <f>AH49</f>
        <v>34</v>
      </c>
      <c r="R352" s="14">
        <f>AI49</f>
        <v>50</v>
      </c>
      <c r="S352" s="15" t="str">
        <f>IF(AQ49="","",AQ49)</f>
        <v/>
      </c>
      <c r="T352" s="15" t="str">
        <f>IF(AN49="","",AN49)</f>
        <v/>
      </c>
      <c r="U352" s="15" t="str">
        <f>IF(AO49="","",AO49)</f>
        <v/>
      </c>
      <c r="V352" s="16" t="str">
        <f t="shared" ref="V352" si="65">IF(U352="","",U352/R352)</f>
        <v/>
      </c>
      <c r="W352" s="15" t="str">
        <f t="shared" ref="W352" si="66">IF(U352="","",U352/(T352/1000))</f>
        <v/>
      </c>
      <c r="X352" s="18" t="str">
        <f t="shared" ref="X352" si="67">IF(S352="","",(S352-Q352)/Q352)</f>
        <v/>
      </c>
      <c r="Y352" s="35"/>
    </row>
    <row r="353" spans="1:25" ht="14.1" customHeight="1" thickBot="1">
      <c r="A353" s="20">
        <v>65</v>
      </c>
      <c r="B353" s="71"/>
      <c r="C353" s="166"/>
      <c r="D353" s="343"/>
      <c r="E353" s="343"/>
      <c r="F353" s="343"/>
      <c r="G353" s="482" t="s">
        <v>546</v>
      </c>
      <c r="H353" s="388" t="str">
        <f>IF(H350="","",IF(H350&gt;7,"Pass","Fail"))</f>
        <v/>
      </c>
      <c r="I353" s="72"/>
      <c r="J353" s="72"/>
      <c r="K353" s="72"/>
      <c r="L353" s="166" t="s">
        <v>547</v>
      </c>
      <c r="M353" s="492" t="str">
        <f>IF(M350="","",IF(M350&gt;2,"Pass","Fail"))</f>
        <v/>
      </c>
      <c r="O353" s="33"/>
      <c r="P353" s="724" t="str">
        <f>AK57&amp;"/"&amp;AL57</f>
        <v>Mo/Rh</v>
      </c>
      <c r="Q353" s="316">
        <f>AH57</f>
        <v>28</v>
      </c>
      <c r="R353" s="14">
        <f>AI57</f>
        <v>50</v>
      </c>
      <c r="S353" s="15" t="str">
        <f>IF(AQ57="","",AQ57)</f>
        <v/>
      </c>
      <c r="T353" s="15" t="str">
        <f>IF(AN57="","",AN57)</f>
        <v/>
      </c>
      <c r="U353" s="15" t="str">
        <f>IF(AO57="","",AO57)</f>
        <v/>
      </c>
      <c r="V353" s="16" t="str">
        <f t="shared" ref="V353:V363" si="68">IF(U353="","",U353/R353)</f>
        <v/>
      </c>
      <c r="W353" s="15" t="str">
        <f t="shared" ref="W353:W363" si="69">IF(U353="","",U353/(T353/1000))</f>
        <v/>
      </c>
      <c r="X353" s="18" t="str">
        <f t="shared" ref="X353:X363" si="70">IF(S353="","",(S353-Q353)/Q353)</f>
        <v/>
      </c>
      <c r="Y353" s="35"/>
    </row>
    <row r="354" spans="1:25" ht="14.1" customHeight="1">
      <c r="A354" s="20">
        <v>66</v>
      </c>
      <c r="B354" s="71"/>
      <c r="C354" s="166"/>
      <c r="D354" s="72"/>
      <c r="E354" s="72"/>
      <c r="F354" s="111"/>
      <c r="G354" s="111"/>
      <c r="H354" s="72"/>
      <c r="I354" s="72"/>
      <c r="J354" s="72"/>
      <c r="K354" s="72"/>
      <c r="L354" s="72"/>
      <c r="M354" s="73"/>
      <c r="O354" s="165"/>
      <c r="P354" s="725"/>
      <c r="Q354" s="316">
        <f>AH65</f>
        <v>30</v>
      </c>
      <c r="R354" s="14">
        <f>AI65</f>
        <v>50</v>
      </c>
      <c r="S354" s="15" t="str">
        <f>IF(AQ65="","",AQ65)</f>
        <v/>
      </c>
      <c r="T354" s="15" t="str">
        <f>IF(AN65="","",AN65)</f>
        <v/>
      </c>
      <c r="U354" s="15" t="str">
        <f>IF(AO65="","",AO65)</f>
        <v/>
      </c>
      <c r="V354" s="16" t="str">
        <f t="shared" si="68"/>
        <v/>
      </c>
      <c r="W354" s="15" t="str">
        <f t="shared" si="69"/>
        <v/>
      </c>
      <c r="X354" s="18" t="str">
        <f t="shared" si="70"/>
        <v/>
      </c>
      <c r="Y354" s="35"/>
    </row>
    <row r="355" spans="1:25" ht="14.1" customHeight="1">
      <c r="A355" s="20">
        <v>67</v>
      </c>
      <c r="B355" s="71"/>
      <c r="C355" s="72"/>
      <c r="D355" s="5" t="s">
        <v>204</v>
      </c>
      <c r="E355" s="105" t="s">
        <v>346</v>
      </c>
      <c r="F355" s="72"/>
      <c r="G355" s="72"/>
      <c r="H355" s="72"/>
      <c r="I355" s="72"/>
      <c r="J355" s="72"/>
      <c r="K355" s="72"/>
      <c r="L355" s="72"/>
      <c r="M355" s="73"/>
      <c r="O355" s="33"/>
      <c r="P355" s="725"/>
      <c r="Q355" s="316">
        <f>AH73</f>
        <v>32</v>
      </c>
      <c r="R355" s="14">
        <f>AI73</f>
        <v>50</v>
      </c>
      <c r="S355" s="15" t="str">
        <f>IF(AQ73="","",AQ73)</f>
        <v/>
      </c>
      <c r="T355" s="15" t="str">
        <f>IF(AN73="","",AN73)</f>
        <v/>
      </c>
      <c r="U355" s="15" t="str">
        <f>IF(AO73="","",AO73)</f>
        <v/>
      </c>
      <c r="V355" s="16" t="str">
        <f t="shared" si="68"/>
        <v/>
      </c>
      <c r="W355" s="15" t="str">
        <f t="shared" si="69"/>
        <v/>
      </c>
      <c r="X355" s="18" t="str">
        <f t="shared" si="70"/>
        <v/>
      </c>
      <c r="Y355" s="35"/>
    </row>
    <row r="356" spans="1:25" ht="14.1" customHeight="1">
      <c r="A356" s="20">
        <v>68</v>
      </c>
      <c r="B356" s="71"/>
      <c r="C356" s="72"/>
      <c r="D356" s="72"/>
      <c r="E356" s="105" t="s">
        <v>347</v>
      </c>
      <c r="F356" s="72"/>
      <c r="G356" s="72"/>
      <c r="H356" s="72"/>
      <c r="I356" s="72"/>
      <c r="J356" s="72"/>
      <c r="K356" s="72"/>
      <c r="L356" s="72"/>
      <c r="M356" s="73"/>
      <c r="O356" s="33"/>
      <c r="P356" s="725"/>
      <c r="Q356" s="316">
        <f>AH81</f>
        <v>34</v>
      </c>
      <c r="R356" s="14">
        <f>AI81</f>
        <v>50</v>
      </c>
      <c r="S356" s="15" t="str">
        <f>IF(AQ81="","",AQ81)</f>
        <v/>
      </c>
      <c r="T356" s="15" t="str">
        <f>IF(AN81="","",AN81)</f>
        <v/>
      </c>
      <c r="U356" s="15" t="str">
        <f>IF(AO81="","",AO81)</f>
        <v/>
      </c>
      <c r="V356" s="16" t="str">
        <f t="shared" si="68"/>
        <v/>
      </c>
      <c r="W356" s="15" t="str">
        <f t="shared" si="69"/>
        <v/>
      </c>
      <c r="X356" s="18" t="str">
        <f t="shared" si="70"/>
        <v/>
      </c>
      <c r="Y356" s="35"/>
    </row>
    <row r="357" spans="1:25" ht="14.1" customHeight="1">
      <c r="A357" s="20">
        <v>69</v>
      </c>
      <c r="B357" s="71"/>
      <c r="C357" s="72"/>
      <c r="D357" s="72"/>
      <c r="E357" s="105" t="s">
        <v>348</v>
      </c>
      <c r="F357" s="72"/>
      <c r="G357" s="72"/>
      <c r="H357" s="72"/>
      <c r="I357" s="72"/>
      <c r="J357" s="72"/>
      <c r="K357" s="72"/>
      <c r="L357" s="72"/>
      <c r="M357" s="73"/>
      <c r="O357" s="33"/>
      <c r="P357" s="725"/>
      <c r="Q357" s="316">
        <f t="shared" ref="Q357:R359" si="71">AH89</f>
        <v>36</v>
      </c>
      <c r="R357" s="14">
        <f t="shared" si="71"/>
        <v>50</v>
      </c>
      <c r="S357" s="15" t="str">
        <f>IF(AQ89="","",AQ89)</f>
        <v/>
      </c>
      <c r="T357" s="15" t="str">
        <f t="shared" ref="T357:U359" si="72">IF(AN89="","",AN89)</f>
        <v/>
      </c>
      <c r="U357" s="15" t="str">
        <f t="shared" si="72"/>
        <v/>
      </c>
      <c r="V357" s="16" t="str">
        <f t="shared" si="68"/>
        <v/>
      </c>
      <c r="W357" s="15" t="str">
        <f t="shared" si="69"/>
        <v/>
      </c>
      <c r="X357" s="18" t="str">
        <f t="shared" si="70"/>
        <v/>
      </c>
      <c r="Y357" s="35"/>
    </row>
    <row r="358" spans="1:25" ht="14.1" customHeight="1" thickBot="1">
      <c r="A358" s="20">
        <v>70</v>
      </c>
      <c r="B358" s="84"/>
      <c r="C358" s="85"/>
      <c r="D358" s="85"/>
      <c r="E358" s="85"/>
      <c r="F358" s="85"/>
      <c r="G358" s="85"/>
      <c r="H358" s="85"/>
      <c r="I358" s="85"/>
      <c r="J358" s="85"/>
      <c r="K358" s="85"/>
      <c r="L358" s="85"/>
      <c r="M358" s="86"/>
      <c r="O358" s="33"/>
      <c r="P358" s="726"/>
      <c r="Q358" s="316">
        <f t="shared" si="71"/>
        <v>38</v>
      </c>
      <c r="R358" s="14">
        <f t="shared" si="71"/>
        <v>50</v>
      </c>
      <c r="S358" s="15" t="str">
        <f>IF(AQ90="","",AQ90)</f>
        <v/>
      </c>
      <c r="T358" s="15" t="str">
        <f t="shared" si="72"/>
        <v/>
      </c>
      <c r="U358" s="15" t="str">
        <f t="shared" si="72"/>
        <v/>
      </c>
      <c r="V358" s="16" t="str">
        <f t="shared" si="68"/>
        <v/>
      </c>
      <c r="W358" s="15" t="str">
        <f t="shared" si="69"/>
        <v/>
      </c>
      <c r="X358" s="18" t="str">
        <f t="shared" si="70"/>
        <v/>
      </c>
      <c r="Y358" s="35"/>
    </row>
    <row r="359" spans="1:25" ht="14.1" customHeight="1" thickTop="1">
      <c r="A359" s="20">
        <v>71</v>
      </c>
      <c r="C359" s="113" t="s">
        <v>11</v>
      </c>
      <c r="D359" s="386" t="str">
        <f>IF($P$7="","",$P$7)</f>
        <v/>
      </c>
      <c r="E359" s="30"/>
      <c r="F359" s="30"/>
      <c r="G359" s="30"/>
      <c r="H359" s="30"/>
      <c r="I359" s="30"/>
      <c r="J359" s="30"/>
      <c r="K359" s="30"/>
      <c r="L359" s="113" t="s">
        <v>12</v>
      </c>
      <c r="M359" s="387" t="str">
        <f>IF($X$7="","",$X$7)</f>
        <v>Eugene Mah</v>
      </c>
      <c r="O359" s="33"/>
      <c r="P359" s="724" t="str">
        <f>AK91&amp;"/"&amp;AL91</f>
        <v>W/Rh</v>
      </c>
      <c r="Q359" s="317">
        <f t="shared" si="71"/>
        <v>28</v>
      </c>
      <c r="R359" s="14">
        <f t="shared" si="71"/>
        <v>50</v>
      </c>
      <c r="S359" s="15" t="str">
        <f>IF(AQ91="","",AQ91)</f>
        <v/>
      </c>
      <c r="T359" s="15" t="str">
        <f t="shared" si="72"/>
        <v/>
      </c>
      <c r="U359" s="15" t="str">
        <f t="shared" si="72"/>
        <v/>
      </c>
      <c r="V359" s="16" t="str">
        <f t="shared" si="68"/>
        <v/>
      </c>
      <c r="W359" s="15" t="str">
        <f t="shared" si="69"/>
        <v/>
      </c>
      <c r="X359" s="18" t="str">
        <f t="shared" si="70"/>
        <v/>
      </c>
      <c r="Y359" s="35"/>
    </row>
    <row r="360" spans="1:25" ht="14.1" customHeight="1">
      <c r="A360" s="20">
        <v>72</v>
      </c>
      <c r="C360" s="113" t="s">
        <v>121</v>
      </c>
      <c r="D360" s="503" t="str">
        <f>IF($R$14="","",$R$14)</f>
        <v/>
      </c>
      <c r="E360" s="30"/>
      <c r="F360" s="30"/>
      <c r="G360" s="30"/>
      <c r="H360" s="30"/>
      <c r="I360" s="30"/>
      <c r="J360" s="30"/>
      <c r="K360" s="30"/>
      <c r="L360" s="113" t="s">
        <v>37</v>
      </c>
      <c r="M360" s="503" t="str">
        <f>IF($R$13="","",$R$13)</f>
        <v/>
      </c>
      <c r="O360" s="33"/>
      <c r="P360" s="725"/>
      <c r="Q360" s="317">
        <f>AH101</f>
        <v>30</v>
      </c>
      <c r="R360" s="14">
        <f>AI101</f>
        <v>50</v>
      </c>
      <c r="S360" s="15" t="str">
        <f>IF(AQ101="","",AQ101)</f>
        <v/>
      </c>
      <c r="T360" s="15" t="str">
        <f>IF(AN101="","",AN101)</f>
        <v/>
      </c>
      <c r="U360" s="15" t="str">
        <f>IF(AO101="","",AO101)</f>
        <v/>
      </c>
      <c r="V360" s="16" t="str">
        <f t="shared" si="68"/>
        <v/>
      </c>
      <c r="W360" s="15" t="str">
        <f t="shared" si="69"/>
        <v/>
      </c>
      <c r="X360" s="18" t="str">
        <f t="shared" si="70"/>
        <v/>
      </c>
      <c r="Y360" s="35"/>
    </row>
    <row r="361" spans="1:25" ht="14.1" customHeight="1">
      <c r="A361" s="20">
        <v>1</v>
      </c>
      <c r="B361" s="72"/>
      <c r="C361" s="72"/>
      <c r="D361" s="72"/>
      <c r="E361" s="72"/>
      <c r="F361" s="72"/>
      <c r="G361" s="72"/>
      <c r="H361" s="72"/>
      <c r="I361" s="72"/>
      <c r="J361" s="72"/>
      <c r="K361" s="72"/>
      <c r="L361" s="72"/>
      <c r="M361" s="584" t="str">
        <f>$H$2</f>
        <v>Medical University of South Carolina</v>
      </c>
      <c r="O361" s="33"/>
      <c r="P361" s="725"/>
      <c r="Q361" s="316">
        <f>AH109</f>
        <v>32</v>
      </c>
      <c r="R361" s="14">
        <f>AI109</f>
        <v>50</v>
      </c>
      <c r="S361" s="15" t="str">
        <f>IF(AQ109="","",AQ109)</f>
        <v/>
      </c>
      <c r="T361" s="15" t="str">
        <f>IF(AN109="","",AN109)</f>
        <v/>
      </c>
      <c r="U361" s="15" t="str">
        <f>IF(AO109="","",AO109)</f>
        <v/>
      </c>
      <c r="V361" s="16" t="str">
        <f t="shared" si="68"/>
        <v/>
      </c>
      <c r="W361" s="15" t="str">
        <f t="shared" si="69"/>
        <v/>
      </c>
      <c r="X361" s="18" t="str">
        <f t="shared" si="70"/>
        <v/>
      </c>
      <c r="Y361" s="35"/>
    </row>
    <row r="362" spans="1:25" ht="14.1" customHeight="1" thickBot="1">
      <c r="A362" s="20">
        <v>2</v>
      </c>
      <c r="B362" s="85"/>
      <c r="C362" s="85"/>
      <c r="D362" s="85"/>
      <c r="E362" s="85"/>
      <c r="F362" s="85"/>
      <c r="G362" s="85"/>
      <c r="H362" s="585" t="s">
        <v>73</v>
      </c>
      <c r="I362" s="85"/>
      <c r="J362" s="85"/>
      <c r="K362" s="85"/>
      <c r="L362" s="85"/>
      <c r="M362" s="586" t="str">
        <f>$H$5</f>
        <v>Mammography System Compliance Inspection</v>
      </c>
      <c r="O362" s="33"/>
      <c r="P362" s="725"/>
      <c r="Q362" s="316">
        <f>AH117</f>
        <v>34</v>
      </c>
      <c r="R362" s="14">
        <f>AI117</f>
        <v>50</v>
      </c>
      <c r="S362" s="15" t="str">
        <f>IF(AQ117="","",AQ117)</f>
        <v/>
      </c>
      <c r="T362" s="15" t="str">
        <f>IF(AN117="","",AN117)</f>
        <v/>
      </c>
      <c r="U362" s="15" t="str">
        <f>IF(AO117="","",AO117)</f>
        <v/>
      </c>
      <c r="V362" s="16" t="str">
        <f t="shared" si="68"/>
        <v/>
      </c>
      <c r="W362" s="15" t="str">
        <f t="shared" si="69"/>
        <v/>
      </c>
      <c r="X362" s="18" t="str">
        <f t="shared" si="70"/>
        <v/>
      </c>
      <c r="Y362" s="35"/>
    </row>
    <row r="363" spans="1:25" ht="14.1" customHeight="1" thickTop="1">
      <c r="A363" s="20">
        <v>3</v>
      </c>
      <c r="B363" s="71"/>
      <c r="C363" s="150" t="s">
        <v>349</v>
      </c>
      <c r="D363" s="72"/>
      <c r="E363" s="72"/>
      <c r="F363" s="72"/>
      <c r="G363" s="72"/>
      <c r="H363" s="72"/>
      <c r="I363" s="72"/>
      <c r="J363" s="72"/>
      <c r="K363" s="72"/>
      <c r="L363" s="72"/>
      <c r="M363" s="73"/>
      <c r="O363" s="33"/>
      <c r="P363" s="726"/>
      <c r="Q363" s="316">
        <f>AH125</f>
        <v>38</v>
      </c>
      <c r="R363" s="14">
        <f>AI125</f>
        <v>50</v>
      </c>
      <c r="S363" s="15" t="str">
        <f>IF(AQ125="","",AQ125)</f>
        <v/>
      </c>
      <c r="T363" s="15" t="str">
        <f>IF(AN125="","",AN125)</f>
        <v/>
      </c>
      <c r="U363" s="15" t="str">
        <f>IF(AO125="","",AO125)</f>
        <v/>
      </c>
      <c r="V363" s="16" t="str">
        <f t="shared" si="68"/>
        <v/>
      </c>
      <c r="W363" s="15" t="str">
        <f t="shared" si="69"/>
        <v/>
      </c>
      <c r="X363" s="18" t="str">
        <f t="shared" si="70"/>
        <v/>
      </c>
      <c r="Y363" s="35"/>
    </row>
    <row r="364" spans="1:25" ht="14.1" customHeight="1">
      <c r="A364" s="20">
        <v>4</v>
      </c>
      <c r="B364" s="71"/>
      <c r="C364" s="166" t="s">
        <v>51</v>
      </c>
      <c r="D364" s="144" t="str">
        <f>IF(Q382="","",Q382)</f>
        <v>Mo/Mo</v>
      </c>
      <c r="E364" s="166" t="s">
        <v>54</v>
      </c>
      <c r="F364" s="144">
        <f>IF(S382="","",S382)</f>
        <v>28</v>
      </c>
      <c r="G364" s="72"/>
      <c r="H364" s="72"/>
      <c r="I364" s="72"/>
      <c r="J364" s="72"/>
      <c r="K364" s="72"/>
      <c r="L364" s="72"/>
      <c r="M364" s="73"/>
      <c r="O364" s="33"/>
      <c r="P364" s="117" t="s">
        <v>204</v>
      </c>
      <c r="Q364" s="30" t="s">
        <v>340</v>
      </c>
      <c r="Y364" s="35"/>
    </row>
    <row r="365" spans="1:25" ht="14.1" customHeight="1" thickBot="1">
      <c r="A365" s="20">
        <v>5</v>
      </c>
      <c r="B365" s="71"/>
      <c r="C365" s="72"/>
      <c r="D365" s="111"/>
      <c r="E365" s="72"/>
      <c r="F365" s="72"/>
      <c r="G365" s="72"/>
      <c r="H365" s="72"/>
      <c r="I365" s="72"/>
      <c r="J365" s="72"/>
      <c r="K365" s="72"/>
      <c r="L365" s="72"/>
      <c r="M365" s="73"/>
      <c r="O365" s="43"/>
      <c r="P365" s="44"/>
      <c r="Q365" s="44"/>
      <c r="R365" s="44"/>
      <c r="S365" s="44"/>
      <c r="T365" s="44"/>
      <c r="U365" s="44"/>
      <c r="V365" s="44"/>
      <c r="W365" s="44"/>
      <c r="X365" s="44"/>
      <c r="Y365" s="45"/>
    </row>
    <row r="366" spans="1:25" ht="14.1" customHeight="1" thickBot="1">
      <c r="A366" s="20">
        <v>6</v>
      </c>
      <c r="B366" s="71"/>
      <c r="C366" s="276" t="s">
        <v>353</v>
      </c>
      <c r="D366" s="276" t="s">
        <v>25</v>
      </c>
      <c r="E366" s="276" t="s">
        <v>344</v>
      </c>
      <c r="F366" s="276" t="s">
        <v>337</v>
      </c>
      <c r="G366" s="276" t="s">
        <v>338</v>
      </c>
      <c r="H366" s="72"/>
      <c r="I366" s="388" t="str">
        <f>IF(F371="","",IF(F371&lt;=0.1,"Pass","Fail"))</f>
        <v/>
      </c>
      <c r="J366" s="72" t="s">
        <v>548</v>
      </c>
      <c r="K366" s="72"/>
      <c r="L366" s="72"/>
      <c r="M366" s="73"/>
      <c r="O366" s="140" t="s">
        <v>341</v>
      </c>
      <c r="P366" s="26"/>
      <c r="Q366" s="26"/>
      <c r="R366" s="26"/>
      <c r="S366" s="26"/>
      <c r="T366" s="26"/>
      <c r="U366" s="26"/>
      <c r="V366" s="26"/>
      <c r="W366" s="26"/>
      <c r="X366" s="26"/>
      <c r="Y366" s="27"/>
    </row>
    <row r="367" spans="1:25" ht="14.1" customHeight="1" thickBot="1">
      <c r="A367" s="20">
        <v>7</v>
      </c>
      <c r="B367" s="71"/>
      <c r="C367" s="14">
        <f t="shared" ref="C367:D370" si="73">IF(P384="","",P384)</f>
        <v>20</v>
      </c>
      <c r="D367" s="15" t="str">
        <f t="shared" si="73"/>
        <v/>
      </c>
      <c r="E367" s="15" t="str">
        <f t="shared" ref="E367:G370" si="74">IF(S384="","",S384)</f>
        <v/>
      </c>
      <c r="F367" s="16" t="str">
        <f t="shared" si="74"/>
        <v/>
      </c>
      <c r="G367" s="15" t="str">
        <f t="shared" si="74"/>
        <v/>
      </c>
      <c r="H367" s="72"/>
      <c r="I367" s="388" t="str">
        <f>IF(O390="","",IF(O390=1,"Pass","Fail"))</f>
        <v/>
      </c>
      <c r="J367" s="72" t="s">
        <v>549</v>
      </c>
      <c r="K367" s="72"/>
      <c r="L367" s="72"/>
      <c r="M367" s="73"/>
      <c r="O367" s="33"/>
      <c r="P367" s="329" t="s">
        <v>95</v>
      </c>
      <c r="Q367" s="330" t="str">
        <f>AK10&amp;"/"&amp;AL10</f>
        <v>Mo/Mo</v>
      </c>
      <c r="R367" s="465" t="s">
        <v>173</v>
      </c>
      <c r="S367" s="470">
        <f>AH28</f>
        <v>28</v>
      </c>
      <c r="T367" s="27"/>
      <c r="U367" s="329" t="s">
        <v>95</v>
      </c>
      <c r="V367" s="330" t="str">
        <f>AK91&amp;"/"&amp;AL91</f>
        <v>W/Rh</v>
      </c>
      <c r="W367" s="331" t="s">
        <v>173</v>
      </c>
      <c r="X367" s="642">
        <f>AH91</f>
        <v>28</v>
      </c>
      <c r="Y367" s="27"/>
    </row>
    <row r="368" spans="1:25" ht="14.1" customHeight="1">
      <c r="A368" s="20">
        <v>8</v>
      </c>
      <c r="B368" s="71"/>
      <c r="C368" s="14">
        <f t="shared" si="73"/>
        <v>50</v>
      </c>
      <c r="D368" s="15" t="str">
        <f t="shared" si="73"/>
        <v/>
      </c>
      <c r="E368" s="15" t="str">
        <f t="shared" si="74"/>
        <v/>
      </c>
      <c r="F368" s="16" t="str">
        <f t="shared" si="74"/>
        <v/>
      </c>
      <c r="G368" s="15" t="str">
        <f t="shared" si="74"/>
        <v/>
      </c>
      <c r="H368" s="72"/>
      <c r="I368" s="72"/>
      <c r="J368" s="72"/>
      <c r="K368" s="72"/>
      <c r="L368" s="72"/>
      <c r="M368" s="73"/>
      <c r="O368" s="327"/>
      <c r="P368" s="475"/>
      <c r="R368" s="166" t="s">
        <v>219</v>
      </c>
      <c r="S368" s="639">
        <f>AI27</f>
        <v>20</v>
      </c>
      <c r="T368" s="213"/>
      <c r="W368" s="166" t="s">
        <v>219</v>
      </c>
      <c r="X368" s="639">
        <f>AI91</f>
        <v>50</v>
      </c>
      <c r="Y368" s="35"/>
    </row>
    <row r="369" spans="1:25" ht="14.1" customHeight="1" thickBot="1">
      <c r="A369" s="20">
        <v>9</v>
      </c>
      <c r="B369" s="71"/>
      <c r="C369" s="14">
        <f t="shared" si="73"/>
        <v>100</v>
      </c>
      <c r="D369" s="15" t="str">
        <f t="shared" si="73"/>
        <v/>
      </c>
      <c r="E369" s="15" t="str">
        <f t="shared" si="74"/>
        <v/>
      </c>
      <c r="F369" s="16" t="str">
        <f t="shared" si="74"/>
        <v/>
      </c>
      <c r="G369" s="15" t="str">
        <f t="shared" si="74"/>
        <v/>
      </c>
      <c r="H369" s="72"/>
      <c r="I369" s="72"/>
      <c r="J369" s="72"/>
      <c r="K369" s="72"/>
      <c r="L369" s="72"/>
      <c r="M369" s="73"/>
      <c r="O369" s="328"/>
      <c r="P369" s="332" t="s">
        <v>25</v>
      </c>
      <c r="Q369" s="111" t="s">
        <v>26</v>
      </c>
      <c r="R369" s="111" t="s">
        <v>27</v>
      </c>
      <c r="S369" s="111" t="s">
        <v>337</v>
      </c>
      <c r="T369" s="213" t="s">
        <v>338</v>
      </c>
      <c r="U369" s="337" t="s">
        <v>25</v>
      </c>
      <c r="V369" s="338" t="s">
        <v>26</v>
      </c>
      <c r="W369" s="338" t="s">
        <v>27</v>
      </c>
      <c r="X369" s="338" t="s">
        <v>337</v>
      </c>
      <c r="Y369" s="339" t="s">
        <v>338</v>
      </c>
    </row>
    <row r="370" spans="1:25" ht="14.1" customHeight="1" thickBot="1">
      <c r="A370" s="20">
        <v>10</v>
      </c>
      <c r="B370" s="71"/>
      <c r="C370" s="14">
        <f t="shared" si="73"/>
        <v>300</v>
      </c>
      <c r="D370" s="15" t="str">
        <f t="shared" si="73"/>
        <v/>
      </c>
      <c r="E370" s="15" t="str">
        <f t="shared" si="74"/>
        <v/>
      </c>
      <c r="F370" s="16" t="str">
        <f t="shared" si="74"/>
        <v/>
      </c>
      <c r="G370" s="15" t="str">
        <f t="shared" si="74"/>
        <v/>
      </c>
      <c r="H370" s="72"/>
      <c r="I370" s="72"/>
      <c r="J370" s="72"/>
      <c r="K370" s="72"/>
      <c r="L370" s="72"/>
      <c r="M370" s="73"/>
      <c r="O370" s="328"/>
      <c r="P370" s="336" t="str">
        <f>IF(AQ28="","",AQ28)</f>
        <v/>
      </c>
      <c r="Q370" s="282" t="str">
        <f t="shared" ref="Q370:R373" si="75">IF(AN28="","",AN28)</f>
        <v/>
      </c>
      <c r="R370" s="282" t="str">
        <f t="shared" si="75"/>
        <v/>
      </c>
      <c r="S370" s="245" t="str">
        <f>IF(R370="","",R370/$S$368)</f>
        <v/>
      </c>
      <c r="T370" s="246" t="str">
        <f>IF(OR(R370="",Q370=""),"",R370/(Q370/1000))</f>
        <v/>
      </c>
      <c r="U370" s="336" t="str">
        <f>IF(AQ91="","",AQ91)</f>
        <v/>
      </c>
      <c r="V370" s="282" t="str">
        <f t="shared" ref="V370:W373" si="76">IF(AN91="","",AN91)</f>
        <v/>
      </c>
      <c r="W370" s="282" t="str">
        <f t="shared" si="76"/>
        <v/>
      </c>
      <c r="X370" s="245" t="str">
        <f>IF(W370="","",W370/$X$368)</f>
        <v/>
      </c>
      <c r="Y370" s="246" t="str">
        <f>IF(OR(W370="",V370=""),"",W370/(V370/1000))</f>
        <v/>
      </c>
    </row>
    <row r="371" spans="1:25" ht="14.1" customHeight="1" thickBot="1">
      <c r="A371" s="20">
        <v>11</v>
      </c>
      <c r="B371" s="71"/>
      <c r="C371" s="72"/>
      <c r="D371" s="72"/>
      <c r="E371" s="166" t="s">
        <v>350</v>
      </c>
      <c r="F371" s="281" t="str">
        <f>IF(T388="","",T388)</f>
        <v/>
      </c>
      <c r="G371" s="72"/>
      <c r="H371" s="72"/>
      <c r="I371" s="72"/>
      <c r="J371" s="72"/>
      <c r="K371" s="72"/>
      <c r="L371" s="72"/>
      <c r="M371" s="73"/>
      <c r="O371" s="328"/>
      <c r="P371" s="333" t="str">
        <f>IF(AQ29="","",AQ29)</f>
        <v/>
      </c>
      <c r="Q371" s="15" t="str">
        <f t="shared" si="75"/>
        <v/>
      </c>
      <c r="R371" s="15" t="str">
        <f t="shared" si="75"/>
        <v/>
      </c>
      <c r="S371" s="16" t="str">
        <f>IF(R371="","",R371/$S$368)</f>
        <v/>
      </c>
      <c r="T371" s="248" t="str">
        <f>IF(OR(R371="",Q371=""),"",R371/(Q371/1000))</f>
        <v/>
      </c>
      <c r="U371" s="333" t="str">
        <f>IF(AQ92="","",AQ92)</f>
        <v/>
      </c>
      <c r="V371" s="15" t="str">
        <f t="shared" si="76"/>
        <v/>
      </c>
      <c r="W371" s="15" t="str">
        <f t="shared" si="76"/>
        <v/>
      </c>
      <c r="X371" s="16" t="str">
        <f>IF(W371="","",W371/$X$368)</f>
        <v/>
      </c>
      <c r="Y371" s="248" t="str">
        <f t="shared" ref="Y371:Y373" si="77">IF(OR(W371="",V371=""),"",W371/(V371/1000))</f>
        <v/>
      </c>
    </row>
    <row r="372" spans="1:25" ht="14.1" customHeight="1">
      <c r="A372" s="20">
        <v>12</v>
      </c>
      <c r="B372" s="71"/>
      <c r="C372" s="72"/>
      <c r="D372" s="5" t="s">
        <v>204</v>
      </c>
      <c r="E372" s="105" t="s">
        <v>351</v>
      </c>
      <c r="F372" s="72"/>
      <c r="G372" s="72"/>
      <c r="H372" s="72"/>
      <c r="I372" s="72"/>
      <c r="J372" s="72"/>
      <c r="K372" s="72"/>
      <c r="L372" s="72"/>
      <c r="M372" s="73"/>
      <c r="O372" s="328"/>
      <c r="P372" s="333" t="str">
        <f>IF(AQ30="","",AQ30)</f>
        <v/>
      </c>
      <c r="Q372" s="15" t="str">
        <f t="shared" si="75"/>
        <v/>
      </c>
      <c r="R372" s="15" t="str">
        <f t="shared" si="75"/>
        <v/>
      </c>
      <c r="S372" s="16" t="str">
        <f>IF(R372="","",R372/$S$368)</f>
        <v/>
      </c>
      <c r="T372" s="248" t="str">
        <f>IF(OR(R372="",Q372=""),"",R372/(Q372/1000))</f>
        <v/>
      </c>
      <c r="U372" s="333" t="str">
        <f>IF(AQ93="","",AQ93)</f>
        <v/>
      </c>
      <c r="V372" s="15" t="str">
        <f t="shared" si="76"/>
        <v/>
      </c>
      <c r="W372" s="15" t="str">
        <f t="shared" si="76"/>
        <v/>
      </c>
      <c r="X372" s="16" t="str">
        <f>IF(W372="","",W372/$X$368)</f>
        <v/>
      </c>
      <c r="Y372" s="248" t="str">
        <f t="shared" si="77"/>
        <v/>
      </c>
    </row>
    <row r="373" spans="1:25" ht="14.1" customHeight="1" thickBot="1">
      <c r="A373" s="20">
        <v>13</v>
      </c>
      <c r="B373" s="71"/>
      <c r="C373" s="150" t="s">
        <v>354</v>
      </c>
      <c r="D373" s="72"/>
      <c r="E373" s="72"/>
      <c r="F373" s="72"/>
      <c r="G373" s="72"/>
      <c r="H373" s="72"/>
      <c r="I373" s="72"/>
      <c r="J373" s="72"/>
      <c r="K373" s="72"/>
      <c r="L373" s="72"/>
      <c r="M373" s="73"/>
      <c r="O373" s="328"/>
      <c r="P373" s="481" t="str">
        <f>IF(AQ31="","",AQ31)</f>
        <v/>
      </c>
      <c r="Q373" s="238" t="str">
        <f t="shared" si="75"/>
        <v/>
      </c>
      <c r="R373" s="238" t="str">
        <f t="shared" si="75"/>
        <v/>
      </c>
      <c r="S373" s="252" t="str">
        <f>IF(R373="","",R373/$S$368)</f>
        <v/>
      </c>
      <c r="T373" s="253" t="str">
        <f>IF(OR(R373="",Q373=""),"",R373/(Q373/1000))</f>
        <v/>
      </c>
      <c r="U373" s="481" t="str">
        <f>IF(AQ94="","",AQ94)</f>
        <v/>
      </c>
      <c r="V373" s="238" t="str">
        <f t="shared" si="76"/>
        <v/>
      </c>
      <c r="W373" s="238" t="str">
        <f t="shared" si="76"/>
        <v/>
      </c>
      <c r="X373" s="252" t="str">
        <f>IF(W373="","",W373/$X$368)</f>
        <v/>
      </c>
      <c r="Y373" s="253" t="str">
        <f t="shared" si="77"/>
        <v/>
      </c>
    </row>
    <row r="374" spans="1:25" ht="14.1" customHeight="1">
      <c r="A374" s="20">
        <v>14</v>
      </c>
      <c r="B374" s="71"/>
      <c r="C374" s="430" t="s">
        <v>71</v>
      </c>
      <c r="D374" s="431" t="str">
        <f t="shared" ref="D374:L374" si="78">Q393</f>
        <v>Mo/Mo</v>
      </c>
      <c r="E374" s="431" t="str">
        <f t="shared" si="78"/>
        <v>Mo/Mo</v>
      </c>
      <c r="F374" s="431" t="str">
        <f t="shared" si="78"/>
        <v>Mo/Mo</v>
      </c>
      <c r="G374" s="431" t="str">
        <f t="shared" si="78"/>
        <v>Mo/Mo</v>
      </c>
      <c r="H374" s="431" t="str">
        <f t="shared" si="78"/>
        <v>Mo/Mo</v>
      </c>
      <c r="I374" s="431" t="str">
        <f t="shared" si="78"/>
        <v>Mo/Rh</v>
      </c>
      <c r="J374" s="718" t="str">
        <f t="shared" si="78"/>
        <v>Mo/Rh</v>
      </c>
      <c r="K374" s="718" t="str">
        <f t="shared" si="78"/>
        <v>Mo/Rh</v>
      </c>
      <c r="L374" s="413" t="str">
        <f t="shared" si="78"/>
        <v>Mo/Rh</v>
      </c>
      <c r="M374" s="73"/>
      <c r="O374" s="327" t="s">
        <v>210</v>
      </c>
      <c r="P374" s="476" t="str">
        <f t="shared" ref="P374:Y374" si="79">IF(OR(P370="",P371="",P372="",P373=""),"",AVERAGE(P370:P373))</f>
        <v/>
      </c>
      <c r="Q374" s="477" t="str">
        <f t="shared" si="79"/>
        <v/>
      </c>
      <c r="R374" s="478" t="str">
        <f t="shared" si="79"/>
        <v/>
      </c>
      <c r="S374" s="479" t="str">
        <f t="shared" si="79"/>
        <v/>
      </c>
      <c r="T374" s="480" t="str">
        <f t="shared" si="79"/>
        <v/>
      </c>
      <c r="U374" s="476" t="str">
        <f t="shared" si="79"/>
        <v/>
      </c>
      <c r="V374" s="477" t="str">
        <f t="shared" si="79"/>
        <v/>
      </c>
      <c r="W374" s="478" t="str">
        <f t="shared" si="79"/>
        <v/>
      </c>
      <c r="X374" s="479" t="str">
        <f t="shared" si="79"/>
        <v/>
      </c>
      <c r="Y374" s="480" t="str">
        <f t="shared" si="79"/>
        <v/>
      </c>
    </row>
    <row r="375" spans="1:25" ht="14.1" customHeight="1">
      <c r="A375" s="20">
        <v>15</v>
      </c>
      <c r="B375" s="71"/>
      <c r="C375" s="348" t="s">
        <v>25</v>
      </c>
      <c r="D375" s="345">
        <f t="shared" ref="D375:L375" si="80">IF(Q394="","",Q394)</f>
        <v>24</v>
      </c>
      <c r="E375" s="345">
        <f t="shared" si="80"/>
        <v>25</v>
      </c>
      <c r="F375" s="345">
        <f t="shared" si="80"/>
        <v>28</v>
      </c>
      <c r="G375" s="345">
        <f t="shared" si="80"/>
        <v>32</v>
      </c>
      <c r="H375" s="345">
        <f t="shared" si="80"/>
        <v>34</v>
      </c>
      <c r="I375" s="345">
        <f t="shared" si="80"/>
        <v>28</v>
      </c>
      <c r="J375" s="345">
        <f t="shared" si="80"/>
        <v>30</v>
      </c>
      <c r="K375" s="345">
        <f t="shared" si="80"/>
        <v>32</v>
      </c>
      <c r="L375" s="367">
        <f t="shared" si="80"/>
        <v>34</v>
      </c>
      <c r="M375" s="73"/>
      <c r="O375" s="327" t="s">
        <v>343</v>
      </c>
      <c r="P375" s="333" t="str">
        <f t="shared" ref="P375:Y375" si="81">IF(OR(P370="",P371="",P372="",P373=""),"",_xlfn.STDEV.S(P370:P373))</f>
        <v/>
      </c>
      <c r="Q375" s="15" t="str">
        <f t="shared" si="81"/>
        <v/>
      </c>
      <c r="R375" s="15" t="str">
        <f t="shared" si="81"/>
        <v/>
      </c>
      <c r="S375" s="16" t="str">
        <f t="shared" si="81"/>
        <v/>
      </c>
      <c r="T375" s="248" t="str">
        <f t="shared" si="81"/>
        <v/>
      </c>
      <c r="U375" s="333" t="str">
        <f t="shared" si="81"/>
        <v/>
      </c>
      <c r="V375" s="15" t="str">
        <f t="shared" si="81"/>
        <v/>
      </c>
      <c r="W375" s="15" t="str">
        <f t="shared" si="81"/>
        <v/>
      </c>
      <c r="X375" s="16" t="str">
        <f t="shared" si="81"/>
        <v/>
      </c>
      <c r="Y375" s="248" t="str">
        <f t="shared" si="81"/>
        <v/>
      </c>
    </row>
    <row r="376" spans="1:25" ht="14.1" customHeight="1" thickBot="1">
      <c r="A376" s="20">
        <v>16</v>
      </c>
      <c r="B376" s="71"/>
      <c r="C376" s="435" t="s">
        <v>451</v>
      </c>
      <c r="D376" s="310" t="str">
        <f t="shared" ref="D376:L377" si="82">IF(Q398="","",Q398)</f>
        <v/>
      </c>
      <c r="E376" s="310" t="str">
        <f t="shared" si="82"/>
        <v/>
      </c>
      <c r="F376" s="310" t="str">
        <f t="shared" si="82"/>
        <v/>
      </c>
      <c r="G376" s="310" t="str">
        <f t="shared" si="82"/>
        <v/>
      </c>
      <c r="H376" s="310" t="str">
        <f t="shared" si="82"/>
        <v/>
      </c>
      <c r="I376" s="310" t="str">
        <f t="shared" si="82"/>
        <v/>
      </c>
      <c r="J376" s="310" t="str">
        <f t="shared" si="82"/>
        <v/>
      </c>
      <c r="K376" s="310" t="str">
        <f t="shared" si="82"/>
        <v/>
      </c>
      <c r="L376" s="467" t="str">
        <f t="shared" si="82"/>
        <v/>
      </c>
      <c r="M376" s="73"/>
      <c r="O376" s="327" t="s">
        <v>274</v>
      </c>
      <c r="P376" s="194" t="str">
        <f t="shared" ref="P376:Y376" si="83">IF(OR(P374="",P375=""),"",P375/P374)</f>
        <v/>
      </c>
      <c r="Q376" s="188" t="str">
        <f t="shared" si="83"/>
        <v/>
      </c>
      <c r="R376" s="188" t="str">
        <f t="shared" si="83"/>
        <v/>
      </c>
      <c r="S376" s="334" t="str">
        <f t="shared" si="83"/>
        <v/>
      </c>
      <c r="T376" s="335" t="str">
        <f t="shared" si="83"/>
        <v/>
      </c>
      <c r="U376" s="194" t="str">
        <f t="shared" si="83"/>
        <v/>
      </c>
      <c r="V376" s="188" t="str">
        <f t="shared" si="83"/>
        <v/>
      </c>
      <c r="W376" s="188" t="str">
        <f t="shared" si="83"/>
        <v/>
      </c>
      <c r="X376" s="334" t="str">
        <f t="shared" si="83"/>
        <v/>
      </c>
      <c r="Y376" s="335" t="str">
        <f t="shared" si="83"/>
        <v/>
      </c>
    </row>
    <row r="377" spans="1:25" ht="14.1" customHeight="1">
      <c r="A377" s="20">
        <v>17</v>
      </c>
      <c r="B377" s="71"/>
      <c r="C377" s="435" t="s">
        <v>550</v>
      </c>
      <c r="D377" s="18" t="str">
        <f t="shared" si="82"/>
        <v/>
      </c>
      <c r="E377" s="18" t="str">
        <f t="shared" si="82"/>
        <v/>
      </c>
      <c r="F377" s="18" t="str">
        <f t="shared" si="82"/>
        <v/>
      </c>
      <c r="G377" s="18" t="str">
        <f t="shared" si="82"/>
        <v/>
      </c>
      <c r="H377" s="18" t="str">
        <f t="shared" si="82"/>
        <v/>
      </c>
      <c r="I377" s="18" t="str">
        <f t="shared" si="82"/>
        <v/>
      </c>
      <c r="J377" s="18" t="str">
        <f t="shared" si="82"/>
        <v/>
      </c>
      <c r="K377" s="18" t="str">
        <f t="shared" si="82"/>
        <v/>
      </c>
      <c r="L377" s="433" t="str">
        <f t="shared" si="82"/>
        <v/>
      </c>
      <c r="M377" s="73"/>
      <c r="O377" s="327" t="s">
        <v>345</v>
      </c>
      <c r="P377" s="640"/>
      <c r="Q377" s="640"/>
      <c r="R377" s="324"/>
      <c r="S377" s="325" t="str">
        <f>IF(AB86="","",AB86)</f>
        <v/>
      </c>
      <c r="T377" s="326" t="str">
        <f>IF(AB87="","",AB87)</f>
        <v/>
      </c>
      <c r="U377" s="640"/>
      <c r="V377" s="640"/>
      <c r="W377" s="324"/>
      <c r="X377" s="325" t="str">
        <f>IF(AG86="","",AG86)</f>
        <v/>
      </c>
      <c r="Y377" s="326" t="str">
        <f>IF(AG87="","",AG87)</f>
        <v/>
      </c>
    </row>
    <row r="378" spans="1:25" ht="14.1" customHeight="1">
      <c r="A378" s="20">
        <v>18</v>
      </c>
      <c r="B378" s="71"/>
      <c r="C378" s="348" t="s">
        <v>359</v>
      </c>
      <c r="D378" s="310">
        <f t="shared" ref="D378:L380" si="84">Q400</f>
        <v>0.27</v>
      </c>
      <c r="E378" s="310">
        <f t="shared" si="84"/>
        <v>0.28000000000000003</v>
      </c>
      <c r="F378" s="310">
        <f t="shared" si="84"/>
        <v>0.31000000000000005</v>
      </c>
      <c r="G378" s="310">
        <f t="shared" si="84"/>
        <v>0.35</v>
      </c>
      <c r="H378" s="310">
        <f t="shared" si="84"/>
        <v>0.37</v>
      </c>
      <c r="I378" s="310">
        <f t="shared" si="84"/>
        <v>0.31000000000000005</v>
      </c>
      <c r="J378" s="310">
        <f t="shared" si="84"/>
        <v>0.32999999999999996</v>
      </c>
      <c r="K378" s="310">
        <f t="shared" si="84"/>
        <v>0.35</v>
      </c>
      <c r="L378" s="467">
        <f t="shared" si="84"/>
        <v>0.37</v>
      </c>
      <c r="M378" s="73"/>
      <c r="O378" s="33"/>
      <c r="P378" s="117" t="s">
        <v>204</v>
      </c>
      <c r="Q378" s="142" t="s">
        <v>346</v>
      </c>
      <c r="Y378" s="35"/>
    </row>
    <row r="379" spans="1:25" ht="14.1" customHeight="1">
      <c r="A379" s="20">
        <v>19</v>
      </c>
      <c r="B379" s="71"/>
      <c r="C379" s="719" t="s">
        <v>360</v>
      </c>
      <c r="D379" s="310">
        <f t="shared" si="84"/>
        <v>0.36</v>
      </c>
      <c r="E379" s="310">
        <f t="shared" si="84"/>
        <v>0.37</v>
      </c>
      <c r="F379" s="310">
        <f t="shared" si="84"/>
        <v>0.4</v>
      </c>
      <c r="G379" s="310">
        <f t="shared" si="84"/>
        <v>0.44</v>
      </c>
      <c r="H379" s="310">
        <f t="shared" si="84"/>
        <v>0.46</v>
      </c>
      <c r="I379" s="310">
        <f t="shared" si="84"/>
        <v>0.4</v>
      </c>
      <c r="J379" s="310">
        <f t="shared" si="84"/>
        <v>0.42</v>
      </c>
      <c r="K379" s="310">
        <f t="shared" si="84"/>
        <v>0.44</v>
      </c>
      <c r="L379" s="467">
        <f t="shared" si="84"/>
        <v>0.46</v>
      </c>
      <c r="M379" s="73"/>
      <c r="O379" s="33"/>
      <c r="Q379" s="142" t="s">
        <v>347</v>
      </c>
      <c r="Y379" s="35"/>
    </row>
    <row r="380" spans="1:25" ht="14.1" customHeight="1" thickBot="1">
      <c r="A380" s="20">
        <v>20</v>
      </c>
      <c r="B380" s="71"/>
      <c r="C380" s="720" t="s">
        <v>218</v>
      </c>
      <c r="D380" s="456" t="str">
        <f t="shared" si="84"/>
        <v/>
      </c>
      <c r="E380" s="456" t="str">
        <f t="shared" si="84"/>
        <v/>
      </c>
      <c r="F380" s="456" t="str">
        <f t="shared" si="84"/>
        <v/>
      </c>
      <c r="G380" s="456" t="str">
        <f t="shared" si="84"/>
        <v/>
      </c>
      <c r="H380" s="456" t="str">
        <f t="shared" si="84"/>
        <v/>
      </c>
      <c r="I380" s="456" t="str">
        <f t="shared" si="84"/>
        <v/>
      </c>
      <c r="J380" s="456" t="str">
        <f t="shared" si="84"/>
        <v/>
      </c>
      <c r="K380" s="456" t="str">
        <f t="shared" si="84"/>
        <v/>
      </c>
      <c r="L380" s="399" t="str">
        <f t="shared" si="84"/>
        <v/>
      </c>
      <c r="M380" s="73"/>
      <c r="O380" s="43"/>
      <c r="P380" s="44"/>
      <c r="Q380" s="279" t="s">
        <v>348</v>
      </c>
      <c r="R380" s="44"/>
      <c r="S380" s="44"/>
      <c r="T380" s="44"/>
      <c r="U380" s="44"/>
      <c r="V380" s="44"/>
      <c r="W380" s="44"/>
      <c r="X380" s="44"/>
      <c r="Y380" s="45"/>
    </row>
    <row r="381" spans="1:25" ht="14.1" customHeight="1">
      <c r="A381" s="20">
        <v>21</v>
      </c>
      <c r="B381" s="71"/>
      <c r="C381" s="72"/>
      <c r="D381" s="5" t="s">
        <v>204</v>
      </c>
      <c r="E381" s="448" t="s">
        <v>361</v>
      </c>
      <c r="F381" s="72"/>
      <c r="G381" s="72"/>
      <c r="H381" s="72"/>
      <c r="I381" s="72"/>
      <c r="J381" s="72"/>
      <c r="K381" s="72"/>
      <c r="L381" s="72"/>
      <c r="M381" s="73"/>
      <c r="O381" s="140" t="s">
        <v>349</v>
      </c>
      <c r="P381" s="26"/>
      <c r="Q381" s="26"/>
      <c r="R381" s="26"/>
      <c r="S381" s="26"/>
      <c r="T381" s="26"/>
      <c r="U381" s="26"/>
      <c r="V381" s="26"/>
      <c r="W381" s="26"/>
      <c r="X381" s="26"/>
      <c r="Y381" s="27"/>
    </row>
    <row r="382" spans="1:25" ht="14.1" customHeight="1">
      <c r="A382" s="20">
        <v>22</v>
      </c>
      <c r="B382" s="71"/>
      <c r="C382" s="72"/>
      <c r="D382" s="72"/>
      <c r="E382" s="72"/>
      <c r="F382" s="72"/>
      <c r="G382" s="72"/>
      <c r="H382" s="72"/>
      <c r="I382" s="72"/>
      <c r="J382" s="72"/>
      <c r="K382" s="72"/>
      <c r="L382" s="72"/>
      <c r="M382" s="73"/>
      <c r="O382" s="33"/>
      <c r="P382" s="38" t="s">
        <v>95</v>
      </c>
      <c r="Q382" s="639" t="str">
        <f>AK10&amp;"/"&amp;AL10</f>
        <v>Mo/Mo</v>
      </c>
      <c r="R382" s="38" t="s">
        <v>173</v>
      </c>
      <c r="S382" s="639">
        <f>AH27</f>
        <v>28</v>
      </c>
      <c r="T382" s="638"/>
      <c r="Y382" s="35"/>
    </row>
    <row r="383" spans="1:25" ht="14.1" customHeight="1">
      <c r="A383" s="20">
        <v>23</v>
      </c>
      <c r="B383" s="71"/>
      <c r="C383" s="150" t="s">
        <v>319</v>
      </c>
      <c r="D383" s="72"/>
      <c r="E383" s="72"/>
      <c r="F383" s="72"/>
      <c r="G383" s="72"/>
      <c r="H383" s="72"/>
      <c r="I383" s="72"/>
      <c r="J383" s="72"/>
      <c r="K383" s="72"/>
      <c r="L383" s="72"/>
      <c r="M383" s="73"/>
      <c r="O383" s="33"/>
      <c r="P383" s="638" t="s">
        <v>72</v>
      </c>
      <c r="Q383" s="638" t="s">
        <v>25</v>
      </c>
      <c r="R383" s="638" t="s">
        <v>26</v>
      </c>
      <c r="S383" s="638" t="s">
        <v>27</v>
      </c>
      <c r="T383" s="638" t="s">
        <v>337</v>
      </c>
      <c r="U383" s="638" t="s">
        <v>338</v>
      </c>
      <c r="V383" s="6"/>
      <c r="W383" s="6"/>
      <c r="X383" s="6"/>
      <c r="Y383" s="35"/>
    </row>
    <row r="384" spans="1:25" ht="14.1" customHeight="1" thickBot="1">
      <c r="A384" s="20">
        <v>24</v>
      </c>
      <c r="B384" s="71"/>
      <c r="C384" s="72"/>
      <c r="D384" s="166" t="s">
        <v>173</v>
      </c>
      <c r="E384" s="144" t="str">
        <f>IF(Q438="","",Q438)</f>
        <v/>
      </c>
      <c r="F384" s="72"/>
      <c r="G384" s="72"/>
      <c r="H384" s="72" t="s">
        <v>320</v>
      </c>
      <c r="I384" s="72" t="s">
        <v>321</v>
      </c>
      <c r="J384" s="72" t="s">
        <v>290</v>
      </c>
      <c r="K384" s="72" t="s">
        <v>291</v>
      </c>
      <c r="L384" s="72"/>
      <c r="M384" s="73"/>
      <c r="O384" s="33"/>
      <c r="P384" s="14">
        <f>IF(AI27="","",AI27)</f>
        <v>20</v>
      </c>
      <c r="Q384" s="15" t="str">
        <f>IF(AQ27="","",AQ27)</f>
        <v/>
      </c>
      <c r="R384" s="110" t="str">
        <f>IF(AN27="","",AN27)</f>
        <v/>
      </c>
      <c r="S384" s="15" t="str">
        <f>IF(AO27="","",AO27)</f>
        <v/>
      </c>
      <c r="T384" s="16" t="str">
        <f>IF(S384="","",S384/P384)</f>
        <v/>
      </c>
      <c r="U384" s="15" t="str">
        <f>IF(OR(S384="",R384=""),"",S384/(R384/1000))</f>
        <v/>
      </c>
      <c r="V384" s="6"/>
      <c r="W384" s="6"/>
      <c r="X384" s="6"/>
      <c r="Y384" s="35"/>
    </row>
    <row r="385" spans="1:25" ht="14.1" customHeight="1" thickBot="1">
      <c r="A385" s="20">
        <v>25</v>
      </c>
      <c r="B385" s="71"/>
      <c r="C385" s="72"/>
      <c r="D385" s="166" t="s">
        <v>176</v>
      </c>
      <c r="E385" s="144" t="str">
        <f>IF(Q439="","",Q439)</f>
        <v/>
      </c>
      <c r="F385" s="72"/>
      <c r="G385" s="166" t="s">
        <v>198</v>
      </c>
      <c r="H385" s="493" t="str">
        <f t="shared" ref="H385:J386" si="85">IF(T442="","",T442)</f>
        <v/>
      </c>
      <c r="I385" s="390" t="str">
        <f t="shared" si="85"/>
        <v/>
      </c>
      <c r="J385" s="495" t="str">
        <f t="shared" si="85"/>
        <v/>
      </c>
      <c r="K385" s="496" t="str">
        <f>IF(X442="","",X442)</f>
        <v/>
      </c>
      <c r="L385" s="72"/>
      <c r="M385" s="73"/>
      <c r="O385" s="33"/>
      <c r="P385" s="14">
        <f>IF(AI28="","",AI28)</f>
        <v>50</v>
      </c>
      <c r="Q385" s="15" t="str">
        <f>P374</f>
        <v/>
      </c>
      <c r="R385" s="110" t="str">
        <f>Q374</f>
        <v/>
      </c>
      <c r="S385" s="15" t="str">
        <f>R374</f>
        <v/>
      </c>
      <c r="T385" s="16" t="str">
        <f>S374</f>
        <v/>
      </c>
      <c r="U385" s="15" t="str">
        <f>T374</f>
        <v/>
      </c>
      <c r="V385" s="6"/>
      <c r="W385" s="6"/>
      <c r="X385" s="6"/>
      <c r="Y385" s="35"/>
    </row>
    <row r="386" spans="1:25" ht="14.1" customHeight="1" thickBot="1">
      <c r="A386" s="20">
        <v>26</v>
      </c>
      <c r="B386" s="71"/>
      <c r="C386" s="72"/>
      <c r="D386" s="166" t="s">
        <v>51</v>
      </c>
      <c r="E386" s="144" t="str">
        <f>IF(Q440="","",Q440)</f>
        <v/>
      </c>
      <c r="F386" s="72"/>
      <c r="G386" s="166" t="s">
        <v>199</v>
      </c>
      <c r="H386" s="494" t="str">
        <f t="shared" si="85"/>
        <v/>
      </c>
      <c r="I386" s="395" t="str">
        <f t="shared" si="85"/>
        <v/>
      </c>
      <c r="J386" s="497" t="str">
        <f t="shared" si="85"/>
        <v/>
      </c>
      <c r="K386" s="447" t="str">
        <f>IF(X443="","",X443)</f>
        <v/>
      </c>
      <c r="L386" s="72"/>
      <c r="M386" s="73"/>
      <c r="O386" s="33"/>
      <c r="P386" s="14">
        <f>IF(AI38="","",AI38)</f>
        <v>100</v>
      </c>
      <c r="Q386" s="15" t="str">
        <f>IF(AQ38="","",AQ38)</f>
        <v/>
      </c>
      <c r="R386" s="110" t="str">
        <f>IF(AN38="","",AN38)</f>
        <v/>
      </c>
      <c r="S386" s="15" t="str">
        <f>IF(AO38="","",AO38)</f>
        <v/>
      </c>
      <c r="T386" s="16" t="str">
        <f>IF(S386="","",S386/P386)</f>
        <v/>
      </c>
      <c r="U386" s="15" t="str">
        <f>IF(OR(S386="",R386=""),"",S386/(R386/1000))</f>
        <v/>
      </c>
      <c r="V386" s="6"/>
      <c r="W386" s="6"/>
      <c r="X386" s="6"/>
      <c r="Y386" s="35"/>
    </row>
    <row r="387" spans="1:25" ht="14.1" customHeight="1">
      <c r="A387" s="20">
        <v>27</v>
      </c>
      <c r="B387" s="71"/>
      <c r="C387" s="72"/>
      <c r="D387" s="166" t="s">
        <v>54</v>
      </c>
      <c r="E387" s="144" t="str">
        <f>IF(Q441="","",Q441)</f>
        <v/>
      </c>
      <c r="F387" s="72"/>
      <c r="G387" s="72"/>
      <c r="H387" s="72"/>
      <c r="I387" s="72"/>
      <c r="J387" s="72"/>
      <c r="K387" s="72"/>
      <c r="L387" s="72"/>
      <c r="M387" s="73"/>
      <c r="O387" s="33"/>
      <c r="P387" s="14">
        <f>IF(AI39="","",AI39)</f>
        <v>300</v>
      </c>
      <c r="Q387" s="15" t="str">
        <f>IF(AQ39="","",AQ39)</f>
        <v/>
      </c>
      <c r="R387" s="110" t="str">
        <f>IF(AN39="","",AN39)</f>
        <v/>
      </c>
      <c r="S387" s="15" t="str">
        <f>IF(AO39="","",AO39)</f>
        <v/>
      </c>
      <c r="T387" s="16" t="str">
        <f>IF(S387="","",S387/P387)</f>
        <v/>
      </c>
      <c r="U387" s="15" t="str">
        <f>IF(OR(S387="",R387=""),"",S387/(R387/1000))</f>
        <v/>
      </c>
      <c r="V387" s="6"/>
      <c r="W387" s="6"/>
      <c r="X387" s="6"/>
      <c r="Y387" s="35"/>
    </row>
    <row r="388" spans="1:25" ht="14.1" customHeight="1">
      <c r="A388" s="20">
        <v>28</v>
      </c>
      <c r="B388" s="71"/>
      <c r="C388" s="72"/>
      <c r="D388" s="5" t="s">
        <v>204</v>
      </c>
      <c r="E388" s="105" t="s">
        <v>322</v>
      </c>
      <c r="F388" s="72"/>
      <c r="G388" s="72"/>
      <c r="H388" s="72"/>
      <c r="I388" s="72"/>
      <c r="J388" s="72"/>
      <c r="K388" s="72"/>
      <c r="L388" s="72"/>
      <c r="M388" s="73"/>
      <c r="O388" s="33"/>
      <c r="S388" s="38" t="s">
        <v>350</v>
      </c>
      <c r="T388" s="185" t="str">
        <f>IF(OR(T384="",T385="",T386="",T387=""),"",(MAX(T384:T387)-MIN(T384:T387))/(MAX(T384:T387)+MIN(T384:T387)))</f>
        <v/>
      </c>
      <c r="V388" s="6"/>
      <c r="W388" s="6"/>
      <c r="X388" s="6"/>
      <c r="Y388" s="35"/>
    </row>
    <row r="389" spans="1:25" ht="14.1" customHeight="1">
      <c r="A389" s="20">
        <v>29</v>
      </c>
      <c r="B389" s="71"/>
      <c r="C389" s="72"/>
      <c r="D389" s="72"/>
      <c r="E389" s="105" t="s">
        <v>323</v>
      </c>
      <c r="F389" s="72"/>
      <c r="G389" s="72"/>
      <c r="H389" s="72"/>
      <c r="I389" s="72"/>
      <c r="J389" s="72"/>
      <c r="K389" s="72"/>
      <c r="L389" s="72"/>
      <c r="M389" s="73"/>
      <c r="O389" s="33"/>
      <c r="P389" s="117" t="s">
        <v>204</v>
      </c>
      <c r="Q389" s="142" t="s">
        <v>351</v>
      </c>
      <c r="Y389" s="35"/>
    </row>
    <row r="390" spans="1:25" ht="14.1" customHeight="1">
      <c r="A390" s="20">
        <v>30</v>
      </c>
      <c r="B390" s="71"/>
      <c r="C390" s="72"/>
      <c r="D390" s="72"/>
      <c r="E390" s="72"/>
      <c r="F390" s="72"/>
      <c r="G390" s="72"/>
      <c r="H390" s="72"/>
      <c r="I390" s="72"/>
      <c r="J390" s="72"/>
      <c r="K390" s="72"/>
      <c r="L390" s="72"/>
      <c r="M390" s="73"/>
      <c r="O390" s="280" t="str">
        <f>IF(R387="","",IF(R387/1000&gt;=3,1,2))</f>
        <v/>
      </c>
      <c r="P390" s="24" t="s">
        <v>352</v>
      </c>
      <c r="Y390" s="35"/>
    </row>
    <row r="391" spans="1:25" ht="14.1" customHeight="1" thickBot="1">
      <c r="A391" s="20">
        <v>31</v>
      </c>
      <c r="B391" s="71"/>
      <c r="C391" s="150" t="s">
        <v>324</v>
      </c>
      <c r="D391" s="72"/>
      <c r="E391" s="72"/>
      <c r="F391" s="72"/>
      <c r="G391" s="72"/>
      <c r="H391" s="72"/>
      <c r="I391" s="72"/>
      <c r="J391" s="72"/>
      <c r="K391" s="72"/>
      <c r="L391" s="72"/>
      <c r="M391" s="73"/>
      <c r="O391" s="43"/>
      <c r="P391" s="44"/>
      <c r="Q391" s="44"/>
      <c r="R391" s="44"/>
      <c r="S391" s="44"/>
      <c r="T391" s="44"/>
      <c r="U391" s="44"/>
      <c r="V391" s="44"/>
      <c r="W391" s="44"/>
      <c r="X391" s="44"/>
      <c r="Y391" s="45"/>
    </row>
    <row r="392" spans="1:25" ht="14.1" customHeight="1" thickBot="1">
      <c r="A392" s="20">
        <v>32</v>
      </c>
      <c r="B392" s="71"/>
      <c r="C392" s="72"/>
      <c r="D392" s="504" t="s">
        <v>325</v>
      </c>
      <c r="E392" s="504"/>
      <c r="F392" s="342"/>
      <c r="G392" s="342"/>
      <c r="H392" s="504" t="s">
        <v>326</v>
      </c>
      <c r="I392" s="504"/>
      <c r="J392" s="72"/>
      <c r="K392" s="342"/>
      <c r="L392" s="320" t="s">
        <v>327</v>
      </c>
      <c r="M392" s="320"/>
      <c r="O392" s="140" t="s">
        <v>354</v>
      </c>
      <c r="P392" s="26"/>
      <c r="Q392" s="715">
        <v>1</v>
      </c>
      <c r="R392" s="26" t="s">
        <v>519</v>
      </c>
      <c r="S392" s="26"/>
      <c r="T392" s="26"/>
      <c r="U392" s="26"/>
      <c r="V392" s="26"/>
      <c r="W392" s="26"/>
      <c r="X392" s="26"/>
      <c r="Y392" s="27"/>
    </row>
    <row r="393" spans="1:25" ht="14.1" customHeight="1">
      <c r="A393" s="20">
        <v>33</v>
      </c>
      <c r="B393" s="71"/>
      <c r="C393" s="342"/>
      <c r="D393" s="166" t="s">
        <v>173</v>
      </c>
      <c r="E393" s="498" t="str">
        <f t="shared" ref="E393:E398" si="86">IF(Q413="","",Q413)</f>
        <v/>
      </c>
      <c r="F393" s="342"/>
      <c r="G393" s="166" t="s">
        <v>71</v>
      </c>
      <c r="H393" s="348" t="str">
        <f t="shared" ref="H393:J398" si="87">IF(Q428="","",Q428)</f>
        <v>Mo/Mo</v>
      </c>
      <c r="I393" s="303" t="str">
        <f t="shared" si="87"/>
        <v>Mo/Rh</v>
      </c>
      <c r="J393" s="349" t="str">
        <f t="shared" si="87"/>
        <v>W/Rh</v>
      </c>
      <c r="K393" s="342"/>
      <c r="L393" s="111" t="s">
        <v>254</v>
      </c>
      <c r="M393" s="267" t="s">
        <v>255</v>
      </c>
      <c r="O393" s="33"/>
      <c r="P393" s="703" t="s">
        <v>71</v>
      </c>
      <c r="Q393" s="704" t="str">
        <f>$P$346</f>
        <v>Mo/Mo</v>
      </c>
      <c r="R393" s="704" t="str">
        <f>$P$346</f>
        <v>Mo/Mo</v>
      </c>
      <c r="S393" s="704" t="str">
        <f>$P$346</f>
        <v>Mo/Mo</v>
      </c>
      <c r="T393" s="704" t="str">
        <f>$P$346</f>
        <v>Mo/Mo</v>
      </c>
      <c r="U393" s="704" t="str">
        <f>$P$346</f>
        <v>Mo/Mo</v>
      </c>
      <c r="V393" s="704" t="str">
        <f>$P$353</f>
        <v>Mo/Rh</v>
      </c>
      <c r="W393" s="704" t="str">
        <f>$P$353</f>
        <v>Mo/Rh</v>
      </c>
      <c r="X393" s="704" t="str">
        <f>$P$353</f>
        <v>Mo/Rh</v>
      </c>
      <c r="Y393" s="705" t="str">
        <f>$P$353</f>
        <v>Mo/Rh</v>
      </c>
    </row>
    <row r="394" spans="1:25" ht="14.1" customHeight="1" thickBot="1">
      <c r="A394" s="20">
        <v>34</v>
      </c>
      <c r="B394" s="71"/>
      <c r="C394" s="342"/>
      <c r="D394" s="166" t="s">
        <v>176</v>
      </c>
      <c r="E394" s="499" t="str">
        <f t="shared" si="86"/>
        <v/>
      </c>
      <c r="F394" s="342"/>
      <c r="G394" s="166" t="s">
        <v>173</v>
      </c>
      <c r="H394" s="348" t="str">
        <f t="shared" si="87"/>
        <v/>
      </c>
      <c r="I394" s="303" t="str">
        <f t="shared" si="87"/>
        <v/>
      </c>
      <c r="J394" s="349" t="str">
        <f t="shared" si="87"/>
        <v/>
      </c>
      <c r="K394" s="342"/>
      <c r="L394" s="166" t="s">
        <v>329</v>
      </c>
      <c r="M394" s="269" t="str">
        <f>IF(R421="","",R421)</f>
        <v/>
      </c>
      <c r="O394" s="33"/>
      <c r="P394" s="706" t="s">
        <v>269</v>
      </c>
      <c r="Q394" s="709">
        <f>AH10</f>
        <v>24</v>
      </c>
      <c r="R394" s="709">
        <f>AH18</f>
        <v>25</v>
      </c>
      <c r="S394" s="709">
        <f>AH27</f>
        <v>28</v>
      </c>
      <c r="T394" s="709">
        <f>AH73</f>
        <v>32</v>
      </c>
      <c r="U394" s="303">
        <f>AH49</f>
        <v>34</v>
      </c>
      <c r="V394" s="709">
        <v>28</v>
      </c>
      <c r="W394" s="709">
        <v>30</v>
      </c>
      <c r="X394" s="707">
        <v>32</v>
      </c>
      <c r="Y394" s="708">
        <v>34</v>
      </c>
    </row>
    <row r="395" spans="1:25" ht="14.1" customHeight="1">
      <c r="A395" s="20">
        <v>35</v>
      </c>
      <c r="B395" s="71"/>
      <c r="C395" s="342"/>
      <c r="D395" s="166" t="s">
        <v>331</v>
      </c>
      <c r="E395" s="499" t="str">
        <f t="shared" si="86"/>
        <v/>
      </c>
      <c r="F395" s="342"/>
      <c r="G395" s="166" t="s">
        <v>176</v>
      </c>
      <c r="H395" s="348" t="str">
        <f t="shared" si="87"/>
        <v/>
      </c>
      <c r="I395" s="303" t="str">
        <f t="shared" si="87"/>
        <v/>
      </c>
      <c r="J395" s="349" t="str">
        <f t="shared" si="87"/>
        <v/>
      </c>
      <c r="K395" s="166" t="s">
        <v>187</v>
      </c>
      <c r="L395" s="208" t="str">
        <f t="shared" ref="L395:M397" si="88">IF(Q423="","",Q423)</f>
        <v/>
      </c>
      <c r="M395" s="270" t="str">
        <f t="shared" si="88"/>
        <v/>
      </c>
      <c r="O395" s="33"/>
      <c r="P395" s="706" t="s">
        <v>355</v>
      </c>
      <c r="Q395" s="709" t="s">
        <v>356</v>
      </c>
      <c r="R395" s="709"/>
      <c r="S395" s="709"/>
      <c r="T395" s="709"/>
      <c r="U395" s="709"/>
      <c r="V395" s="709"/>
      <c r="W395" s="709"/>
      <c r="X395" s="709"/>
      <c r="Y395" s="714"/>
    </row>
    <row r="396" spans="1:25" ht="14.1" customHeight="1">
      <c r="A396" s="20">
        <v>36</v>
      </c>
      <c r="B396" s="71"/>
      <c r="C396" s="342"/>
      <c r="D396" s="166" t="s">
        <v>182</v>
      </c>
      <c r="E396" s="499" t="str">
        <f t="shared" si="86"/>
        <v/>
      </c>
      <c r="F396" s="342"/>
      <c r="G396" s="166" t="s">
        <v>187</v>
      </c>
      <c r="H396" s="348" t="str">
        <f t="shared" si="87"/>
        <v/>
      </c>
      <c r="I396" s="303" t="str">
        <f t="shared" si="87"/>
        <v/>
      </c>
      <c r="J396" s="349" t="str">
        <f t="shared" si="87"/>
        <v/>
      </c>
      <c r="K396" s="166" t="s">
        <v>189</v>
      </c>
      <c r="L396" s="210" t="str">
        <f t="shared" si="88"/>
        <v/>
      </c>
      <c r="M396" s="272" t="str">
        <f t="shared" si="88"/>
        <v/>
      </c>
      <c r="O396" s="33"/>
      <c r="P396" s="706">
        <v>0</v>
      </c>
      <c r="Q396" s="709" t="str">
        <f>IF(AO10="","",AO10)</f>
        <v/>
      </c>
      <c r="R396" s="709" t="str">
        <f>IF(AO18="","",AO18)</f>
        <v/>
      </c>
      <c r="S396" s="709" t="str">
        <f>IF(AO28="","",AO28)</f>
        <v/>
      </c>
      <c r="T396" s="709" t="str">
        <f>IF(AO41="","",AO41)</f>
        <v/>
      </c>
      <c r="U396" s="303" t="str">
        <f>IF(AO49="","",AO49)</f>
        <v/>
      </c>
      <c r="V396" s="709" t="str">
        <f>IF(AO91="","",AO91)</f>
        <v/>
      </c>
      <c r="W396" s="709" t="str">
        <f>IF(AO65="","",AO65)</f>
        <v/>
      </c>
      <c r="X396" s="710" t="str">
        <f>IF(AO73="","",AO73)</f>
        <v/>
      </c>
      <c r="Y396" s="711" t="str">
        <f>IF(AO81="","",AO81)</f>
        <v/>
      </c>
    </row>
    <row r="397" spans="1:25" ht="14.1" customHeight="1" thickBot="1">
      <c r="A397" s="20">
        <v>37</v>
      </c>
      <c r="B397" s="71"/>
      <c r="C397" s="342"/>
      <c r="D397" s="166" t="s">
        <v>184</v>
      </c>
      <c r="E397" s="499" t="str">
        <f t="shared" si="86"/>
        <v/>
      </c>
      <c r="F397" s="342"/>
      <c r="G397" s="166" t="s">
        <v>189</v>
      </c>
      <c r="H397" s="398" t="str">
        <f t="shared" si="87"/>
        <v/>
      </c>
      <c r="I397" s="456" t="str">
        <f t="shared" si="87"/>
        <v/>
      </c>
      <c r="J397" s="399" t="str">
        <f t="shared" si="87"/>
        <v/>
      </c>
      <c r="K397" s="166" t="s">
        <v>191</v>
      </c>
      <c r="L397" s="211" t="str">
        <f t="shared" si="88"/>
        <v/>
      </c>
      <c r="M397" s="273" t="str">
        <f t="shared" si="88"/>
        <v/>
      </c>
      <c r="O397" s="33"/>
      <c r="P397" s="706">
        <v>0</v>
      </c>
      <c r="Q397" s="709" t="str">
        <f>IF(AO11="","",AO11)</f>
        <v/>
      </c>
      <c r="R397" s="709" t="str">
        <f>IF(AO19="","",AO19)</f>
        <v/>
      </c>
      <c r="S397" s="709" t="str">
        <f>IF(AO29="","",AO29)</f>
        <v/>
      </c>
      <c r="T397" s="709" t="str">
        <f>IF(AO42="","",AO42)</f>
        <v/>
      </c>
      <c r="U397" s="303" t="str">
        <f>IF(AO50="","",AO50)</f>
        <v/>
      </c>
      <c r="V397" s="709" t="str">
        <f>IF(AO92="","",AO92)</f>
        <v/>
      </c>
      <c r="W397" s="709" t="str">
        <f>IF(AO66="","",AO66)</f>
        <v/>
      </c>
      <c r="X397" s="710" t="str">
        <f>IF(AO74="","",AO74)</f>
        <v/>
      </c>
      <c r="Y397" s="711" t="str">
        <f>IF(AO82="","",AO82)</f>
        <v/>
      </c>
    </row>
    <row r="398" spans="1:25" ht="14.1" customHeight="1" thickBot="1">
      <c r="A398" s="20">
        <v>38</v>
      </c>
      <c r="B398" s="71"/>
      <c r="C398" s="342"/>
      <c r="D398" s="166" t="s">
        <v>185</v>
      </c>
      <c r="E398" s="499" t="str">
        <f t="shared" si="86"/>
        <v/>
      </c>
      <c r="F398" s="342"/>
      <c r="G398" s="166" t="s">
        <v>191</v>
      </c>
      <c r="H398" s="590" t="str">
        <f t="shared" si="87"/>
        <v/>
      </c>
      <c r="I398" s="591" t="str">
        <f t="shared" si="87"/>
        <v/>
      </c>
      <c r="J398" s="592" t="str">
        <f t="shared" si="87"/>
        <v/>
      </c>
      <c r="K398" s="342"/>
      <c r="L398" s="166" t="s">
        <v>329</v>
      </c>
      <c r="M398" s="269" t="str">
        <f>IF(V421="","",V421)</f>
        <v/>
      </c>
      <c r="O398" s="33"/>
      <c r="P398" s="706" t="s">
        <v>357</v>
      </c>
      <c r="Q398" s="709" t="str">
        <f>IF('HVL Processing'!G3="","",'HVL Processing'!G3)</f>
        <v/>
      </c>
      <c r="R398" s="709" t="str">
        <f>IF('HVL Processing'!G11="","",'HVL Processing'!G11)</f>
        <v/>
      </c>
      <c r="S398" s="709" t="str">
        <f>IF('HVL Processing'!G19="","",'HVL Processing'!G19)</f>
        <v/>
      </c>
      <c r="T398" s="709" t="str">
        <f>IF('HVL Processing'!G27="","",'HVL Processing'!G27)</f>
        <v/>
      </c>
      <c r="U398" s="303" t="str">
        <f>IF('HVL Processing'!G35="","",'HVL Processing'!G35)</f>
        <v/>
      </c>
      <c r="V398" s="709" t="str">
        <f>IF('HVL Processing'!O3="","",'HVL Processing'!O3)</f>
        <v/>
      </c>
      <c r="W398" s="709" t="str">
        <f>IF('HVL Processing'!O11="","",'HVL Processing'!O11)</f>
        <v/>
      </c>
      <c r="X398" s="712" t="str">
        <f>IF('HVL Processing'!O19="","",'HVL Processing'!O19)</f>
        <v/>
      </c>
      <c r="Y398" s="713" t="str">
        <f>IF('HVL Processing'!O27="","",'HVL Processing'!O27)</f>
        <v/>
      </c>
    </row>
    <row r="399" spans="1:25" ht="14.1" customHeight="1" thickBot="1">
      <c r="A399" s="20">
        <v>39</v>
      </c>
      <c r="B399" s="71"/>
      <c r="C399" s="72"/>
      <c r="D399" s="166" t="s">
        <v>187</v>
      </c>
      <c r="E399" s="499" t="str">
        <f>IF(U413="","",U413)</f>
        <v/>
      </c>
      <c r="F399" s="342"/>
      <c r="G399" s="166"/>
      <c r="H399" s="462" t="str">
        <f>Q434</f>
        <v/>
      </c>
      <c r="I399" s="440" t="str">
        <f>R434</f>
        <v/>
      </c>
      <c r="J399" s="593" t="str">
        <f>S434</f>
        <v/>
      </c>
      <c r="K399" s="166" t="s">
        <v>187</v>
      </c>
      <c r="L399" s="208" t="str">
        <f t="shared" ref="L399:M401" si="89">IF(U423="","",U423)</f>
        <v/>
      </c>
      <c r="M399" s="270" t="str">
        <f t="shared" si="89"/>
        <v/>
      </c>
      <c r="O399" s="33"/>
      <c r="P399" s="706" t="s">
        <v>358</v>
      </c>
      <c r="Q399" s="709" t="str">
        <f>IF(OR(Q396="",Q397=""),"",ABS(Q397-Q396)/Q396)</f>
        <v/>
      </c>
      <c r="R399" s="709" t="str">
        <f t="shared" ref="R399:T399" si="90">IF(OR(R396="",R397=""),"",ABS(R397-R396)/R396)</f>
        <v/>
      </c>
      <c r="S399" s="709" t="str">
        <f t="shared" si="90"/>
        <v/>
      </c>
      <c r="T399" s="709" t="str">
        <f t="shared" si="90"/>
        <v/>
      </c>
      <c r="U399" s="303"/>
      <c r="V399" s="709" t="str">
        <f>IF(OR(V396="",V397=""),"",ABS(V397-V396)/V396)</f>
        <v/>
      </c>
      <c r="W399" s="709" t="str">
        <f>IF(OR(W396="",W397=""),"",ABS(W397-W396)/W396)</f>
        <v/>
      </c>
      <c r="X399" s="709" t="str">
        <f>IF(OR(X396="",X397=""),"",ABS(X397-X396)/X396)</f>
        <v/>
      </c>
      <c r="Y399" s="714" t="str">
        <f>IF(OR(Y396="",Y397=""),"",ABS(Y397-Y396)/Y396)</f>
        <v/>
      </c>
    </row>
    <row r="400" spans="1:25" ht="14.1" customHeight="1">
      <c r="A400" s="20">
        <v>40</v>
      </c>
      <c r="B400" s="71"/>
      <c r="C400" s="72"/>
      <c r="D400" s="166" t="s">
        <v>189</v>
      </c>
      <c r="E400" s="499" t="str">
        <f>IF(U414="","",U414)</f>
        <v/>
      </c>
      <c r="F400" s="72"/>
      <c r="G400" s="72"/>
      <c r="H400" s="72"/>
      <c r="I400" s="111"/>
      <c r="J400" s="111"/>
      <c r="K400" s="166" t="s">
        <v>189</v>
      </c>
      <c r="L400" s="210" t="str">
        <f t="shared" si="89"/>
        <v/>
      </c>
      <c r="M400" s="272" t="str">
        <f t="shared" si="89"/>
        <v/>
      </c>
      <c r="O400" s="33"/>
      <c r="P400" s="706" t="s">
        <v>359</v>
      </c>
      <c r="Q400" s="709">
        <f t="shared" ref="Q400:Y400" si="91">IF($Q$392=1,Q394/100+0.03,Q394/100)</f>
        <v>0.27</v>
      </c>
      <c r="R400" s="709">
        <f t="shared" si="91"/>
        <v>0.28000000000000003</v>
      </c>
      <c r="S400" s="709">
        <f t="shared" si="91"/>
        <v>0.31000000000000005</v>
      </c>
      <c r="T400" s="709">
        <f t="shared" si="91"/>
        <v>0.35</v>
      </c>
      <c r="U400" s="709">
        <f t="shared" si="91"/>
        <v>0.37</v>
      </c>
      <c r="V400" s="709">
        <f t="shared" si="91"/>
        <v>0.31000000000000005</v>
      </c>
      <c r="W400" s="709">
        <f t="shared" si="91"/>
        <v>0.32999999999999996</v>
      </c>
      <c r="X400" s="709">
        <f t="shared" si="91"/>
        <v>0.35</v>
      </c>
      <c r="Y400" s="714">
        <f t="shared" si="91"/>
        <v>0.37</v>
      </c>
    </row>
    <row r="401" spans="1:25" ht="14.1" customHeight="1" thickBot="1">
      <c r="A401" s="20">
        <v>41</v>
      </c>
      <c r="B401" s="71"/>
      <c r="C401" s="72"/>
      <c r="D401" s="166" t="s">
        <v>191</v>
      </c>
      <c r="E401" s="500" t="str">
        <f>IF(U415="","",U415)</f>
        <v/>
      </c>
      <c r="F401" s="72"/>
      <c r="G401" s="72"/>
      <c r="H401" s="72"/>
      <c r="I401" s="72"/>
      <c r="J401" s="72"/>
      <c r="K401" s="166" t="s">
        <v>191</v>
      </c>
      <c r="L401" s="211" t="str">
        <f t="shared" si="89"/>
        <v/>
      </c>
      <c r="M401" s="273" t="str">
        <f t="shared" si="89"/>
        <v/>
      </c>
      <c r="O401" s="33"/>
      <c r="P401" s="706" t="s">
        <v>360</v>
      </c>
      <c r="Q401" s="709">
        <f>Q394/100+0.12</f>
        <v>0.36</v>
      </c>
      <c r="R401" s="709">
        <f t="shared" ref="R401:T401" si="92">R394/100+0.12</f>
        <v>0.37</v>
      </c>
      <c r="S401" s="709">
        <f t="shared" si="92"/>
        <v>0.4</v>
      </c>
      <c r="T401" s="709">
        <f t="shared" si="92"/>
        <v>0.44</v>
      </c>
      <c r="U401" s="709">
        <f t="shared" ref="U401" si="93">U394/100+0.12</f>
        <v>0.46</v>
      </c>
      <c r="V401" s="709">
        <f>V394/100+0.12</f>
        <v>0.4</v>
      </c>
      <c r="W401" s="709">
        <f>W394/100+0.12</f>
        <v>0.42</v>
      </c>
      <c r="X401" s="709">
        <f>X394/100+0.12</f>
        <v>0.44</v>
      </c>
      <c r="Y401" s="714">
        <f>Y394/100+0.12</f>
        <v>0.46</v>
      </c>
    </row>
    <row r="402" spans="1:25" ht="14.1" customHeight="1" thickBot="1">
      <c r="A402" s="20">
        <v>42</v>
      </c>
      <c r="B402" s="71"/>
      <c r="C402" s="72"/>
      <c r="D402" s="72"/>
      <c r="E402" s="72"/>
      <c r="F402" s="72"/>
      <c r="G402" s="72"/>
      <c r="H402" s="72"/>
      <c r="I402" s="72"/>
      <c r="J402" s="72"/>
      <c r="K402" s="72"/>
      <c r="L402" s="72"/>
      <c r="M402" s="73"/>
      <c r="O402" s="33"/>
      <c r="P402" s="398" t="s">
        <v>218</v>
      </c>
      <c r="Q402" s="716" t="str">
        <f>IF(Q398="","",IF(AND(Q398&gt;=Q400,Q398&lt;=Q401),"Pass","Fail"))</f>
        <v/>
      </c>
      <c r="R402" s="716" t="str">
        <f t="shared" ref="R402:Y402" si="94">IF(R398="","",IF(AND(R398&gt;=R400,R398&lt;=R401),"Pass","Fail"))</f>
        <v/>
      </c>
      <c r="S402" s="716" t="str">
        <f t="shared" si="94"/>
        <v/>
      </c>
      <c r="T402" s="716" t="str">
        <f t="shared" si="94"/>
        <v/>
      </c>
      <c r="U402" s="716" t="str">
        <f t="shared" si="94"/>
        <v/>
      </c>
      <c r="V402" s="716" t="str">
        <f t="shared" si="94"/>
        <v/>
      </c>
      <c r="W402" s="716" t="str">
        <f t="shared" si="94"/>
        <v/>
      </c>
      <c r="X402" s="716" t="str">
        <f t="shared" si="94"/>
        <v/>
      </c>
      <c r="Y402" s="717" t="str">
        <f t="shared" si="94"/>
        <v/>
      </c>
    </row>
    <row r="403" spans="1:25" ht="14.1" customHeight="1">
      <c r="A403" s="20">
        <v>43</v>
      </c>
      <c r="B403" s="71"/>
      <c r="C403" s="72"/>
      <c r="D403" s="5" t="s">
        <v>204</v>
      </c>
      <c r="E403" s="12" t="s">
        <v>370</v>
      </c>
      <c r="F403" s="72"/>
      <c r="G403" s="72"/>
      <c r="H403" s="72"/>
      <c r="I403" s="72"/>
      <c r="J403" s="72"/>
      <c r="K403" s="72"/>
      <c r="L403" s="72"/>
      <c r="M403" s="73"/>
      <c r="O403" s="33"/>
      <c r="P403" s="643"/>
      <c r="Q403" s="643" t="s">
        <v>580</v>
      </c>
      <c r="R403" s="643" t="s">
        <v>580</v>
      </c>
      <c r="S403" s="643" t="s">
        <v>580</v>
      </c>
      <c r="T403" s="643" t="s">
        <v>580</v>
      </c>
      <c r="U403" s="643" t="s">
        <v>580</v>
      </c>
      <c r="V403" s="643" t="s">
        <v>580</v>
      </c>
      <c r="W403" s="313" t="s">
        <v>580</v>
      </c>
      <c r="X403" s="313" t="s">
        <v>580</v>
      </c>
      <c r="Y403" s="35"/>
    </row>
    <row r="404" spans="1:25" ht="14.1" customHeight="1">
      <c r="A404" s="20">
        <v>44</v>
      </c>
      <c r="B404" s="71"/>
      <c r="C404" s="72"/>
      <c r="D404" s="72"/>
      <c r="E404" s="72"/>
      <c r="F404" s="72"/>
      <c r="G404" s="72"/>
      <c r="H404" s="72"/>
      <c r="I404" s="72"/>
      <c r="J404" s="72"/>
      <c r="K404" s="72"/>
      <c r="L404" s="72"/>
      <c r="M404" s="73"/>
      <c r="O404" s="33"/>
      <c r="P404" s="643"/>
      <c r="Q404" s="643"/>
      <c r="R404" s="643"/>
      <c r="S404" s="643"/>
      <c r="T404" s="643"/>
      <c r="U404" s="643"/>
      <c r="V404" s="643"/>
      <c r="W404" s="314"/>
      <c r="X404" s="314"/>
      <c r="Y404" s="35"/>
    </row>
    <row r="405" spans="1:25" ht="14.1" customHeight="1">
      <c r="A405" s="20">
        <v>45</v>
      </c>
      <c r="B405" s="71"/>
      <c r="M405" s="73"/>
      <c r="O405" s="33"/>
      <c r="P405" s="643"/>
      <c r="Q405" s="643"/>
      <c r="R405" s="643"/>
      <c r="S405" s="643"/>
      <c r="T405" s="643"/>
      <c r="U405" s="643"/>
      <c r="V405" s="643"/>
      <c r="W405" s="315"/>
      <c r="X405" s="315"/>
      <c r="Y405" s="35"/>
    </row>
    <row r="406" spans="1:25" ht="14.1" customHeight="1">
      <c r="A406" s="20">
        <v>46</v>
      </c>
      <c r="B406" s="71"/>
      <c r="M406" s="73"/>
      <c r="O406" s="33"/>
      <c r="P406" s="643"/>
      <c r="Q406" s="643"/>
      <c r="R406" s="643"/>
      <c r="S406" s="643"/>
      <c r="T406" s="643"/>
      <c r="U406" s="643"/>
      <c r="V406" s="643"/>
      <c r="W406" s="315"/>
      <c r="X406" s="315"/>
      <c r="Y406" s="35"/>
    </row>
    <row r="407" spans="1:25" ht="14.1" customHeight="1">
      <c r="A407" s="20">
        <v>47</v>
      </c>
      <c r="B407" s="71"/>
      <c r="M407" s="73"/>
      <c r="O407" s="33"/>
      <c r="P407" s="643"/>
      <c r="Q407" s="643"/>
      <c r="R407" s="643"/>
      <c r="S407" s="643"/>
      <c r="T407" s="643"/>
      <c r="U407" s="643"/>
      <c r="V407" s="643"/>
      <c r="W407" s="640"/>
      <c r="X407" s="640"/>
      <c r="Y407" s="241"/>
    </row>
    <row r="408" spans="1:25" ht="14.1" customHeight="1" thickBot="1">
      <c r="A408" s="20">
        <v>48</v>
      </c>
      <c r="B408" s="71"/>
      <c r="M408" s="73"/>
      <c r="O408" s="43"/>
      <c r="P408" s="117" t="s">
        <v>204</v>
      </c>
      <c r="Q408" s="195" t="s">
        <v>361</v>
      </c>
      <c r="R408" s="6"/>
      <c r="S408" s="6"/>
      <c r="T408" s="6"/>
      <c r="U408" s="6"/>
      <c r="V408" s="6"/>
      <c r="W408" s="6"/>
      <c r="X408" s="6"/>
      <c r="Y408" s="45"/>
    </row>
    <row r="409" spans="1:25" ht="14.1" customHeight="1">
      <c r="A409" s="20">
        <v>49</v>
      </c>
      <c r="B409" s="71"/>
      <c r="M409" s="73"/>
      <c r="O409" s="140" t="s">
        <v>324</v>
      </c>
      <c r="P409" s="26"/>
      <c r="Q409" s="26"/>
      <c r="R409" s="26"/>
      <c r="S409" s="26"/>
      <c r="T409" s="26"/>
      <c r="U409" s="26"/>
      <c r="V409" s="26"/>
      <c r="W409" s="26"/>
      <c r="X409" s="26"/>
      <c r="Y409" s="27"/>
    </row>
    <row r="410" spans="1:25" ht="14.1" customHeight="1">
      <c r="A410" s="20">
        <v>50</v>
      </c>
      <c r="B410" s="71"/>
      <c r="M410" s="73"/>
      <c r="O410" s="285" t="s">
        <v>325</v>
      </c>
      <c r="P410" s="38" t="s">
        <v>44</v>
      </c>
      <c r="Q410" s="271"/>
      <c r="R410" s="38" t="s">
        <v>339</v>
      </c>
      <c r="S410" s="271"/>
      <c r="U410" s="38" t="s">
        <v>362</v>
      </c>
      <c r="V410" s="271"/>
      <c r="Y410" s="35"/>
    </row>
    <row r="411" spans="1:25" ht="14.1" customHeight="1">
      <c r="A411" s="20">
        <v>51</v>
      </c>
      <c r="B411" s="71"/>
      <c r="M411" s="73"/>
      <c r="O411" s="33"/>
      <c r="Y411" s="35"/>
    </row>
    <row r="412" spans="1:25" ht="14.1" customHeight="1">
      <c r="A412" s="20">
        <v>52</v>
      </c>
      <c r="B412" s="71"/>
      <c r="M412" s="73"/>
      <c r="O412" s="33"/>
      <c r="P412" s="38"/>
      <c r="R412" s="24" t="s">
        <v>321</v>
      </c>
      <c r="V412" s="24" t="s">
        <v>321</v>
      </c>
      <c r="Y412" s="35"/>
    </row>
    <row r="413" spans="1:25" ht="14.1" customHeight="1">
      <c r="A413" s="20">
        <v>53</v>
      </c>
      <c r="B413" s="71"/>
      <c r="M413" s="73"/>
      <c r="O413" s="33"/>
      <c r="P413" s="38" t="s">
        <v>173</v>
      </c>
      <c r="Q413" s="149"/>
      <c r="R413" s="126" t="str">
        <f t="shared" ref="R413:R418" si="95">IF(AB91="","",AB91)</f>
        <v/>
      </c>
      <c r="T413" s="38" t="s">
        <v>187</v>
      </c>
      <c r="U413" s="149"/>
      <c r="V413" s="126" t="str">
        <f>IF(AB97="","",AB97)</f>
        <v/>
      </c>
      <c r="Y413" s="35"/>
    </row>
    <row r="414" spans="1:25" ht="14.1" customHeight="1">
      <c r="A414" s="20">
        <v>54</v>
      </c>
      <c r="B414" s="71"/>
      <c r="M414" s="73"/>
      <c r="O414" s="33"/>
      <c r="P414" s="38" t="s">
        <v>176</v>
      </c>
      <c r="Q414" s="149"/>
      <c r="R414" s="126" t="str">
        <f t="shared" si="95"/>
        <v/>
      </c>
      <c r="T414" s="38" t="s">
        <v>189</v>
      </c>
      <c r="U414" s="149"/>
      <c r="V414" s="126" t="str">
        <f>IF(AB98="","",AB98)</f>
        <v/>
      </c>
      <c r="Y414" s="35"/>
    </row>
    <row r="415" spans="1:25" ht="14.1" customHeight="1" thickBot="1">
      <c r="A415" s="20">
        <v>55</v>
      </c>
      <c r="B415" s="71"/>
      <c r="M415" s="73"/>
      <c r="O415" s="33"/>
      <c r="P415" s="38" t="s">
        <v>331</v>
      </c>
      <c r="Q415" s="149"/>
      <c r="R415" s="126" t="str">
        <f t="shared" si="95"/>
        <v/>
      </c>
      <c r="T415" s="38" t="s">
        <v>191</v>
      </c>
      <c r="U415" s="149"/>
      <c r="V415" s="126" t="str">
        <f>IF(AB99="","",AB99)</f>
        <v/>
      </c>
      <c r="Y415" s="35"/>
    </row>
    <row r="416" spans="1:25" ht="14.1" customHeight="1" thickBot="1">
      <c r="A416" s="20">
        <v>56</v>
      </c>
      <c r="B416" s="71"/>
      <c r="M416" s="73"/>
      <c r="O416" s="33"/>
      <c r="P416" s="38" t="s">
        <v>182</v>
      </c>
      <c r="Q416" s="149"/>
      <c r="R416" s="126" t="str">
        <f t="shared" si="95"/>
        <v/>
      </c>
      <c r="T416" s="38" t="s">
        <v>218</v>
      </c>
      <c r="U416" s="148" t="str">
        <f>IF(OR(U413="",U414="",U415=""),"",IF(AND(U413&gt;=5,U414&gt;=4,U415&gt;=4),"Pass","Fail"))</f>
        <v/>
      </c>
      <c r="Y416" s="35"/>
    </row>
    <row r="417" spans="1:25" ht="14.1" customHeight="1">
      <c r="A417" s="20">
        <v>57</v>
      </c>
      <c r="B417" s="71"/>
      <c r="M417" s="73"/>
      <c r="O417" s="33"/>
      <c r="P417" s="38" t="s">
        <v>184</v>
      </c>
      <c r="Q417" s="149"/>
      <c r="R417" s="126" t="str">
        <f t="shared" si="95"/>
        <v/>
      </c>
      <c r="T417" s="117" t="s">
        <v>204</v>
      </c>
      <c r="U417" s="142" t="s">
        <v>363</v>
      </c>
      <c r="Y417" s="35"/>
    </row>
    <row r="418" spans="1:25" ht="14.1" customHeight="1">
      <c r="A418" s="20">
        <v>58</v>
      </c>
      <c r="B418" s="71"/>
      <c r="M418" s="73"/>
      <c r="O418" s="33"/>
      <c r="P418" s="38" t="s">
        <v>185</v>
      </c>
      <c r="Q418" s="19" t="str">
        <f>IF(OR(Q416="",Q417=""),"",Q417-Q416)</f>
        <v/>
      </c>
      <c r="R418" s="126" t="str">
        <f t="shared" si="95"/>
        <v/>
      </c>
      <c r="Y418" s="35"/>
    </row>
    <row r="419" spans="1:25" ht="14.1" customHeight="1">
      <c r="A419" s="20">
        <v>59</v>
      </c>
      <c r="B419" s="71"/>
      <c r="M419" s="73"/>
      <c r="O419" s="33"/>
      <c r="Y419" s="35"/>
    </row>
    <row r="420" spans="1:25" ht="14.1" customHeight="1">
      <c r="A420" s="20">
        <v>60</v>
      </c>
      <c r="B420" s="71"/>
      <c r="M420" s="73"/>
      <c r="O420" s="285" t="s">
        <v>364</v>
      </c>
      <c r="Y420" s="35"/>
    </row>
    <row r="421" spans="1:25" ht="14.1" customHeight="1">
      <c r="A421" s="20">
        <v>61</v>
      </c>
      <c r="B421" s="71"/>
      <c r="M421" s="73"/>
      <c r="O421" s="33"/>
      <c r="Q421" s="38" t="s">
        <v>329</v>
      </c>
      <c r="R421" s="271"/>
      <c r="U421" s="38" t="s">
        <v>329</v>
      </c>
      <c r="V421" s="271"/>
      <c r="Y421" s="35"/>
    </row>
    <row r="422" spans="1:25" ht="14.1" customHeight="1">
      <c r="A422" s="20">
        <v>62</v>
      </c>
      <c r="B422" s="71"/>
      <c r="M422" s="73"/>
      <c r="O422" s="33"/>
      <c r="Q422" s="638" t="s">
        <v>254</v>
      </c>
      <c r="R422" s="638" t="s">
        <v>255</v>
      </c>
      <c r="U422" s="638" t="s">
        <v>254</v>
      </c>
      <c r="V422" s="638" t="s">
        <v>255</v>
      </c>
      <c r="Y422" s="35"/>
    </row>
    <row r="423" spans="1:25" ht="14.1" customHeight="1">
      <c r="A423" s="20">
        <v>63</v>
      </c>
      <c r="B423" s="71"/>
      <c r="M423" s="73"/>
      <c r="O423" s="165"/>
      <c r="P423" s="38" t="s">
        <v>187</v>
      </c>
      <c r="Q423" s="149"/>
      <c r="R423" s="149"/>
      <c r="T423" s="38" t="s">
        <v>187</v>
      </c>
      <c r="U423" s="149"/>
      <c r="V423" s="149"/>
      <c r="Y423" s="35"/>
    </row>
    <row r="424" spans="1:25" ht="14.1" customHeight="1">
      <c r="A424" s="20">
        <v>64</v>
      </c>
      <c r="B424" s="71"/>
      <c r="M424" s="73"/>
      <c r="O424" s="165"/>
      <c r="P424" s="38" t="s">
        <v>189</v>
      </c>
      <c r="Q424" s="149"/>
      <c r="R424" s="149"/>
      <c r="T424" s="38" t="s">
        <v>189</v>
      </c>
      <c r="U424" s="149"/>
      <c r="V424" s="149"/>
      <c r="Y424" s="35"/>
    </row>
    <row r="425" spans="1:25" ht="14.1" customHeight="1">
      <c r="A425" s="20">
        <v>65</v>
      </c>
      <c r="B425" s="71"/>
      <c r="M425" s="73"/>
      <c r="O425" s="165"/>
      <c r="P425" s="38" t="s">
        <v>191</v>
      </c>
      <c r="Q425" s="149"/>
      <c r="R425" s="149"/>
      <c r="T425" s="38" t="s">
        <v>191</v>
      </c>
      <c r="U425" s="149"/>
      <c r="V425" s="149"/>
      <c r="Y425" s="35"/>
    </row>
    <row r="426" spans="1:25" ht="14.1" customHeight="1">
      <c r="A426" s="20">
        <v>66</v>
      </c>
      <c r="B426" s="71"/>
      <c r="M426" s="73"/>
      <c r="O426" s="33"/>
      <c r="Y426" s="35"/>
    </row>
    <row r="427" spans="1:25" ht="14.1" customHeight="1">
      <c r="A427" s="20">
        <v>67</v>
      </c>
      <c r="B427" s="71"/>
      <c r="M427" s="73"/>
      <c r="O427" s="285" t="s">
        <v>365</v>
      </c>
      <c r="Q427" s="6"/>
      <c r="R427" s="38" t="s">
        <v>366</v>
      </c>
      <c r="S427" s="641">
        <f>Q265</f>
        <v>0</v>
      </c>
      <c r="Y427" s="35"/>
    </row>
    <row r="428" spans="1:25" ht="14.1" customHeight="1">
      <c r="A428" s="20">
        <v>68</v>
      </c>
      <c r="B428" s="71"/>
      <c r="M428" s="73"/>
      <c r="O428" s="33"/>
      <c r="P428" s="38" t="s">
        <v>71</v>
      </c>
      <c r="Q428" s="286" t="s">
        <v>237</v>
      </c>
      <c r="R428" s="286" t="s">
        <v>262</v>
      </c>
      <c r="S428" s="286" t="s">
        <v>238</v>
      </c>
      <c r="T428" s="38" t="s">
        <v>321</v>
      </c>
      <c r="U428" s="38" t="s">
        <v>71</v>
      </c>
      <c r="V428" s="286" t="s">
        <v>237</v>
      </c>
      <c r="W428" s="286" t="s">
        <v>262</v>
      </c>
      <c r="X428" s="286" t="s">
        <v>238</v>
      </c>
      <c r="Y428" s="35"/>
    </row>
    <row r="429" spans="1:25" ht="14.1" customHeight="1">
      <c r="A429" s="20">
        <v>69</v>
      </c>
      <c r="B429" s="71"/>
      <c r="C429" s="72"/>
      <c r="D429" s="72"/>
      <c r="E429" s="72"/>
      <c r="F429" s="72"/>
      <c r="G429" s="72"/>
      <c r="H429" s="72"/>
      <c r="I429" s="72"/>
      <c r="J429" s="72"/>
      <c r="K429" s="72"/>
      <c r="L429" s="72"/>
      <c r="M429" s="73"/>
      <c r="O429" s="33"/>
      <c r="P429" s="38" t="s">
        <v>269</v>
      </c>
      <c r="Q429" s="287"/>
      <c r="R429" s="288"/>
      <c r="S429" s="289"/>
      <c r="T429" s="6"/>
      <c r="U429" s="38" t="s">
        <v>269</v>
      </c>
      <c r="V429" s="290" t="str">
        <f>IF(AB101="","",AB101)</f>
        <v/>
      </c>
      <c r="W429" s="291" t="str">
        <f>IF(AB106="","",AB106)</f>
        <v/>
      </c>
      <c r="X429" s="292" t="str">
        <f>IF(AB111="","",AB111)</f>
        <v/>
      </c>
      <c r="Y429" s="35"/>
    </row>
    <row r="430" spans="1:25" ht="14.1" customHeight="1" thickBot="1">
      <c r="A430" s="20">
        <v>70</v>
      </c>
      <c r="B430" s="84"/>
      <c r="C430" s="701"/>
      <c r="D430" s="702"/>
      <c r="E430" s="696"/>
      <c r="F430" s="696"/>
      <c r="G430" s="696"/>
      <c r="H430" s="696"/>
      <c r="I430" s="696"/>
      <c r="J430" s="696"/>
      <c r="K430" s="696"/>
      <c r="L430" s="85"/>
      <c r="M430" s="86"/>
      <c r="O430" s="33"/>
      <c r="P430" s="38" t="s">
        <v>72</v>
      </c>
      <c r="Q430" s="293"/>
      <c r="R430" s="294"/>
      <c r="S430" s="295"/>
      <c r="T430" s="6"/>
      <c r="U430" s="38" t="s">
        <v>72</v>
      </c>
      <c r="V430" s="296" t="str">
        <f>IF(AB102="","",AB102)</f>
        <v/>
      </c>
      <c r="W430" s="297" t="str">
        <f>IF(AB107="","",AB107)</f>
        <v/>
      </c>
      <c r="X430" s="298" t="str">
        <f>IF(AB112="","",AB112)</f>
        <v/>
      </c>
      <c r="Y430" s="35"/>
    </row>
    <row r="431" spans="1:25" ht="14.1" customHeight="1" thickTop="1">
      <c r="A431" s="20">
        <v>71</v>
      </c>
      <c r="C431" s="113" t="s">
        <v>11</v>
      </c>
      <c r="D431" s="386" t="str">
        <f>IF($P$7="","",$P$7)</f>
        <v/>
      </c>
      <c r="E431" s="30"/>
      <c r="F431" s="30"/>
      <c r="G431" s="30"/>
      <c r="H431" s="30"/>
      <c r="I431" s="30"/>
      <c r="J431" s="30"/>
      <c r="K431" s="30"/>
      <c r="L431" s="113" t="s">
        <v>12</v>
      </c>
      <c r="M431" s="387" t="str">
        <f>IF($X$7="","",$X$7)</f>
        <v>Eugene Mah</v>
      </c>
      <c r="O431" s="33"/>
      <c r="P431" s="38" t="s">
        <v>367</v>
      </c>
      <c r="Q431" s="293"/>
      <c r="R431" s="294"/>
      <c r="S431" s="295"/>
      <c r="T431" s="6"/>
      <c r="U431" s="38" t="s">
        <v>367</v>
      </c>
      <c r="V431" s="296" t="str">
        <f>IF(AB103="","",AB103)</f>
        <v/>
      </c>
      <c r="W431" s="297" t="str">
        <f>IF(AB108="","",AB108)</f>
        <v/>
      </c>
      <c r="X431" s="298" t="str">
        <f>IF(AB113="","",AB113)</f>
        <v/>
      </c>
      <c r="Y431" s="35"/>
    </row>
    <row r="432" spans="1:25" ht="14.1" customHeight="1">
      <c r="A432" s="20">
        <v>72</v>
      </c>
      <c r="C432" s="113" t="s">
        <v>121</v>
      </c>
      <c r="D432" s="387" t="str">
        <f>IF($R$14="","",$R$14)</f>
        <v/>
      </c>
      <c r="E432" s="30"/>
      <c r="F432" s="30"/>
      <c r="G432" s="30"/>
      <c r="H432" s="30"/>
      <c r="I432" s="30"/>
      <c r="J432" s="30"/>
      <c r="K432" s="30"/>
      <c r="L432" s="113" t="s">
        <v>37</v>
      </c>
      <c r="M432" s="387" t="str">
        <f>IF($R$13="","",$R$13)</f>
        <v/>
      </c>
      <c r="O432" s="33"/>
      <c r="P432" s="38" t="s">
        <v>368</v>
      </c>
      <c r="Q432" s="293"/>
      <c r="R432" s="294"/>
      <c r="S432" s="295"/>
      <c r="T432" s="6"/>
      <c r="U432" s="38" t="s">
        <v>368</v>
      </c>
      <c r="V432" s="296" t="str">
        <f>IF(AB104="","",AB104)</f>
        <v/>
      </c>
      <c r="W432" s="297" t="str">
        <f>IF(AB109="","",AB109)</f>
        <v/>
      </c>
      <c r="X432" s="298" t="str">
        <f>IF(AB114="","",AB114)</f>
        <v/>
      </c>
      <c r="Y432" s="35"/>
    </row>
    <row r="433" spans="1:25" ht="14.1" customHeight="1">
      <c r="A433" s="20">
        <v>1</v>
      </c>
      <c r="C433" s="72"/>
      <c r="D433" s="72"/>
      <c r="E433" s="72"/>
      <c r="F433" s="72"/>
      <c r="G433" s="72"/>
      <c r="H433" s="72"/>
      <c r="I433" s="72"/>
      <c r="J433" s="72"/>
      <c r="K433" s="72"/>
      <c r="L433" s="72"/>
      <c r="M433" s="584" t="str">
        <f>$H$2</f>
        <v>Medical University of South Carolina</v>
      </c>
      <c r="O433" s="33"/>
      <c r="P433" s="38" t="s">
        <v>369</v>
      </c>
      <c r="Q433" s="293"/>
      <c r="R433" s="294"/>
      <c r="S433" s="295"/>
      <c r="T433" s="6"/>
      <c r="U433" s="38" t="s">
        <v>369</v>
      </c>
      <c r="V433" s="296" t="str">
        <f>IF(AB105="","",AB105)</f>
        <v/>
      </c>
      <c r="W433" s="297" t="str">
        <f>IF(AB110="","",AB110)</f>
        <v/>
      </c>
      <c r="X433" s="298" t="str">
        <f>IF(AB115="","",AB115)</f>
        <v/>
      </c>
      <c r="Y433" s="35"/>
    </row>
    <row r="434" spans="1:25" ht="14.1" customHeight="1" thickBot="1">
      <c r="A434" s="20">
        <v>2</v>
      </c>
      <c r="C434" s="85"/>
      <c r="D434" s="85"/>
      <c r="E434" s="85"/>
      <c r="F434" s="85"/>
      <c r="G434" s="85"/>
      <c r="H434" s="585" t="s">
        <v>73</v>
      </c>
      <c r="I434" s="85"/>
      <c r="J434" s="85"/>
      <c r="K434" s="85"/>
      <c r="L434" s="85"/>
      <c r="M434" s="586" t="str">
        <f>$H$5</f>
        <v>Mammography System Compliance Inspection</v>
      </c>
      <c r="O434" s="33"/>
      <c r="P434" s="299"/>
      <c r="Q434" s="4" t="str">
        <f>IF(Q431="","",IF(AND(Q431&gt;=5,Q432&gt;=4,Q433&gt;=4),"Pass","Fail"))</f>
        <v/>
      </c>
      <c r="R434" s="4" t="str">
        <f>IF(R431="","",IF(AND(R431&gt;=5,R432&gt;=4,R433&gt;=4),"Pass","Fail"))</f>
        <v/>
      </c>
      <c r="S434" s="4" t="str">
        <f>IF(S431="","",IF(AND(S431&gt;=5,S432&gt;=4,S433&gt;=4),"Pass","Fail"))</f>
        <v/>
      </c>
      <c r="T434" s="6"/>
      <c r="U434" s="6"/>
      <c r="V434" s="6"/>
      <c r="Y434" s="35"/>
    </row>
    <row r="435" spans="1:25" ht="14.1" customHeight="1" thickTop="1" thickBot="1">
      <c r="A435" s="20">
        <v>3</v>
      </c>
      <c r="O435" s="43"/>
      <c r="P435" s="300" t="s">
        <v>204</v>
      </c>
      <c r="Q435" s="301" t="s">
        <v>370</v>
      </c>
      <c r="R435" s="196"/>
      <c r="S435" s="196"/>
      <c r="T435" s="44"/>
      <c r="U435" s="44"/>
      <c r="V435" s="44"/>
      <c r="W435" s="44"/>
      <c r="X435" s="44"/>
      <c r="Y435" s="45"/>
    </row>
    <row r="436" spans="1:25" ht="14.1" customHeight="1">
      <c r="A436" s="20">
        <v>4</v>
      </c>
      <c r="O436" s="143" t="s">
        <v>371</v>
      </c>
      <c r="Y436" s="35"/>
    </row>
    <row r="437" spans="1:25" ht="14.1" customHeight="1">
      <c r="A437" s="20">
        <v>5</v>
      </c>
      <c r="O437" s="33"/>
      <c r="T437" s="24" t="s">
        <v>372</v>
      </c>
      <c r="U437" s="24" t="s">
        <v>373</v>
      </c>
      <c r="Y437" s="35"/>
    </row>
    <row r="438" spans="1:25" ht="14.1" customHeight="1">
      <c r="A438" s="20">
        <v>6</v>
      </c>
      <c r="O438" s="33"/>
      <c r="P438" s="38" t="s">
        <v>173</v>
      </c>
      <c r="Q438" s="141"/>
      <c r="R438" s="38"/>
      <c r="S438" s="38" t="s">
        <v>374</v>
      </c>
      <c r="T438" s="149"/>
      <c r="U438" s="149"/>
      <c r="Y438" s="35"/>
    </row>
    <row r="439" spans="1:25" ht="14.1" customHeight="1">
      <c r="A439" s="20">
        <v>7</v>
      </c>
      <c r="O439" s="33"/>
      <c r="P439" s="38" t="s">
        <v>176</v>
      </c>
      <c r="Q439" s="141"/>
      <c r="R439" s="38"/>
      <c r="S439" s="38" t="s">
        <v>375</v>
      </c>
      <c r="T439" s="149"/>
      <c r="U439" s="149"/>
      <c r="Y439" s="35"/>
    </row>
    <row r="440" spans="1:25" ht="14.1" customHeight="1">
      <c r="A440" s="20">
        <v>8</v>
      </c>
      <c r="O440" s="33"/>
      <c r="P440" s="38" t="s">
        <v>51</v>
      </c>
      <c r="Q440" s="271"/>
      <c r="Y440" s="35"/>
    </row>
    <row r="441" spans="1:25" ht="14.1" customHeight="1">
      <c r="A441" s="20">
        <v>9</v>
      </c>
      <c r="O441" s="33"/>
      <c r="P441" s="38" t="s">
        <v>54</v>
      </c>
      <c r="Q441" s="271"/>
      <c r="T441" s="638" t="s">
        <v>320</v>
      </c>
      <c r="U441" s="638" t="s">
        <v>321</v>
      </c>
      <c r="V441" s="638" t="s">
        <v>290</v>
      </c>
      <c r="W441" s="638" t="s">
        <v>376</v>
      </c>
      <c r="X441" s="638" t="s">
        <v>291</v>
      </c>
      <c r="Y441" s="35"/>
    </row>
    <row r="442" spans="1:25" ht="14.1" customHeight="1">
      <c r="A442" s="20">
        <v>10</v>
      </c>
      <c r="O442" s="33"/>
      <c r="S442" s="24" t="s">
        <v>198</v>
      </c>
      <c r="T442" s="257" t="str">
        <f>IF(OR(T439="",U439=""),"",(T439-50)/U439)</f>
        <v/>
      </c>
      <c r="U442" s="126" t="str">
        <f>IF(AB116="","",AB116)</f>
        <v/>
      </c>
      <c r="V442" s="258" t="str">
        <f>IF(OR(T442="",W442=""),"",(T442-W442)/W442)</f>
        <v/>
      </c>
      <c r="W442" s="302"/>
      <c r="X442" s="259" t="str">
        <f>IF(T442="","",IF(AND(T442&gt;=40,ABS(V442)&lt;=0.15),"Pass","Fail"))</f>
        <v/>
      </c>
      <c r="Y442" s="35"/>
    </row>
    <row r="443" spans="1:25" ht="14.1" customHeight="1">
      <c r="A443" s="20">
        <v>11</v>
      </c>
      <c r="O443" s="33"/>
      <c r="S443" s="24" t="s">
        <v>199</v>
      </c>
      <c r="T443" s="257" t="str">
        <f>IF(OR(T439="",T438=""),"",(T439-T438)/U439)</f>
        <v/>
      </c>
      <c r="U443" s="126" t="str">
        <f>IF(AB117="","",AB117)</f>
        <v/>
      </c>
      <c r="V443" s="258" t="str">
        <f>IF(OR(T443="",W443=""),"",(T443-W443)/W443)</f>
        <v/>
      </c>
      <c r="W443" s="302"/>
      <c r="X443" s="19" t="str">
        <f>IF(T443="","",IF(AND(T443&gt;=2,ABS(V443)&lt;=0.15),"Pass","Fail"))</f>
        <v/>
      </c>
      <c r="Y443" s="35"/>
    </row>
    <row r="444" spans="1:25" ht="14.1" customHeight="1">
      <c r="A444" s="20">
        <v>12</v>
      </c>
      <c r="O444" s="33"/>
      <c r="P444" s="117" t="s">
        <v>204</v>
      </c>
      <c r="Q444" s="105" t="s">
        <v>377</v>
      </c>
      <c r="R444" s="72"/>
      <c r="S444" s="72"/>
      <c r="T444" s="72"/>
      <c r="U444" s="72"/>
      <c r="V444" s="72"/>
      <c r="W444" s="72"/>
      <c r="X444" s="72"/>
      <c r="Y444" s="35"/>
    </row>
    <row r="445" spans="1:25" ht="14.1" customHeight="1">
      <c r="A445" s="20">
        <v>13</v>
      </c>
      <c r="O445" s="33"/>
      <c r="Q445" s="142" t="s">
        <v>378</v>
      </c>
      <c r="Y445" s="35"/>
    </row>
    <row r="446" spans="1:25" ht="14.1" customHeight="1" thickBot="1">
      <c r="A446" s="20">
        <v>14</v>
      </c>
      <c r="O446" s="43"/>
      <c r="P446" s="44"/>
      <c r="Q446" s="44"/>
      <c r="R446" s="44"/>
      <c r="S446" s="44"/>
      <c r="T446" s="44"/>
      <c r="U446" s="44"/>
      <c r="V446" s="44"/>
      <c r="W446" s="44"/>
      <c r="X446" s="44"/>
      <c r="Y446" s="45"/>
    </row>
    <row r="447" spans="1:25" ht="14.1" customHeight="1">
      <c r="A447" s="20">
        <v>15</v>
      </c>
      <c r="O447" s="502"/>
      <c r="P447" s="341"/>
    </row>
    <row r="448" spans="1:25" ht="14.1" customHeight="1">
      <c r="A448" s="20">
        <v>16</v>
      </c>
      <c r="O448" s="644"/>
      <c r="P448" s="644"/>
      <c r="Q448" s="644"/>
      <c r="R448" s="644"/>
      <c r="S448" s="644"/>
      <c r="T448" s="645" t="s">
        <v>557</v>
      </c>
      <c r="U448" s="644"/>
      <c r="V448" s="644"/>
      <c r="W448" s="644"/>
      <c r="X448" s="644"/>
      <c r="Y448" s="644"/>
    </row>
    <row r="449" spans="1:25" ht="14.1" customHeight="1" thickBot="1">
      <c r="A449" s="20">
        <v>17</v>
      </c>
      <c r="O449" s="644"/>
      <c r="P449" s="646" t="s">
        <v>558</v>
      </c>
      <c r="Q449" s="644"/>
      <c r="R449" s="644"/>
      <c r="S449" s="644"/>
      <c r="T449" s="644"/>
      <c r="U449" s="644"/>
      <c r="V449" s="644"/>
      <c r="W449" s="644"/>
      <c r="X449" s="644"/>
      <c r="Y449" s="644"/>
    </row>
    <row r="450" spans="1:25" ht="14.1" customHeight="1" thickTop="1">
      <c r="A450" s="20">
        <v>18</v>
      </c>
      <c r="O450" s="647"/>
      <c r="P450" s="648"/>
      <c r="Q450" s="648"/>
      <c r="R450" s="649"/>
      <c r="S450" s="650" t="s">
        <v>559</v>
      </c>
      <c r="T450" s="648"/>
      <c r="U450" s="648"/>
      <c r="V450" s="648"/>
      <c r="W450" s="648"/>
      <c r="X450" s="648"/>
      <c r="Y450" s="651"/>
    </row>
    <row r="451" spans="1:25" ht="14.1" customHeight="1">
      <c r="A451" s="20">
        <v>19</v>
      </c>
      <c r="O451" s="652"/>
      <c r="P451" s="653" t="s">
        <v>224</v>
      </c>
      <c r="Q451" s="654"/>
      <c r="R451" s="655"/>
      <c r="S451" s="656" t="str">
        <f>IF(OR(AD720=0,AD720=""),"",AD720)</f>
        <v/>
      </c>
      <c r="T451" s="657"/>
      <c r="U451" s="657"/>
      <c r="V451" s="657"/>
      <c r="W451" s="657"/>
      <c r="X451" s="657"/>
      <c r="Y451" s="658"/>
    </row>
    <row r="452" spans="1:25" ht="14.1" customHeight="1">
      <c r="A452" s="20">
        <v>20</v>
      </c>
      <c r="O452" s="659"/>
      <c r="P452" s="660" t="s">
        <v>560</v>
      </c>
      <c r="Q452" s="661"/>
      <c r="R452" s="662">
        <f>LEN(Q451)</f>
        <v>0</v>
      </c>
      <c r="S452" s="663"/>
      <c r="T452" s="664">
        <f>LEN(S451)</f>
        <v>0</v>
      </c>
      <c r="U452" s="665"/>
      <c r="V452" s="666"/>
      <c r="W452" s="666"/>
      <c r="X452" s="666"/>
      <c r="Y452" s="667"/>
    </row>
    <row r="453" spans="1:25" ht="14.1" customHeight="1">
      <c r="A453" s="20">
        <v>21</v>
      </c>
      <c r="O453" s="659"/>
      <c r="P453" s="653" t="s">
        <v>561</v>
      </c>
      <c r="Q453" s="654"/>
      <c r="R453" s="655"/>
      <c r="S453" s="656" t="str">
        <f>IF(OR(AD722=0,AD722=""),"",AD722)</f>
        <v/>
      </c>
      <c r="T453" s="657"/>
      <c r="U453" s="657"/>
      <c r="V453" s="657"/>
      <c r="W453" s="657"/>
      <c r="X453" s="657"/>
      <c r="Y453" s="658"/>
    </row>
    <row r="454" spans="1:25" ht="14.1" customHeight="1">
      <c r="A454" s="20">
        <v>22</v>
      </c>
      <c r="O454" s="659"/>
      <c r="P454" s="660" t="s">
        <v>560</v>
      </c>
      <c r="Q454" s="661"/>
      <c r="R454" s="662">
        <f>LEN(Q453)</f>
        <v>0</v>
      </c>
      <c r="S454" s="663"/>
      <c r="T454" s="664">
        <f>LEN(S453)</f>
        <v>0</v>
      </c>
      <c r="U454" s="665"/>
      <c r="V454" s="657"/>
      <c r="W454" s="657"/>
      <c r="X454" s="657"/>
      <c r="Y454" s="658"/>
    </row>
    <row r="455" spans="1:25" ht="14.1" customHeight="1">
      <c r="A455" s="20">
        <v>23</v>
      </c>
      <c r="O455" s="668"/>
      <c r="P455" s="653" t="s">
        <v>561</v>
      </c>
      <c r="Q455" s="654"/>
      <c r="R455" s="655"/>
      <c r="S455" s="656" t="str">
        <f>IF(OR(AD724=0,AD724=""),"",AD724)</f>
        <v/>
      </c>
      <c r="T455" s="666"/>
      <c r="U455" s="666"/>
      <c r="V455" s="666"/>
      <c r="W455" s="666"/>
      <c r="X455" s="666"/>
      <c r="Y455" s="667"/>
    </row>
    <row r="456" spans="1:25" ht="14.1" customHeight="1">
      <c r="A456" s="20">
        <v>24</v>
      </c>
      <c r="O456" s="659"/>
      <c r="P456" s="660" t="s">
        <v>560</v>
      </c>
      <c r="Q456" s="661"/>
      <c r="R456" s="662">
        <f>LEN(Q455)</f>
        <v>0</v>
      </c>
      <c r="S456" s="663"/>
      <c r="T456" s="664">
        <f>LEN(S455)</f>
        <v>0</v>
      </c>
      <c r="U456" s="665"/>
      <c r="V456" s="657"/>
      <c r="W456" s="657"/>
      <c r="X456" s="657"/>
      <c r="Y456" s="658"/>
    </row>
    <row r="457" spans="1:25" ht="14.1" customHeight="1">
      <c r="A457" s="20">
        <v>25</v>
      </c>
      <c r="O457" s="659"/>
      <c r="P457" s="653" t="s">
        <v>561</v>
      </c>
      <c r="Q457" s="654"/>
      <c r="R457" s="655"/>
      <c r="S457" s="656" t="str">
        <f>IF(OR(AD726=0,AD726=""),"",AD726)</f>
        <v/>
      </c>
      <c r="T457" s="657"/>
      <c r="U457" s="657"/>
      <c r="V457" s="657"/>
      <c r="W457" s="657"/>
      <c r="X457" s="657"/>
      <c r="Y457" s="658"/>
    </row>
    <row r="458" spans="1:25" ht="14.1" customHeight="1">
      <c r="A458" s="20">
        <v>26</v>
      </c>
      <c r="O458" s="668"/>
      <c r="P458" s="660" t="s">
        <v>560</v>
      </c>
      <c r="Q458" s="661"/>
      <c r="R458" s="662">
        <f>LEN(Q457)</f>
        <v>0</v>
      </c>
      <c r="S458" s="663"/>
      <c r="T458" s="664">
        <f>LEN(S457)</f>
        <v>0</v>
      </c>
      <c r="U458" s="665"/>
      <c r="V458" s="666"/>
      <c r="W458" s="666"/>
      <c r="X458" s="666"/>
      <c r="Y458" s="667"/>
    </row>
    <row r="459" spans="1:25" ht="14.1" customHeight="1">
      <c r="A459" s="20">
        <v>27</v>
      </c>
      <c r="O459" s="659"/>
      <c r="P459" s="653" t="s">
        <v>561</v>
      </c>
      <c r="Q459" s="654"/>
      <c r="R459" s="655"/>
      <c r="S459" s="656" t="str">
        <f>IF(OR(AD728=0,AD728=""),"",AD728)</f>
        <v/>
      </c>
      <c r="T459" s="657"/>
      <c r="U459" s="657"/>
      <c r="V459" s="657"/>
      <c r="W459" s="657"/>
      <c r="X459" s="657"/>
      <c r="Y459" s="658"/>
    </row>
    <row r="460" spans="1:25" ht="14.1" customHeight="1">
      <c r="A460" s="20">
        <v>28</v>
      </c>
      <c r="O460" s="659"/>
      <c r="P460" s="660" t="s">
        <v>560</v>
      </c>
      <c r="Q460" s="661"/>
      <c r="R460" s="662">
        <f>LEN(Q459)</f>
        <v>0</v>
      </c>
      <c r="S460" s="663"/>
      <c r="T460" s="664">
        <f>LEN(S459)</f>
        <v>0</v>
      </c>
      <c r="U460" s="665"/>
      <c r="V460" s="657"/>
      <c r="W460" s="657"/>
      <c r="X460" s="657"/>
      <c r="Y460" s="658"/>
    </row>
    <row r="461" spans="1:25" ht="14.1" customHeight="1">
      <c r="A461" s="20">
        <v>29</v>
      </c>
      <c r="O461" s="668"/>
      <c r="P461" s="653" t="s">
        <v>561</v>
      </c>
      <c r="Q461" s="654"/>
      <c r="R461" s="655"/>
      <c r="S461" s="656" t="str">
        <f>IF(OR(AD730=0,AD730=""),"",AD730)</f>
        <v/>
      </c>
      <c r="T461" s="666"/>
      <c r="U461" s="666"/>
      <c r="V461" s="666"/>
      <c r="W461" s="666"/>
      <c r="X461" s="666"/>
      <c r="Y461" s="667"/>
    </row>
    <row r="462" spans="1:25" ht="14.1" customHeight="1">
      <c r="A462" s="20">
        <v>30</v>
      </c>
      <c r="O462" s="659"/>
      <c r="P462" s="660" t="s">
        <v>560</v>
      </c>
      <c r="Q462" s="669"/>
      <c r="R462" s="670">
        <f>LEN(Q461)</f>
        <v>0</v>
      </c>
      <c r="S462" s="671"/>
      <c r="T462" s="672">
        <f>LEN(S461)</f>
        <v>0</v>
      </c>
      <c r="U462" s="673"/>
      <c r="V462" s="674"/>
      <c r="W462" s="674"/>
      <c r="X462" s="674"/>
      <c r="Y462" s="658"/>
    </row>
    <row r="463" spans="1:25" ht="14.1" customHeight="1">
      <c r="A463" s="20">
        <v>31</v>
      </c>
      <c r="O463" s="659"/>
      <c r="P463" s="653" t="s">
        <v>561</v>
      </c>
      <c r="Q463" s="654"/>
      <c r="R463" s="655"/>
      <c r="S463" s="656" t="str">
        <f>IF(OR(AD732=0,AD732=""),"",AD732)</f>
        <v/>
      </c>
      <c r="T463" s="666"/>
      <c r="U463" s="666"/>
      <c r="V463" s="666"/>
      <c r="W463" s="666"/>
      <c r="X463" s="666"/>
      <c r="Y463" s="658"/>
    </row>
    <row r="464" spans="1:25" ht="14.1" customHeight="1">
      <c r="A464" s="20">
        <v>32</v>
      </c>
      <c r="O464" s="668"/>
      <c r="P464" s="660" t="s">
        <v>560</v>
      </c>
      <c r="Q464" s="669"/>
      <c r="R464" s="670">
        <f>LEN(Q463)</f>
        <v>0</v>
      </c>
      <c r="S464" s="671"/>
      <c r="T464" s="672">
        <f>LEN(S463)</f>
        <v>0</v>
      </c>
      <c r="U464" s="673"/>
      <c r="V464" s="674"/>
      <c r="W464" s="674"/>
      <c r="X464" s="674"/>
      <c r="Y464" s="667"/>
    </row>
    <row r="465" spans="1:25" ht="14.1" customHeight="1">
      <c r="A465" s="20">
        <v>33</v>
      </c>
      <c r="O465" s="659"/>
      <c r="P465" s="653" t="s">
        <v>561</v>
      </c>
      <c r="Q465" s="654"/>
      <c r="R465" s="655"/>
      <c r="S465" s="656" t="str">
        <f>IF(OR(AD734=0,AD734=""),"",AD734)</f>
        <v/>
      </c>
      <c r="T465" s="666"/>
      <c r="U465" s="666"/>
      <c r="V465" s="666"/>
      <c r="W465" s="666"/>
      <c r="X465" s="666"/>
      <c r="Y465" s="658"/>
    </row>
    <row r="466" spans="1:25" ht="14.1" customHeight="1">
      <c r="A466" s="20">
        <v>34</v>
      </c>
      <c r="O466" s="659"/>
      <c r="P466" s="660" t="s">
        <v>560</v>
      </c>
      <c r="Q466" s="669"/>
      <c r="R466" s="670">
        <f>LEN(Q465)</f>
        <v>0</v>
      </c>
      <c r="S466" s="671"/>
      <c r="T466" s="672">
        <f>LEN(S465)</f>
        <v>0</v>
      </c>
      <c r="U466" s="673"/>
      <c r="V466" s="674"/>
      <c r="W466" s="674"/>
      <c r="X466" s="674"/>
      <c r="Y466" s="658"/>
    </row>
    <row r="467" spans="1:25" ht="14.1" customHeight="1">
      <c r="A467" s="20">
        <v>35</v>
      </c>
      <c r="O467" s="668"/>
      <c r="P467" s="653"/>
      <c r="Q467" s="677"/>
      <c r="R467" s="678"/>
      <c r="S467" s="679"/>
      <c r="T467" s="680"/>
      <c r="U467" s="680"/>
      <c r="V467" s="680"/>
      <c r="W467" s="680"/>
      <c r="X467" s="680"/>
      <c r="Y467" s="667"/>
    </row>
    <row r="468" spans="1:25" ht="14.1" customHeight="1">
      <c r="A468" s="20">
        <v>36</v>
      </c>
      <c r="O468" s="659"/>
      <c r="P468" s="660"/>
      <c r="Q468" s="683"/>
      <c r="R468" s="684"/>
      <c r="S468" s="684"/>
      <c r="T468" s="684"/>
      <c r="U468" s="685"/>
      <c r="V468" s="686"/>
      <c r="W468" s="686"/>
      <c r="X468" s="686"/>
      <c r="Y468" s="658"/>
    </row>
    <row r="469" spans="1:25" ht="14.1" customHeight="1">
      <c r="A469" s="20">
        <v>37</v>
      </c>
      <c r="O469" s="659"/>
      <c r="P469" s="687"/>
      <c r="Q469" s="688"/>
      <c r="R469" s="689"/>
      <c r="S469" s="690"/>
      <c r="T469" s="674"/>
      <c r="U469" s="674"/>
      <c r="V469" s="674"/>
      <c r="W469" s="674"/>
      <c r="X469" s="674"/>
      <c r="Y469" s="658"/>
    </row>
    <row r="470" spans="1:25" ht="14.1" customHeight="1">
      <c r="A470" s="20">
        <v>38</v>
      </c>
      <c r="O470" s="668"/>
      <c r="P470" s="692"/>
      <c r="Q470" s="692"/>
      <c r="R470" s="678"/>
      <c r="S470" s="680"/>
      <c r="T470" s="680"/>
      <c r="U470" s="680"/>
      <c r="V470" s="680"/>
      <c r="W470" s="680"/>
      <c r="X470" s="680"/>
      <c r="Y470" s="667"/>
    </row>
    <row r="471" spans="1:25" ht="14.1" customHeight="1">
      <c r="A471" s="20">
        <v>39</v>
      </c>
      <c r="O471" s="659"/>
      <c r="P471" s="692"/>
      <c r="Q471" s="692"/>
      <c r="R471" s="678"/>
      <c r="S471" s="686"/>
      <c r="T471" s="686"/>
      <c r="U471" s="686"/>
      <c r="V471" s="686"/>
      <c r="W471" s="686"/>
      <c r="X471" s="686"/>
      <c r="Y471" s="658"/>
    </row>
    <row r="472" spans="1:25" ht="14.1" customHeight="1">
      <c r="A472" s="20">
        <v>40</v>
      </c>
      <c r="O472" s="659"/>
      <c r="P472" s="692"/>
      <c r="Q472" s="692"/>
      <c r="R472" s="678"/>
      <c r="S472" s="686"/>
      <c r="T472" s="686"/>
      <c r="U472" s="686"/>
      <c r="V472" s="686"/>
      <c r="W472" s="686"/>
      <c r="X472" s="686"/>
      <c r="Y472" s="658"/>
    </row>
    <row r="473" spans="1:25" ht="14.1" customHeight="1">
      <c r="A473" s="20">
        <v>41</v>
      </c>
      <c r="O473" s="668"/>
      <c r="P473" s="692"/>
      <c r="Q473" s="692"/>
      <c r="R473" s="678"/>
      <c r="S473" s="694"/>
      <c r="T473" s="680"/>
      <c r="U473" s="680"/>
      <c r="V473" s="686"/>
      <c r="W473" s="686"/>
      <c r="X473" s="686"/>
      <c r="Y473" s="667"/>
    </row>
    <row r="474" spans="1:25" ht="14.1" customHeight="1">
      <c r="A474" s="20">
        <v>42</v>
      </c>
      <c r="O474" s="659"/>
      <c r="P474" s="692"/>
      <c r="Q474" s="692"/>
      <c r="R474" s="678"/>
      <c r="S474" s="686"/>
      <c r="T474" s="678"/>
      <c r="U474" s="686"/>
      <c r="V474" s="678"/>
      <c r="W474" s="686"/>
      <c r="X474" s="686"/>
      <c r="Y474" s="658"/>
    </row>
    <row r="475" spans="1:25" ht="14.1" customHeight="1">
      <c r="A475" s="20">
        <v>43</v>
      </c>
      <c r="O475" s="659"/>
      <c r="P475" s="692"/>
      <c r="Q475" s="692"/>
      <c r="R475" s="678"/>
      <c r="S475" s="686"/>
      <c r="T475" s="678"/>
      <c r="U475" s="686"/>
      <c r="V475" s="678"/>
      <c r="W475" s="686"/>
      <c r="X475" s="686"/>
      <c r="Y475" s="658"/>
    </row>
    <row r="476" spans="1:25" ht="14.1" customHeight="1">
      <c r="A476" s="20">
        <v>44</v>
      </c>
      <c r="O476" s="668"/>
      <c r="P476" s="692"/>
      <c r="Q476" s="692"/>
      <c r="R476" s="678"/>
      <c r="S476" s="686"/>
      <c r="T476" s="678"/>
      <c r="U476" s="686"/>
      <c r="V476" s="678"/>
      <c r="W476" s="686"/>
      <c r="X476" s="686"/>
      <c r="Y476" s="667"/>
    </row>
    <row r="477" spans="1:25" ht="14.1" customHeight="1" thickBot="1">
      <c r="A477" s="20">
        <v>45</v>
      </c>
      <c r="O477" s="695"/>
      <c r="P477" s="696"/>
      <c r="Q477" s="697"/>
      <c r="R477" s="698"/>
      <c r="S477" s="696"/>
      <c r="T477" s="696"/>
      <c r="U477" s="696"/>
      <c r="V477" s="696"/>
      <c r="W477" s="696"/>
      <c r="X477" s="696"/>
      <c r="Y477" s="699"/>
    </row>
    <row r="478" spans="1:25" ht="14.1" customHeight="1" thickTop="1">
      <c r="A478" s="20">
        <v>46</v>
      </c>
      <c r="C478" s="675" t="s">
        <v>224</v>
      </c>
      <c r="D478" s="587" t="str">
        <f>IF(Q451="","",IF(LEN(Q451)&lt;=135,Q451,IF(LEN(Q451)&lt;=260,LEFT(Q451,SEARCH(" ",Q451,125)),LEFT(Q451,SEARCH(" ",Q451,130)))))</f>
        <v/>
      </c>
      <c r="E478" s="676"/>
      <c r="F478" s="676"/>
      <c r="G478" s="676"/>
      <c r="H478" s="676"/>
      <c r="I478" s="676"/>
      <c r="J478" s="676"/>
      <c r="K478" s="676"/>
      <c r="L478" s="676"/>
    </row>
    <row r="479" spans="1:25" ht="14.1" customHeight="1">
      <c r="A479" s="20">
        <v>47</v>
      </c>
      <c r="C479" s="681"/>
      <c r="D479" s="588" t="str">
        <f>IF(LEN(Q451)&lt;=135,"",IF(LEN(Q451)&lt;=260,RIGHT(Q451,LEN(Q451)-SEARCH(" ",Q451,125)),MID(Q451,SEARCH(" ",Q451,130),IF(LEN(Q451)&lt;=265,LEN(Q451),SEARCH(" ",Q451,255)-SEARCH(" ",Q451,130)))))</f>
        <v/>
      </c>
      <c r="E479" s="682"/>
      <c r="F479" s="682"/>
      <c r="G479" s="682"/>
      <c r="H479" s="682"/>
      <c r="I479" s="682"/>
      <c r="J479" s="682"/>
      <c r="K479" s="682"/>
      <c r="L479" s="682"/>
    </row>
    <row r="480" spans="1:25" ht="14.1" customHeight="1">
      <c r="A480" s="20">
        <v>48</v>
      </c>
      <c r="C480" s="681"/>
      <c r="D480" s="588" t="str">
        <f>IF(LEN(Q451)&lt;=265,"",RIGHT(Q451,LEN(Q451)-SEARCH(" ",Q451,255)))</f>
        <v/>
      </c>
      <c r="E480" s="682"/>
      <c r="F480" s="682"/>
      <c r="G480" s="682"/>
      <c r="H480" s="682"/>
      <c r="I480" s="682"/>
      <c r="J480" s="682"/>
      <c r="K480" s="682"/>
      <c r="L480" s="682"/>
    </row>
    <row r="481" spans="1:12" ht="14.1" customHeight="1">
      <c r="A481" s="20">
        <v>49</v>
      </c>
      <c r="C481" s="691"/>
      <c r="D481" s="588" t="str">
        <f>IF(Q453="","",IF(LEN(Q453)&lt;=135,Q453,IF(LEN(Q453)&lt;=260,LEFT(Q453,SEARCH(" ",Q453,125)),LEFT(Q453,SEARCH(" ",Q453,130)))))</f>
        <v/>
      </c>
      <c r="E481" s="682"/>
      <c r="F481" s="682"/>
      <c r="G481" s="682"/>
      <c r="H481" s="682"/>
      <c r="I481" s="682"/>
      <c r="J481" s="682"/>
      <c r="K481" s="682"/>
      <c r="L481" s="682"/>
    </row>
    <row r="482" spans="1:12" ht="14.1" customHeight="1">
      <c r="A482" s="20">
        <v>50</v>
      </c>
      <c r="C482" s="691"/>
      <c r="D482" s="588" t="str">
        <f>IF(LEN(Q453)&lt;=135,"",IF(LEN(Q453)&lt;=260,RIGHT(Q453,LEN(Q453)-SEARCH(" ",Q453,125)),MID(Q453,SEARCH(" ",Q453,130),IF(LEN(Q453)&lt;=265,LEN(Q453),SEARCH(" ",Q453,255)-SEARCH(" ",Q453,130)))))</f>
        <v/>
      </c>
      <c r="E482" s="682"/>
      <c r="F482" s="682"/>
      <c r="G482" s="682"/>
      <c r="H482" s="682"/>
      <c r="I482" s="682"/>
      <c r="J482" s="682"/>
      <c r="K482" s="682"/>
      <c r="L482" s="682"/>
    </row>
    <row r="483" spans="1:12" ht="14.1" customHeight="1">
      <c r="A483" s="20">
        <v>51</v>
      </c>
      <c r="C483" s="691"/>
      <c r="D483" s="588" t="str">
        <f>IF(LEN(Q453)&lt;=265,"",RIGHT(Q453,LEN(Q453)-SEARCH(" ",Q453,255)))</f>
        <v/>
      </c>
      <c r="E483" s="682"/>
      <c r="F483" s="682"/>
      <c r="G483" s="682"/>
      <c r="H483" s="682"/>
      <c r="I483" s="682"/>
      <c r="J483" s="682"/>
      <c r="K483" s="682"/>
      <c r="L483" s="682"/>
    </row>
    <row r="484" spans="1:12" ht="14.1" customHeight="1">
      <c r="A484" s="20">
        <v>52</v>
      </c>
      <c r="C484" s="693"/>
      <c r="D484" s="588" t="str">
        <f>IF(Q455="","",IF(LEN(Q455)&lt;=135,Q455,IF(LEN(Q455)&lt;=260,LEFT(Q455,SEARCH(" ",Q455,125)),LEFT(Q455,SEARCH(" ",Q455,130)))))</f>
        <v/>
      </c>
      <c r="E484" s="682"/>
      <c r="F484" s="682"/>
      <c r="G484" s="682"/>
      <c r="H484" s="682"/>
      <c r="I484" s="682"/>
      <c r="J484" s="682"/>
      <c r="K484" s="682"/>
      <c r="L484" s="682"/>
    </row>
    <row r="485" spans="1:12" ht="14.1" customHeight="1">
      <c r="A485" s="20">
        <v>53</v>
      </c>
      <c r="C485" s="693"/>
      <c r="D485" s="588" t="str">
        <f>IF(LEN(Q455)&lt;=135,"",IF(LEN(Q455)&lt;=260,RIGHT(Q455,LEN(Q455)-SEARCH(" ",Q455,125)),MID(Q455,SEARCH(" ",Q455,130),IF(LEN(Q455)&lt;=265,LEN(Q455),SEARCH(" ",Q455,255)-SEARCH(" ",Q455,130)))))</f>
        <v/>
      </c>
      <c r="E485" s="682"/>
      <c r="F485" s="682"/>
      <c r="G485" s="682"/>
      <c r="H485" s="682"/>
      <c r="I485" s="682"/>
      <c r="J485" s="682"/>
      <c r="K485" s="682"/>
      <c r="L485" s="682"/>
    </row>
    <row r="486" spans="1:12" ht="14.1" customHeight="1">
      <c r="A486" s="20">
        <v>54</v>
      </c>
      <c r="C486" s="693"/>
      <c r="D486" s="588" t="str">
        <f>IF(LEN(Q455)&lt;=265,"",RIGHT(Q455,LEN(Q455)-SEARCH(" ",Q455,255)))</f>
        <v/>
      </c>
      <c r="E486" s="682"/>
      <c r="F486" s="682"/>
      <c r="G486" s="682"/>
      <c r="H486" s="682"/>
      <c r="I486" s="682"/>
      <c r="J486" s="682"/>
      <c r="K486" s="682"/>
      <c r="L486" s="682"/>
    </row>
    <row r="487" spans="1:12" ht="14.1" customHeight="1">
      <c r="A487" s="20">
        <v>55</v>
      </c>
      <c r="C487" s="653"/>
      <c r="D487" s="588" t="str">
        <f>IF(Q457="","",IF(LEN(Q457)&lt;=135,Q457,IF(LEN(Q457)&lt;=260,LEFT(Q457,SEARCH(" ",Q457,125)),LEFT(Q457,SEARCH(" ",Q457,130)))))</f>
        <v/>
      </c>
      <c r="E487" s="682"/>
      <c r="F487" s="682"/>
      <c r="G487" s="682"/>
      <c r="H487" s="682"/>
      <c r="I487" s="682"/>
      <c r="J487" s="682"/>
      <c r="K487" s="682"/>
      <c r="L487" s="682"/>
    </row>
    <row r="488" spans="1:12" ht="14.1" customHeight="1">
      <c r="A488" s="20">
        <v>56</v>
      </c>
      <c r="C488" s="681"/>
      <c r="D488" s="588" t="str">
        <f>IF(LEN(Q457)&lt;=135,"",IF(LEN(Q457)&lt;=260,RIGHT(Q457,LEN(Q457)-SEARCH(" ",Q457,125)),MID(Q457,SEARCH(" ",Q457,130),IF(LEN(Q457)&lt;=265,LEN(Q457),SEARCH(" ",Q457,255)-SEARCH(" ",Q457,130)))))</f>
        <v/>
      </c>
      <c r="E488" s="682"/>
      <c r="F488" s="682"/>
      <c r="G488" s="682"/>
      <c r="H488" s="682"/>
      <c r="I488" s="682"/>
      <c r="J488" s="682"/>
      <c r="K488" s="682"/>
      <c r="L488" s="682"/>
    </row>
    <row r="489" spans="1:12" ht="14.1" customHeight="1">
      <c r="A489" s="20">
        <v>57</v>
      </c>
      <c r="C489" s="681"/>
      <c r="D489" s="588" t="str">
        <f>IF(LEN(Q457)&lt;=265,"",RIGHT(Q457,LEN(Q457)-SEARCH(" ",Q457,255)))</f>
        <v/>
      </c>
      <c r="E489" s="682"/>
      <c r="F489" s="682"/>
      <c r="G489" s="682"/>
      <c r="H489" s="682"/>
      <c r="I489" s="682"/>
      <c r="J489" s="682"/>
      <c r="K489" s="682"/>
      <c r="L489" s="682"/>
    </row>
    <row r="490" spans="1:12" ht="14.1" customHeight="1">
      <c r="A490" s="20">
        <v>58</v>
      </c>
      <c r="C490" s="653"/>
      <c r="D490" s="588" t="str">
        <f>IF(Q459="","",IF(LEN(Q459)&lt;=135,Q459,IF(LEN(Q459)&lt;=260,LEFT(Q459,SEARCH(" ",Q459,125)),LEFT(Q459,SEARCH(" ",Q459,130)))))</f>
        <v/>
      </c>
      <c r="E490" s="682"/>
      <c r="F490" s="682"/>
      <c r="G490" s="682"/>
      <c r="H490" s="682"/>
      <c r="I490" s="682"/>
      <c r="J490" s="682"/>
      <c r="K490" s="682"/>
      <c r="L490" s="682"/>
    </row>
    <row r="491" spans="1:12" ht="14.1" customHeight="1">
      <c r="A491" s="20">
        <v>59</v>
      </c>
      <c r="C491" s="681"/>
      <c r="D491" s="588" t="str">
        <f>IF(LEN(Q459)&lt;=135,"",IF(LEN(Q459)&lt;=260,RIGHT(Q459,LEN(Q459)-SEARCH(" ",Q459,125)),MID(Q459,SEARCH(" ",Q459,130),IF(LEN(Q459)&lt;=265,LEN(Q459),SEARCH(" ",Q459,255)-SEARCH(" ",Q459,130)))))</f>
        <v/>
      </c>
      <c r="E491" s="682"/>
      <c r="F491" s="682"/>
      <c r="G491" s="682"/>
      <c r="H491" s="682"/>
      <c r="I491" s="682"/>
      <c r="J491" s="682"/>
      <c r="K491" s="682"/>
      <c r="L491" s="682"/>
    </row>
    <row r="492" spans="1:12" ht="14.1" customHeight="1">
      <c r="A492" s="20">
        <v>60</v>
      </c>
      <c r="C492" s="681"/>
      <c r="D492" s="588" t="str">
        <f>IF(LEN(Q459)&lt;=265,"",RIGHT(Q459,LEN(Q459)-SEARCH(" ",Q459,255)))</f>
        <v/>
      </c>
      <c r="E492" s="682"/>
      <c r="F492" s="682"/>
      <c r="G492" s="682"/>
      <c r="H492" s="682"/>
      <c r="I492" s="682"/>
      <c r="J492" s="682"/>
      <c r="K492" s="682"/>
      <c r="L492" s="682"/>
    </row>
    <row r="493" spans="1:12" ht="14.1" customHeight="1">
      <c r="A493" s="20">
        <v>61</v>
      </c>
      <c r="C493" s="653"/>
      <c r="D493" s="588" t="str">
        <f>IF(Q461="","",IF(LEN(Q461)&lt;=135,Q461,IF(LEN(Q461)&lt;=260,LEFT(Q461,SEARCH(" ",Q461,125)),LEFT(Q461,SEARCH(" ",Q461,130)))))</f>
        <v/>
      </c>
      <c r="E493" s="682"/>
      <c r="F493" s="682"/>
      <c r="G493" s="682"/>
      <c r="H493" s="682"/>
      <c r="I493" s="682"/>
      <c r="J493" s="682"/>
      <c r="K493" s="682"/>
      <c r="L493" s="682"/>
    </row>
    <row r="494" spans="1:12" ht="14.1" customHeight="1">
      <c r="A494" s="20">
        <v>62</v>
      </c>
      <c r="C494" s="681"/>
      <c r="D494" s="588" t="str">
        <f>IF(LEN(Q461)&lt;=135,"",IF(LEN(Q461)&lt;=260,RIGHT(Q461,LEN(Q461)-SEARCH(" ",Q461,125)),MID(Q461,SEARCH(" ",Q461,130),IF(LEN(Q461)&lt;=265,LEN(Q461),SEARCH(" ",Q461,255)-SEARCH(" ",Q461,130)))))</f>
        <v/>
      </c>
      <c r="E494" s="682"/>
      <c r="F494" s="682"/>
      <c r="G494" s="682"/>
      <c r="H494" s="682"/>
      <c r="I494" s="682"/>
      <c r="J494" s="682"/>
      <c r="K494" s="682"/>
      <c r="L494" s="682"/>
    </row>
    <row r="495" spans="1:12" ht="14.1" customHeight="1">
      <c r="A495" s="20">
        <v>63</v>
      </c>
      <c r="C495" s="681"/>
      <c r="D495" s="588" t="str">
        <f>IF(LEN(Q461)&lt;=265,"",RIGHT(Q461,LEN(Q461)-SEARCH(" ",Q461,255)))</f>
        <v/>
      </c>
      <c r="E495" s="682"/>
      <c r="F495" s="682"/>
      <c r="G495" s="682"/>
      <c r="H495" s="682"/>
      <c r="I495" s="682"/>
      <c r="J495" s="682"/>
      <c r="K495" s="682"/>
      <c r="L495" s="505"/>
    </row>
    <row r="496" spans="1:12" ht="14.1" customHeight="1">
      <c r="A496" s="20">
        <v>64</v>
      </c>
      <c r="C496" s="653"/>
      <c r="D496" s="588" t="str">
        <f>IF(Q463="","",IF(LEN(Q463)&lt;=135,Q463,IF(LEN(Q463)&lt;=260,LEFT(Q463,SEARCH(" ",Q463,125)),LEFT(Q463,SEARCH(" ",Q463,130)))))</f>
        <v/>
      </c>
      <c r="E496" s="682"/>
      <c r="F496" s="682"/>
      <c r="G496" s="682"/>
      <c r="H496" s="682"/>
      <c r="I496" s="682"/>
      <c r="J496" s="682"/>
      <c r="K496" s="682"/>
      <c r="L496" s="505"/>
    </row>
    <row r="497" spans="1:13" ht="14.1" customHeight="1">
      <c r="A497" s="20">
        <v>65</v>
      </c>
      <c r="C497" s="72"/>
      <c r="D497" s="588" t="str">
        <f>IF(LEN(Q463)&lt;=135,"",IF(LEN(Q463)&lt;=260,RIGHT(Q463,LEN(Q463)-SEARCH(" ",Q463,125)),MID(Q463,SEARCH(" ",Q463,130),IF(LEN(Q463)&lt;=265,LEN(Q463),SEARCH(" ",Q463,255)-SEARCH(" ",Q463,130)))))</f>
        <v/>
      </c>
      <c r="E497" s="505"/>
      <c r="F497" s="505"/>
      <c r="G497" s="505"/>
      <c r="H497" s="505"/>
      <c r="I497" s="505"/>
      <c r="J497" s="505"/>
      <c r="K497" s="505"/>
      <c r="L497" s="505"/>
    </row>
    <row r="498" spans="1:13" ht="14.1" customHeight="1">
      <c r="A498" s="20">
        <v>66</v>
      </c>
      <c r="C498" s="72"/>
      <c r="D498" s="588" t="str">
        <f>IF(LEN(Q463)&lt;=265,"",RIGHT(Q463,LEN(Q463)-SEARCH(" ",Q463,255)))</f>
        <v/>
      </c>
      <c r="E498" s="505"/>
      <c r="F498" s="505"/>
      <c r="G498" s="505"/>
      <c r="H498" s="505"/>
      <c r="I498" s="505"/>
      <c r="J498" s="505"/>
      <c r="K498" s="505"/>
      <c r="L498" s="505"/>
    </row>
    <row r="499" spans="1:13" ht="14.1" customHeight="1">
      <c r="A499" s="20">
        <v>67</v>
      </c>
      <c r="C499" s="72"/>
      <c r="D499" s="588" t="str">
        <f>IF(Q465="","",IF(LEN(Q465)&lt;=135,Q465,IF(LEN(Q465)&lt;=260,LEFT(Q465,SEARCH(" ",Q465,125)),LEFT(Q465,SEARCH(" ",Q465,130)))))</f>
        <v/>
      </c>
      <c r="E499" s="505"/>
      <c r="F499" s="505"/>
      <c r="G499" s="505"/>
      <c r="H499" s="505"/>
      <c r="I499" s="505"/>
      <c r="J499" s="505"/>
      <c r="K499" s="505"/>
      <c r="L499" s="505"/>
    </row>
    <row r="500" spans="1:13" ht="14.1" customHeight="1">
      <c r="A500" s="20">
        <v>68</v>
      </c>
      <c r="C500" s="681"/>
      <c r="D500" s="588" t="str">
        <f>IF(LEN(Q465)&lt;=135,"",IF(LEN(Q465)&lt;=260,RIGHT(Q465,LEN(Q465)-SEARCH(" ",Q465,125)),MID(Q465,SEARCH(" ",Q465,130),IF(LEN(Q465)&lt;=265,LEN(Q465),SEARCH(" ",Q465,255)-SEARCH(" ",Q465,130)))))</f>
        <v/>
      </c>
      <c r="E500" s="682"/>
      <c r="F500" s="682"/>
      <c r="G500" s="682"/>
      <c r="H500" s="682"/>
      <c r="I500" s="682"/>
      <c r="J500" s="682"/>
      <c r="K500" s="682"/>
      <c r="L500" s="700"/>
    </row>
    <row r="501" spans="1:13" ht="14.1" customHeight="1">
      <c r="A501" s="20">
        <v>69</v>
      </c>
      <c r="C501" s="72"/>
      <c r="D501" s="588" t="str">
        <f>IF(LEN(Q465)&lt;=265,"",RIGHT(Q465,LEN(Q465)-SEARCH(" ",Q465,255)))</f>
        <v/>
      </c>
      <c r="E501" s="505"/>
      <c r="F501" s="505"/>
      <c r="G501" s="505"/>
      <c r="H501" s="505"/>
      <c r="I501" s="505"/>
      <c r="J501" s="505"/>
      <c r="K501" s="505"/>
      <c r="L501" s="505"/>
    </row>
    <row r="502" spans="1:13" ht="14.1" customHeight="1">
      <c r="A502" s="20">
        <v>70</v>
      </c>
    </row>
    <row r="503" spans="1:13" ht="14.1" customHeight="1">
      <c r="A503" s="20">
        <v>71</v>
      </c>
      <c r="C503" s="113" t="s">
        <v>11</v>
      </c>
      <c r="D503" s="386" t="str">
        <f>IF($P$7="","",$P$7)</f>
        <v/>
      </c>
      <c r="E503" s="30"/>
      <c r="F503" s="30"/>
      <c r="G503" s="30"/>
      <c r="H503" s="30"/>
      <c r="I503" s="30"/>
      <c r="J503" s="30"/>
      <c r="K503" s="30"/>
      <c r="L503" s="113" t="s">
        <v>12</v>
      </c>
      <c r="M503" s="387" t="str">
        <f>IF($X$7="","",$X$7)</f>
        <v>Eugene Mah</v>
      </c>
    </row>
    <row r="504" spans="1:13" ht="14.1" customHeight="1">
      <c r="A504" s="20">
        <v>72</v>
      </c>
      <c r="C504" s="113" t="s">
        <v>121</v>
      </c>
      <c r="D504" s="387" t="str">
        <f>IF($R$14="","",$R$14)</f>
        <v/>
      </c>
      <c r="E504" s="30"/>
      <c r="F504" s="30"/>
      <c r="G504" s="30"/>
      <c r="H504" s="30"/>
      <c r="I504" s="30"/>
      <c r="J504" s="30"/>
      <c r="K504" s="30"/>
      <c r="L504" s="113" t="s">
        <v>37</v>
      </c>
      <c r="M504" s="387" t="str">
        <f>IF($R$13="","",$R$13)</f>
        <v/>
      </c>
    </row>
  </sheetData>
  <mergeCells count="60">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F10:G10"/>
    <mergeCell ref="K10:L10"/>
    <mergeCell ref="F11:G11"/>
    <mergeCell ref="K11:L11"/>
    <mergeCell ref="F12:G12"/>
    <mergeCell ref="K12:L12"/>
    <mergeCell ref="K24:L24"/>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P129:R130"/>
    <mergeCell ref="S129:U130"/>
    <mergeCell ref="V129:X130"/>
    <mergeCell ref="P173:S173"/>
    <mergeCell ref="Q182:S182"/>
    <mergeCell ref="U182:W182"/>
    <mergeCell ref="U197:W197"/>
    <mergeCell ref="U251:W251"/>
    <mergeCell ref="S344:U344"/>
    <mergeCell ref="Q197:S197"/>
    <mergeCell ref="P317:R317"/>
    <mergeCell ref="S317:U317"/>
    <mergeCell ref="V317:X317"/>
    <mergeCell ref="S289:T289"/>
  </mergeCells>
  <conditionalFormatting sqref="Q266:S266">
    <cfRule type="cellIs" dxfId="61" priority="81" stopIfTrue="1" operator="equal">
      <formula>"Fail"</formula>
    </cfRule>
  </conditionalFormatting>
  <conditionalFormatting sqref="Q367">
    <cfRule type="cellIs" dxfId="60" priority="83" stopIfTrue="1" operator="equal">
      <formula>"Fail"</formula>
    </cfRule>
  </conditionalFormatting>
  <conditionalFormatting sqref="Q382">
    <cfRule type="cellIs" dxfId="59" priority="85" stopIfTrue="1" operator="equal">
      <formula>"Fail"</formula>
    </cfRule>
  </conditionalFormatting>
  <conditionalFormatting sqref="Q266:S266">
    <cfRule type="cellIs" dxfId="58" priority="80" stopIfTrue="1" operator="equal">
      <formula>"Pass"</formula>
    </cfRule>
  </conditionalFormatting>
  <conditionalFormatting sqref="Q367">
    <cfRule type="cellIs" dxfId="57" priority="82" stopIfTrue="1" operator="equal">
      <formula>"Pass"</formula>
    </cfRule>
  </conditionalFormatting>
  <conditionalFormatting sqref="Q382">
    <cfRule type="cellIs" dxfId="56" priority="84" stopIfTrue="1" operator="equal">
      <formula>"Pass"</formula>
    </cfRule>
  </conditionalFormatting>
  <conditionalFormatting sqref="X346:X351 X353:X357 X359:X363">
    <cfRule type="cellIs" dxfId="55" priority="72" operator="lessThan">
      <formula>0.05</formula>
    </cfRule>
    <cfRule type="cellIs" dxfId="54" priority="75" operator="greaterThan">
      <formula>0.05</formula>
    </cfRule>
  </conditionalFormatting>
  <conditionalFormatting sqref="U224:U227">
    <cfRule type="cellIs" dxfId="53" priority="73" operator="lessThan">
      <formula>0.1</formula>
    </cfRule>
    <cfRule type="cellIs" dxfId="52" priority="74" operator="greaterThan">
      <formula>0.1</formula>
    </cfRule>
  </conditionalFormatting>
  <conditionalFormatting sqref="T443">
    <cfRule type="cellIs" dxfId="51" priority="70" operator="lessThan">
      <formula>2</formula>
    </cfRule>
    <cfRule type="cellIs" dxfId="50" priority="71" operator="greaterThan">
      <formula>2</formula>
    </cfRule>
  </conditionalFormatting>
  <conditionalFormatting sqref="T442">
    <cfRule type="cellIs" dxfId="49" priority="68" operator="lessThan">
      <formula>40</formula>
    </cfRule>
    <cfRule type="cellIs" dxfId="48" priority="69" operator="greaterThan">
      <formula>40</formula>
    </cfRule>
  </conditionalFormatting>
  <conditionalFormatting sqref="V442:V443">
    <cfRule type="cellIs" dxfId="47" priority="66" operator="greaterThan">
      <formula>0.15</formula>
    </cfRule>
    <cfRule type="cellIs" dxfId="46" priority="67" operator="lessThan">
      <formula>0.15</formula>
    </cfRule>
  </conditionalFormatting>
  <conditionalFormatting sqref="X243:Y243">
    <cfRule type="cellIs" dxfId="45" priority="64" operator="lessThan">
      <formula>0.15</formula>
    </cfRule>
    <cfRule type="cellIs" dxfId="44" priority="65" operator="greaterThan">
      <formula>0.15</formula>
    </cfRule>
  </conditionalFormatting>
  <conditionalFormatting sqref="P245:V245">
    <cfRule type="cellIs" dxfId="43" priority="62" operator="lessThan">
      <formula>0.05</formula>
    </cfRule>
    <cfRule type="cellIs" dxfId="42" priority="63" operator="greaterThan">
      <formula>0.05</formula>
    </cfRule>
  </conditionalFormatting>
  <conditionalFormatting sqref="X226">
    <cfRule type="cellIs" dxfId="41" priority="60" operator="lessThan">
      <formula>0.05</formula>
    </cfRule>
    <cfRule type="cellIs" dxfId="40" priority="61" operator="greaterThan">
      <formula>0.05</formula>
    </cfRule>
  </conditionalFormatting>
  <conditionalFormatting sqref="Q188:S189 U188:W189 Q203:S204 U203:W204">
    <cfRule type="cellIs" dxfId="39" priority="58" operator="lessThan">
      <formula>13</formula>
    </cfRule>
    <cfRule type="cellIs" dxfId="38" priority="59" operator="greaterThan">
      <formula>13</formula>
    </cfRule>
  </conditionalFormatting>
  <conditionalFormatting sqref="Q205:S205 U205:W205">
    <cfRule type="cellIs" dxfId="37" priority="56" operator="lessThan">
      <formula>6.5</formula>
    </cfRule>
    <cfRule type="cellIs" dxfId="36" priority="57" operator="greaterThan">
      <formula>6.5</formula>
    </cfRule>
  </conditionalFormatting>
  <conditionalFormatting sqref="Q206:S206 U206:W206">
    <cfRule type="cellIs" dxfId="35" priority="54" operator="lessThan">
      <formula>5</formula>
    </cfRule>
    <cfRule type="cellIs" dxfId="34" priority="55" operator="greaterThan">
      <formula>5</formula>
    </cfRule>
  </conditionalFormatting>
  <conditionalFormatting sqref="X271">
    <cfRule type="cellIs" dxfId="33" priority="50" operator="lessThan">
      <formula>3</formula>
    </cfRule>
    <cfRule type="cellIs" dxfId="32" priority="51" operator="greaterThan">
      <formula>3</formula>
    </cfRule>
  </conditionalFormatting>
  <conditionalFormatting sqref="X276">
    <cfRule type="cellIs" dxfId="31" priority="49" operator="between">
      <formula>-0.15</formula>
      <formula>0.15</formula>
    </cfRule>
  </conditionalFormatting>
  <conditionalFormatting sqref="P376:S376">
    <cfRule type="cellIs" dxfId="30" priority="46" operator="greaterThan">
      <formula>0.02</formula>
    </cfRule>
    <cfRule type="cellIs" dxfId="29" priority="47" operator="lessThan">
      <formula>0.02</formula>
    </cfRule>
  </conditionalFormatting>
  <conditionalFormatting sqref="Q217:R217">
    <cfRule type="containsText" dxfId="28" priority="37" operator="containsText" text="Fail">
      <formula>NOT(ISERROR(SEARCH("Fail",Q217)))</formula>
    </cfRule>
    <cfRule type="containsText" dxfId="27" priority="38" operator="containsText" text="Pass">
      <formula>NOT(ISERROR(SEARCH("Pass",Q217)))</formula>
    </cfRule>
  </conditionalFormatting>
  <conditionalFormatting sqref="V367">
    <cfRule type="cellIs" dxfId="26" priority="36" stopIfTrue="1" operator="equal">
      <formula>"Fail"</formula>
    </cfRule>
  </conditionalFormatting>
  <conditionalFormatting sqref="V367">
    <cfRule type="cellIs" dxfId="25" priority="35" stopIfTrue="1" operator="equal">
      <formula>"Pass"</formula>
    </cfRule>
  </conditionalFormatting>
  <conditionalFormatting sqref="U376:X376">
    <cfRule type="cellIs" dxfId="24" priority="33" operator="greaterThan">
      <formula>0.02</formula>
    </cfRule>
    <cfRule type="cellIs" dxfId="23" priority="34" operator="lessThan">
      <formula>0.02</formula>
    </cfRule>
  </conditionalFormatting>
  <conditionalFormatting sqref="T374">
    <cfRule type="cellIs" dxfId="22" priority="31" operator="lessThan">
      <formula>7</formula>
    </cfRule>
    <cfRule type="cellIs" dxfId="21" priority="32" operator="greaterThan">
      <formula>7</formula>
    </cfRule>
  </conditionalFormatting>
  <conditionalFormatting sqref="Y374">
    <cfRule type="cellIs" dxfId="20" priority="29" operator="lessThan">
      <formula>2</formula>
    </cfRule>
    <cfRule type="cellIs" dxfId="19" priority="30" operator="greaterThan">
      <formula>2</formula>
    </cfRule>
  </conditionalFormatting>
  <conditionalFormatting sqref="U253:W257">
    <cfRule type="cellIs" dxfId="18" priority="28" operator="greaterThan">
      <formula>0.07</formula>
    </cfRule>
  </conditionalFormatting>
  <conditionalFormatting sqref="J343">
    <cfRule type="cellIs" dxfId="17" priority="17" stopIfTrue="1" operator="equal">
      <formula>"Fail"</formula>
    </cfRule>
  </conditionalFormatting>
  <conditionalFormatting sqref="J343">
    <cfRule type="cellIs" dxfId="16" priority="16" stopIfTrue="1" operator="equal">
      <formula>"Pass"</formula>
    </cfRule>
  </conditionalFormatting>
  <conditionalFormatting sqref="E343">
    <cfRule type="cellIs" dxfId="15" priority="19" stopIfTrue="1" operator="equal">
      <formula>"Fail"</formula>
    </cfRule>
  </conditionalFormatting>
  <conditionalFormatting sqref="E343">
    <cfRule type="cellIs" dxfId="14" priority="18" stopIfTrue="1" operator="equal">
      <formula>"Pass"</formula>
    </cfRule>
  </conditionalFormatting>
  <conditionalFormatting sqref="R147:R154">
    <cfRule type="cellIs" dxfId="13" priority="14" operator="lessThan">
      <formula>0.5</formula>
    </cfRule>
    <cfRule type="cellIs" dxfId="12" priority="15" operator="greaterThan">
      <formula>0.5</formula>
    </cfRule>
  </conditionalFormatting>
  <conditionalFormatting sqref="Q260:S260">
    <cfRule type="cellIs" dxfId="11" priority="12" operator="lessThan">
      <formula>0.07</formula>
    </cfRule>
    <cfRule type="cellIs" dxfId="10" priority="13" operator="greaterThan">
      <formula>0.07</formula>
    </cfRule>
  </conditionalFormatting>
  <conditionalFormatting sqref="X352">
    <cfRule type="cellIs" dxfId="9" priority="10" operator="lessThan">
      <formula>0.05</formula>
    </cfRule>
    <cfRule type="cellIs" dxfId="8" priority="11" operator="greaterThan">
      <formula>0.05</formula>
    </cfRule>
  </conditionalFormatting>
  <conditionalFormatting sqref="X358">
    <cfRule type="cellIs" dxfId="7" priority="8" operator="lessThan">
      <formula>0.05</formula>
    </cfRule>
    <cfRule type="cellIs" dxfId="6" priority="9" operator="greaterThan">
      <formula>0.05</formula>
    </cfRule>
  </conditionalFormatting>
  <conditionalFormatting sqref="R324:R325 U324:U325 X324:X325">
    <cfRule type="containsText" dxfId="5" priority="6" operator="containsText" text="Fail">
      <formula>NOT(ISERROR(SEARCH("Fail",R324)))</formula>
    </cfRule>
  </conditionalFormatting>
  <conditionalFormatting sqref="R324:R325 U324:U325 X324:X325">
    <cfRule type="containsText" dxfId="4" priority="5" operator="containsText" text="Pass">
      <formula>NOT(ISERROR(SEARCH("Pass",R324)))</formula>
    </cfRule>
  </conditionalFormatting>
  <conditionalFormatting sqref="R291:R293">
    <cfRule type="containsText" dxfId="3" priority="3" operator="containsText" text="Fail">
      <formula>NOT(ISERROR(SEARCH("Fail",R291)))</formula>
    </cfRule>
    <cfRule type="containsText" dxfId="2" priority="4" operator="containsText" text="Pass">
      <formula>NOT(ISERROR(SEARCH("Pass",R291)))</formula>
    </cfRule>
  </conditionalFormatting>
  <conditionalFormatting sqref="V282:V284">
    <cfRule type="containsText" dxfId="1" priority="1" operator="containsText" text="Pass">
      <formula>NOT(ISERROR(SEARCH("Pass",V282)))</formula>
    </cfRule>
    <cfRule type="containsText" dxfId="0" priority="2" operator="containsText" text="Fail">
      <formula>NOT(ISERROR(SEARCH("Fail",V282)))</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X32" sqref="X32"/>
    </sheetView>
  </sheetViews>
  <sheetFormatPr defaultRowHeight="14.25"/>
  <sheetData>
    <row r="1" spans="1:23">
      <c r="A1" s="637">
        <f>Sheet1!AH10</f>
        <v>24</v>
      </c>
      <c r="B1" t="s">
        <v>25</v>
      </c>
      <c r="I1" s="637">
        <f>Sheet1!AH57</f>
        <v>28</v>
      </c>
      <c r="J1" t="s">
        <v>25</v>
      </c>
      <c r="Q1" s="637">
        <f>Sheet1!AH91</f>
        <v>28</v>
      </c>
      <c r="R1" t="s">
        <v>25</v>
      </c>
    </row>
    <row r="2" spans="1:23" ht="15" thickBot="1">
      <c r="A2" t="s">
        <v>581</v>
      </c>
      <c r="B2" t="s">
        <v>582</v>
      </c>
      <c r="C2" t="s">
        <v>583</v>
      </c>
      <c r="D2" t="s">
        <v>584</v>
      </c>
      <c r="E2" t="s">
        <v>25</v>
      </c>
      <c r="G2" t="str">
        <f>IF(E3&lt;&gt;"","HVL @ "&amp;ROUND(E3,2)&amp;" kVp","HVL @ "&amp;A1&amp;" kVp")</f>
        <v>HVL @ 24 kVp</v>
      </c>
      <c r="I2" t="s">
        <v>581</v>
      </c>
      <c r="J2" t="s">
        <v>582</v>
      </c>
      <c r="K2" t="s">
        <v>583</v>
      </c>
      <c r="L2" t="s">
        <v>584</v>
      </c>
      <c r="M2" t="s">
        <v>25</v>
      </c>
      <c r="O2" t="str">
        <f>IF(M3&lt;&gt;"","HVL @ "&amp;ROUND(M3,2)&amp;" kVp","HVL @ "&amp;I1&amp;" kVp")</f>
        <v>HVL @ 28 kVp</v>
      </c>
      <c r="Q2" t="s">
        <v>581</v>
      </c>
      <c r="R2" t="s">
        <v>582</v>
      </c>
      <c r="S2" t="s">
        <v>583</v>
      </c>
      <c r="T2" t="s">
        <v>584</v>
      </c>
      <c r="U2" t="s">
        <v>25</v>
      </c>
      <c r="W2" t="str">
        <f>IF(U3&lt;&gt;"","HVL @ "&amp;ROUND(U3,2)&amp;" kVp","HVL @ "&amp;Q1&amp;" kVp")</f>
        <v>HVL @ 28 kVp</v>
      </c>
    </row>
    <row r="3" spans="1:23" ht="15" thickBot="1">
      <c r="A3" s="635">
        <f>Sheet1!AJ10</f>
        <v>0</v>
      </c>
      <c r="B3" s="635" t="str">
        <f>IF(MIN(Sheet1!AO10:AO11)=0,"",AVERAGE(Sheet1!AO10:AO11))</f>
        <v/>
      </c>
      <c r="C3" s="635" t="str">
        <f>IF(B3="","",ABS(B3-B3/2))</f>
        <v/>
      </c>
      <c r="D3" s="635" t="str">
        <f>IF(OR(B3="",B4=""),"",IF(ABS(B3-B3/2)=SMALL(C3:C6,1),A3,IF(ABS(B4-B3/2)=SMALL(C3:C6,1),A4,IF(ABS(B5-B3/2)=SMALL(C3:C6,1),A5,IF(ABS(B6-B3/2)=SMALL(C3:C6,1),A6,"")))))</f>
        <v/>
      </c>
      <c r="E3" s="635" t="str">
        <f>IF(OR(Sheet1!AO10="",Sheet1!AO11=""),"",AVERAGE(Sheet1!AO10:AO11))</f>
        <v/>
      </c>
      <c r="G3" s="636" t="str">
        <f>IF(OR(MIN(D3:D4)=0,MIN(D7:D8)=0),"",TREND(D3:D4,E7:E8,LN(B3/2)))</f>
        <v/>
      </c>
      <c r="I3" s="635">
        <f>Sheet1!AJ57</f>
        <v>0</v>
      </c>
      <c r="J3" s="635" t="str">
        <f>IF(MIN(Sheet1!AO57:AO58)=0,"",AVERAGE(Sheet1!AO57:AO58))</f>
        <v/>
      </c>
      <c r="K3" s="635" t="str">
        <f>IF(J3="","",ABS(J3-J3/2))</f>
        <v/>
      </c>
      <c r="L3" s="635" t="str">
        <f>IF(OR(J3="",J4=""),"",IF(ABS(J3-J3/2)=SMALL(K3:K6,1),I3,IF(ABS(J4-J3/2)=SMALL(K3:K6,1),I4,IF(ABS(J5-J3/2)=SMALL(K3:K6,1),I5,IF(ABS(J6-J3/2)=SMALL(K3:K6,1),I6,"")))))</f>
        <v/>
      </c>
      <c r="M3" s="635" t="str">
        <f>IF(OR(Sheet1!AO57="",Sheet1!AO58=""),"",AVERAGE(Sheet1!AO57:AO58))</f>
        <v/>
      </c>
      <c r="O3" s="636" t="str">
        <f>IF(OR(MIN(L3:L4)=0,MIN(L7:L8)=0),"",TREND(L3:L4,M7:M8,LN(J3/2)))</f>
        <v/>
      </c>
      <c r="Q3" s="635">
        <f>Sheet1!AJ91</f>
        <v>0</v>
      </c>
      <c r="R3" s="635" t="str">
        <f>IF(MIN(Sheet1!AO91:AO94)=0,"",AVERAGE(Sheet1!AO91:AO94))</f>
        <v/>
      </c>
      <c r="S3" s="635" t="str">
        <f>IF(R3="","",ABS(R3-R3/2))</f>
        <v/>
      </c>
      <c r="T3" s="635" t="str">
        <f>IF(OR(R3="",R4=""),"",IF(ABS(R3-R3/2)=SMALL(S3:S6,1),Q3,IF(ABS(R4-R3/2)=SMALL(S3:S6,1),Q4,IF(ABS(R5-R3/2)=SMALL(S3:S6,1),Q5,IF(ABS(R6-R3/2)=SMALL(S3:S6,1),Q6,"")))))</f>
        <v/>
      </c>
      <c r="U3" s="635" t="str">
        <f>IF(OR(Sheet1!AW57="",Sheet1!AW58=""),"",AVERAGE(Sheet1!AW57:AW58))</f>
        <v/>
      </c>
      <c r="W3" s="636" t="str">
        <f>IF(OR(MIN(T3:T4)=0,MIN(T7:T8)=0),"",TREND(T3:T4,U7:U8,LN(R3/2)))</f>
        <v/>
      </c>
    </row>
    <row r="4" spans="1:23">
      <c r="A4" s="635">
        <f>Sheet1!AJ12</f>
        <v>0.2</v>
      </c>
      <c r="B4" s="635" t="str">
        <f>IF(MIN(Sheet1!AO12:AO13)=0,"",AVERAGE(Sheet1!AO12:AO13))</f>
        <v/>
      </c>
      <c r="C4" s="635" t="str">
        <f>IF(B4="","",ABS(B4-B3/2))</f>
        <v/>
      </c>
      <c r="D4" s="635" t="str">
        <f>IF(OR(B3="",B4=""),"",IF(ABS(B3-B3/2)=SMALL(C3:C6,2),A3,IF(ABS(B4-B3/2)=SMALL(C3:C6,2),A4,IF(ABS(B5-B3/2)=SMALL(C3:C6,2),A5,IF(ABS(B6-B3/2)=SMALL(C3:C6,2),A6,"")))))</f>
        <v/>
      </c>
      <c r="I4" s="635">
        <f>Sheet1!AJ59</f>
        <v>0.4</v>
      </c>
      <c r="J4" s="635" t="str">
        <f>IF(MIN(Sheet1!AO59:AO60)=0,"",AVERAGE(Sheet1!AO59:AO60))</f>
        <v/>
      </c>
      <c r="K4" s="635" t="str">
        <f>IF(J4="","",ABS(J4-J3/2))</f>
        <v/>
      </c>
      <c r="L4" s="635" t="str">
        <f>IF(OR(J3="",J4=""),"",IF(ABS(J3-J3/2)=SMALL(K3:K6,2),I3,IF(ABS(J4-J3/2)=SMALL(K3:K6,2),I4,IF(ABS(J5-J3/2)=SMALL(K3:K6,2),I5,IF(ABS(J6-J3/2)=SMALL(K3:K6,2),I6,"")))))</f>
        <v/>
      </c>
      <c r="Q4" s="635">
        <f>Sheet1!AJ95</f>
        <v>0.4</v>
      </c>
      <c r="R4" s="635" t="str">
        <f>IF(MIN(Sheet1!AO95:AO96)=0,"",AVERAGE(Sheet1!AO95:AO96))</f>
        <v/>
      </c>
      <c r="S4" s="635" t="str">
        <f>IF(R4="","",ABS(R4-R3/2))</f>
        <v/>
      </c>
      <c r="T4" s="635" t="str">
        <f>IF(OR(R3="",R4=""),"",IF(ABS(R3-R3/2)=SMALL(S3:S6,2),Q3,IF(ABS(R4-R3/2)=SMALL(S3:S6,2),Q4,IF(ABS(R5-R3/2)=SMALL(S3:S6,2),Q5,IF(ABS(R6-R3/2)=SMALL(S3:S6,2),Q6,"")))))</f>
        <v/>
      </c>
    </row>
    <row r="5" spans="1:23">
      <c r="A5" s="635" t="str">
        <f>IF(AND(Sheet1!AM14="",Sheet1!AM16=""),"",IF(Sheet1!AM14&lt;&gt;"",Sheet1!AJ14,Sheet1!AJ16))</f>
        <v/>
      </c>
      <c r="B5" s="635" t="str">
        <f>IF(AND(Sheet1!AM14="",Sheet1!AM16=""),"",IF(Sheet1!AM14&lt;&gt;"",AVERAGE(Sheet1!AO14:AO15),AVERAGE(Sheet1!AO16:AO17)))</f>
        <v/>
      </c>
      <c r="C5" s="635" t="str">
        <f>IF(B5="","",ABS(B5-B3/2))</f>
        <v/>
      </c>
      <c r="I5" s="635" t="str">
        <f>IF(AND(Sheet1!AM61="",Sheet1!AM63=""),"",IF(Sheet1!AM61&lt;&gt;"",Sheet1!AJ61,Sheet1!AJ63))</f>
        <v/>
      </c>
      <c r="J5" s="635" t="str">
        <f>IF(AND(Sheet1!AM61="",Sheet1!AM63=""),"",IF(Sheet1!AM61&lt;&gt;"",AVERAGE(Sheet1!AO61:AO62),AVERAGE(Sheet1!AO63:AO64)))</f>
        <v/>
      </c>
      <c r="K5" s="635" t="str">
        <f>IF(J5="","",ABS(J5-J3/2))</f>
        <v/>
      </c>
      <c r="Q5" s="635" t="str">
        <f>IF(AND(Sheet1!AM97="",Sheet1!AM99=""),"",IF(Sheet1!AM97&lt;&gt;"",Sheet1!AJ97,Sheet1!AJ99))</f>
        <v/>
      </c>
      <c r="R5" s="635" t="str">
        <f>IF(AND(Sheet1!AM97="",Sheet1!AM99=""),"",IF(Sheet1!AM97&lt;&gt;"",AVERAGE(Sheet1!AO97:AO98),AVERAGE(Sheet1!AO99:AO100)))</f>
        <v/>
      </c>
      <c r="S5" s="635" t="str">
        <f>IF(R5="","",ABS(R5-R3/2))</f>
        <v/>
      </c>
    </row>
    <row r="6" spans="1:23">
      <c r="A6" s="635" t="str">
        <f>IF(OR(Sheet1!AM16="",AND(Sheet1!AM14="",Sheet1!AM16&lt;&gt;"")),"",Sheet1!AJ16)</f>
        <v/>
      </c>
      <c r="B6" s="635" t="str">
        <f>IF(OR(Sheet1!AM16="",AND(Sheet1!AM14="",Sheet1!AM16&lt;&gt;"")),"",AVERAGE(Sheet1!AO16:AO17))</f>
        <v/>
      </c>
      <c r="C6" s="635" t="str">
        <f>IF(B6="","",ABS(B6-B3/2))</f>
        <v/>
      </c>
      <c r="D6" t="s">
        <v>585</v>
      </c>
      <c r="E6" t="s">
        <v>586</v>
      </c>
      <c r="I6" s="635" t="str">
        <f>IF(OR(Sheet1!AM63="",AND(Sheet1!AM61="",Sheet1!AM63&lt;&gt;"")),"",Sheet1!AJ63)</f>
        <v/>
      </c>
      <c r="J6" s="635" t="str">
        <f>IF(OR(Sheet1!AM63="",AND(Sheet1!AM61="",Sheet1!AM63&lt;&gt;"")),"",AVERAGE(Sheet1!AO63:AO64))</f>
        <v/>
      </c>
      <c r="K6" s="635" t="str">
        <f>IF(J6="","",ABS(J6-J3/2))</f>
        <v/>
      </c>
      <c r="L6" t="s">
        <v>585</v>
      </c>
      <c r="M6" t="s">
        <v>586</v>
      </c>
      <c r="Q6" s="635" t="str">
        <f>IF(OR(Sheet1!AM99="",AND(Sheet1!AM97="",Sheet1!AM99&lt;&gt;"")),"",Sheet1!AJ99)</f>
        <v/>
      </c>
      <c r="R6" s="635" t="str">
        <f>IF(OR(Sheet1!AM99="",AND(Sheet1!AM97="",Sheet1!AM99&lt;&gt;"")),"",AVERAGE(Sheet1!AO99:AO100))</f>
        <v/>
      </c>
      <c r="S6" s="635" t="str">
        <f>IF(R6="","",ABS(R6-R3/2))</f>
        <v/>
      </c>
      <c r="T6" t="s">
        <v>585</v>
      </c>
      <c r="U6" t="s">
        <v>586</v>
      </c>
    </row>
    <row r="7" spans="1:23">
      <c r="A7" s="635" t="str">
        <f>G3</f>
        <v/>
      </c>
      <c r="B7" s="635" t="str">
        <f>IF(G3="","",EXP(TREND(E7:E8,D3:D4,A7)))</f>
        <v/>
      </c>
      <c r="D7" s="635" t="str">
        <f>IF(OR(B3="",B4=""),"",IF(A3=D3,B3,IF(A4=D3,B4,IF(A5=D3,B5,IF(A6=D3,B6)))))</f>
        <v/>
      </c>
      <c r="E7" s="635" t="str">
        <f>IF(D7="","",LN(D7))</f>
        <v/>
      </c>
      <c r="I7" s="635" t="str">
        <f>O3</f>
        <v/>
      </c>
      <c r="J7" s="635" t="str">
        <f>IF(O3="","",EXP(TREND(M7:M8,L3:L4,I7)))</f>
        <v/>
      </c>
      <c r="L7" s="635" t="str">
        <f>IF(OR(J3="",J4=""),"",IF(I3=L3,J3,IF(I4=L3,J4,IF(I5=L3,J5,IF(I6=L3,J6)))))</f>
        <v/>
      </c>
      <c r="M7" s="635" t="str">
        <f>IF(L7="","",LN(L7))</f>
        <v/>
      </c>
      <c r="Q7" s="635" t="str">
        <f>W3</f>
        <v/>
      </c>
      <c r="R7" s="635" t="str">
        <f>IF(W3="","",EXP(TREND(U7:U8,T3:T4,Q7)))</f>
        <v/>
      </c>
      <c r="T7" s="635" t="str">
        <f>IF(OR(R3="",R4=""),"",IF(Q3=T3,R3,IF(Q4=T3,R4,IF(Q5=T3,R5,IF(Q6=T3,R6)))))</f>
        <v/>
      </c>
      <c r="U7" s="635" t="str">
        <f>IF(T7="","",LN(T7))</f>
        <v/>
      </c>
    </row>
    <row r="8" spans="1:23">
      <c r="D8" s="635" t="str">
        <f>IF(OR(B3="",B4=""),"",IF(A3=D4,B3,IF(A4=D4,B4,IF(A5=D4,B5,IF(A6=D4,B6)))))</f>
        <v/>
      </c>
      <c r="E8" s="635" t="str">
        <f>IF(D8="","",LN(D8))</f>
        <v/>
      </c>
      <c r="L8" s="635" t="str">
        <f>IF(OR(J3="",J4=""),"",IF(I3=L4,J3,IF(I4=L4,J4,IF(I5=L4,J5,IF(I6=L4,J6)))))</f>
        <v/>
      </c>
      <c r="M8" s="635" t="str">
        <f>IF(L8="","",LN(L8))</f>
        <v/>
      </c>
      <c r="T8" s="635" t="str">
        <f>IF(OR(R3="",R4=""),"",IF(Q3=T4,R3,IF(Q4=T4,R4,IF(Q5=T4,R5,IF(Q6=T4,R6)))))</f>
        <v/>
      </c>
      <c r="U8" s="635" t="str">
        <f>IF(T8="","",LN(T8))</f>
        <v/>
      </c>
    </row>
    <row r="9" spans="1:23">
      <c r="A9" s="637">
        <f>Sheet1!AH18</f>
        <v>25</v>
      </c>
      <c r="B9" t="s">
        <v>25</v>
      </c>
      <c r="I9" s="637">
        <f>Sheet1!AH65</f>
        <v>30</v>
      </c>
      <c r="J9" t="s">
        <v>25</v>
      </c>
      <c r="Q9" s="637">
        <f>Sheet1!AH101</f>
        <v>30</v>
      </c>
      <c r="R9" t="s">
        <v>25</v>
      </c>
    </row>
    <row r="10" spans="1:23" ht="15" thickBot="1">
      <c r="A10" t="s">
        <v>581</v>
      </c>
      <c r="B10" t="s">
        <v>582</v>
      </c>
      <c r="C10" t="s">
        <v>583</v>
      </c>
      <c r="D10" t="s">
        <v>584</v>
      </c>
      <c r="E10" t="s">
        <v>25</v>
      </c>
      <c r="G10" t="str">
        <f>IF(E11&lt;&gt;"","HVL @ "&amp;ROUND(E11,2)&amp;" kVp","HVL @ "&amp;A9&amp;" kVp")</f>
        <v>HVL @ 25 kVp</v>
      </c>
      <c r="I10" t="s">
        <v>581</v>
      </c>
      <c r="J10" t="s">
        <v>582</v>
      </c>
      <c r="K10" t="s">
        <v>583</v>
      </c>
      <c r="L10" t="s">
        <v>584</v>
      </c>
      <c r="M10" t="s">
        <v>25</v>
      </c>
      <c r="O10" t="str">
        <f>IF(M11&lt;&gt;"","HVL @ "&amp;ROUND(M11,2)&amp;" kVp","HVL @ "&amp;I9&amp;" kVp")</f>
        <v>HVL @ 30 kVp</v>
      </c>
      <c r="Q10" t="s">
        <v>581</v>
      </c>
      <c r="R10" t="s">
        <v>582</v>
      </c>
      <c r="S10" t="s">
        <v>583</v>
      </c>
      <c r="T10" t="s">
        <v>584</v>
      </c>
      <c r="U10" t="s">
        <v>25</v>
      </c>
      <c r="W10" t="str">
        <f>IF(U11&lt;&gt;"","HVL @ "&amp;ROUND(U11,2)&amp;" kVp","HVL @ "&amp;Q9&amp;" kVp")</f>
        <v>HVL @ 30 kVp</v>
      </c>
    </row>
    <row r="11" spans="1:23" ht="15" thickBot="1">
      <c r="A11" s="635">
        <f>Sheet1!AJ18</f>
        <v>0</v>
      </c>
      <c r="B11" s="635" t="str">
        <f>IF(MIN(Sheet1!AO18:AO19)=0,"",AVERAGE(Sheet1!AO18:AO19))</f>
        <v/>
      </c>
      <c r="C11" s="635" t="str">
        <f>IF(B11="","",ABS(B11-B11/2))</f>
        <v/>
      </c>
      <c r="D11" s="635" t="str">
        <f>IF(OR(B11="",B12=""),"",IF(ABS(B11-B11/2)=SMALL(C11:C14,1),A11,IF(ABS(B12-B11/2)=SMALL(C11:C14,1),A12,IF(ABS(B13-B11/2)=SMALL(C11:C14,1),A13,IF(ABS(B14-B11/2)=SMALL(C11:C14,1),A14,"")))))</f>
        <v/>
      </c>
      <c r="E11" s="635" t="str">
        <f>IF(OR(Sheet1!AO18="",Sheet1!AO19=""),"",AVERAGE(Sheet1!AO18:AO19))</f>
        <v/>
      </c>
      <c r="G11" s="636" t="str">
        <f>IF(OR(MIN(D11:D12)=0,MIN(D15:D16)=0),"",TREND(D11:D12,E15:E16,LN(B11/2)))</f>
        <v/>
      </c>
      <c r="I11" s="635">
        <f>Sheet1!AJ65</f>
        <v>0</v>
      </c>
      <c r="J11" s="635" t="str">
        <f>IF(MIN(Sheet1!AO65:AO66)=0,"",AVERAGE(Sheet1!AO65:AO66))</f>
        <v/>
      </c>
      <c r="K11" s="635" t="str">
        <f>IF(J11="","",ABS(J11-J11/2))</f>
        <v/>
      </c>
      <c r="L11" s="635" t="str">
        <f>IF(OR(J11="",J12=""),"",IF(ABS(J11-J11/2)=SMALL(K11:K14,1),I11,IF(ABS(J12-J11/2)=SMALL(K11:K14,1),I12,IF(ABS(J13-J11/2)=SMALL(K11:K14,1),I13,IF(ABS(J14-J11/2)=SMALL(K11:K14,1),I14,"")))))</f>
        <v/>
      </c>
      <c r="M11" s="635" t="str">
        <f>IF(OR(Sheet1!AO65="",Sheet1!AO66=""),"",AVERAGE(Sheet1!AO65:AO66))</f>
        <v/>
      </c>
      <c r="O11" s="636" t="str">
        <f>IF(OR(MIN(L11:L12)=0,MIN(L15:L16)=0),"",TREND(L11:L12,M15:M16,LN(J11/2)))</f>
        <v/>
      </c>
      <c r="Q11" s="635">
        <f>Sheet1!AJ101</f>
        <v>0</v>
      </c>
      <c r="R11" s="635" t="str">
        <f>IF(MIN(Sheet1!AO101:AO102)=0,"",AVERAGE(Sheet1!AO101:AO102))</f>
        <v/>
      </c>
      <c r="S11" s="635" t="str">
        <f>IF(R11="","",ABS(R11-R11/2))</f>
        <v/>
      </c>
      <c r="T11" s="635" t="str">
        <f>IF(OR(R11="",R12=""),"",IF(ABS(R11-R11/2)=SMALL(S11:S14,1),Q11,IF(ABS(R12-R11/2)=SMALL(S11:S14,1),Q12,IF(ABS(R13-R11/2)=SMALL(S11:S14,1),Q13,IF(ABS(R14-R11/2)=SMALL(S11:S14,1),Q14,"")))))</f>
        <v/>
      </c>
      <c r="U11" s="635" t="str">
        <f>IF(OR(Sheet1!AW65="",Sheet1!AW66=""),"",AVERAGE(Sheet1!AW65:AW66))</f>
        <v/>
      </c>
      <c r="W11" s="636" t="str">
        <f>IF(OR(MIN(T11:T12)=0,MIN(T15:T16)=0),"",TREND(T11:T12,U15:U16,LN(R11/2)))</f>
        <v/>
      </c>
    </row>
    <row r="12" spans="1:23">
      <c r="A12" s="635">
        <f>Sheet1!AJ20</f>
        <v>0.2</v>
      </c>
      <c r="B12" s="635" t="str">
        <f>IF(MIN(Sheet1!AO20:AO21)=0,"",AVERAGE(Sheet1!AO20:AO21))</f>
        <v/>
      </c>
      <c r="C12" s="635" t="str">
        <f>IF(B12="","",ABS(B12-B11/2))</f>
        <v/>
      </c>
      <c r="D12" s="635" t="str">
        <f>IF(OR(B11="",B12=""),"",IF(ABS(B11-B11/2)=SMALL(C11:C14,2),A11,IF(ABS(B12-B11/2)=SMALL(C11:C14,2),A12,IF(ABS(B13-B11/2)=SMALL(C11:C14,2),A13,IF(ABS(B14-B11/2)=SMALL(C11:C14,2),A14,"")))))</f>
        <v/>
      </c>
      <c r="I12" s="635">
        <f>Sheet1!AJ67</f>
        <v>0.5</v>
      </c>
      <c r="J12" s="635" t="str">
        <f>IF(MIN(Sheet1!AO67:AO68)=0,"",AVERAGE(Sheet1!AO67:AO68))</f>
        <v/>
      </c>
      <c r="K12" s="635" t="str">
        <f>IF(J12="","",ABS(J12-J11/2))</f>
        <v/>
      </c>
      <c r="L12" s="635" t="str">
        <f>IF(OR(J11="",J12=""),"",IF(ABS(J11-J11/2)=SMALL(K11:K14,2),I11,IF(ABS(J12-J11/2)=SMALL(K11:K14,2),I12,IF(ABS(J13-J11/2)=SMALL(K11:K14,2),I13,IF(ABS(J14-J11/2)=SMALL(K11:K14,2),I14,"")))))</f>
        <v/>
      </c>
      <c r="Q12" s="635">
        <f>Sheet1!AJ103</f>
        <v>0.4</v>
      </c>
      <c r="R12" s="635" t="str">
        <f>IF(MIN(Sheet1!AO103:AO104)=0,"",AVERAGE(Sheet1!AO103:AO104))</f>
        <v/>
      </c>
      <c r="S12" s="635" t="str">
        <f>IF(R12="","",ABS(R12-R11/2))</f>
        <v/>
      </c>
      <c r="T12" s="635" t="str">
        <f>IF(OR(R11="",R12=""),"",IF(ABS(R11-R11/2)=SMALL(S11:S14,2),Q11,IF(ABS(R12-R11/2)=SMALL(S11:S14,2),Q12,IF(ABS(R13-R11/2)=SMALL(S11:S14,2),Q13,IF(ABS(R14-R11/2)=SMALL(S11:S14,2),Q14,"")))))</f>
        <v/>
      </c>
    </row>
    <row r="13" spans="1:23">
      <c r="A13" s="635" t="str">
        <f>IF(AND(Sheet1!AM22="",Sheet1!AM24=""),"",IF(Sheet1!AM22&lt;&gt;"",Sheet1!AJ22,Sheet1!AJ24))</f>
        <v/>
      </c>
      <c r="B13" s="635" t="str">
        <f>IF(AND(Sheet1!AM22="",Sheet1!AM24=""),"",IF(Sheet1!AM22&lt;&gt;"",AVERAGE(Sheet1!AO22:AO23),AVERAGE(Sheet1!AO24:AO25)))</f>
        <v/>
      </c>
      <c r="C13" s="635" t="str">
        <f>IF(B13="","",ABS(B13-B11/2))</f>
        <v/>
      </c>
      <c r="I13" s="635" t="str">
        <f>IF(AND(Sheet1!AM69="",Sheet1!AM71=""),"",IF(Sheet1!AM69&lt;&gt;"",Sheet1!AJ69,Sheet1!AJ71))</f>
        <v/>
      </c>
      <c r="J13" s="635" t="str">
        <f>IF(AND(Sheet1!AM69="",Sheet1!AM71=""),"",IF(Sheet1!AM69&lt;&gt;"",AVERAGE(Sheet1!AO69:AO70),AVERAGE(Sheet1!AO71:AO72)))</f>
        <v/>
      </c>
      <c r="K13" s="635" t="str">
        <f>IF(J13="","",ABS(J13-J11/2))</f>
        <v/>
      </c>
      <c r="Q13" s="635" t="str">
        <f>IF(AND(Sheet1!AM105="",Sheet1!AM107=""),"",IF(Sheet1!AM105&lt;&gt;"",Sheet1!AJ105,Sheet1!AJ107))</f>
        <v/>
      </c>
      <c r="R13" s="635" t="str">
        <f>IF(AND(Sheet1!AM105="",Sheet1!AM107=""),"",IF(Sheet1!AM105&lt;&gt;"",AVERAGE(Sheet1!AO105:AO106),AVERAGE(Sheet1!AO107:AO108)))</f>
        <v/>
      </c>
      <c r="S13" s="635" t="str">
        <f>IF(R13="","",ABS(R13-R11/2))</f>
        <v/>
      </c>
    </row>
    <row r="14" spans="1:23">
      <c r="A14" s="635" t="str">
        <f>IF(OR(Sheet1!AM24="",AND(Sheet1!AM22="",Sheet1!AM24&lt;&gt;"")),"",Sheet1!AJ24)</f>
        <v/>
      </c>
      <c r="B14" s="635" t="str">
        <f>IF(OR(Sheet1!AM24="",AND(Sheet1!AM22="",Sheet1!AM24&lt;&gt;"")),"",AVERAGE(Sheet1!AO24:AO25))</f>
        <v/>
      </c>
      <c r="C14" s="635" t="str">
        <f>IF(B14="","",ABS(B14-B11/2))</f>
        <v/>
      </c>
      <c r="D14" t="s">
        <v>585</v>
      </c>
      <c r="E14" t="s">
        <v>586</v>
      </c>
      <c r="I14" s="635" t="str">
        <f>IF(OR(Sheet1!AM71="",AND(Sheet1!AM69="",Sheet1!AM71&lt;&gt;"")),"",Sheet1!AJ71)</f>
        <v/>
      </c>
      <c r="J14" s="635" t="str">
        <f>IF(OR(Sheet1!AM71="",AND(Sheet1!AM69="",Sheet1!AM71&lt;&gt;"")),"",AVERAGE(Sheet1!AO71:AO72))</f>
        <v/>
      </c>
      <c r="K14" s="635" t="str">
        <f>IF(J14="","",ABS(J14-J11/2))</f>
        <v/>
      </c>
      <c r="L14" t="s">
        <v>585</v>
      </c>
      <c r="M14" t="s">
        <v>586</v>
      </c>
      <c r="Q14" s="635" t="str">
        <f>IF(OR(Sheet1!AM107="",AND(Sheet1!AM105="",Sheet1!AM107&lt;&gt;"")),"",Sheet1!AJ107)</f>
        <v/>
      </c>
      <c r="R14" s="635" t="str">
        <f>IF(OR(Sheet1!AM107="",AND(Sheet1!AM105="",Sheet1!AM107&lt;&gt;"")),"",AVERAGE(Sheet1!AO107:AO108))</f>
        <v/>
      </c>
      <c r="S14" s="635" t="str">
        <f>IF(R14="","",ABS(R14-R11/2))</f>
        <v/>
      </c>
      <c r="T14" t="s">
        <v>585</v>
      </c>
      <c r="U14" t="s">
        <v>586</v>
      </c>
    </row>
    <row r="15" spans="1:23">
      <c r="A15" s="635" t="str">
        <f>G11</f>
        <v/>
      </c>
      <c r="B15" s="635" t="str">
        <f>IF(G11="","",EXP(TREND(E15:E16,D11:D12,A15)))</f>
        <v/>
      </c>
      <c r="D15" s="635" t="str">
        <f>IF(OR(B11="",B12=""),"",IF(A11=D11,B11,IF(A12=D11,B12,IF(A13=D11,B13,IF(A14=D11,B14)))))</f>
        <v/>
      </c>
      <c r="E15" s="635" t="str">
        <f>IF(D15="","",LN(D15))</f>
        <v/>
      </c>
      <c r="I15" s="635" t="str">
        <f>O11</f>
        <v/>
      </c>
      <c r="J15" s="635" t="str">
        <f>IF(O11="","",EXP(TREND(M15:M16,L11:L12,I15)))</f>
        <v/>
      </c>
      <c r="L15" s="635" t="str">
        <f>IF(OR(J11="",J12=""),"",IF(I11=L11,J11,IF(I12=L11,J12,IF(I13=L11,J13,IF(I14=L11,J14)))))</f>
        <v/>
      </c>
      <c r="M15" s="635" t="str">
        <f>IF(L15="","",LN(L15))</f>
        <v/>
      </c>
      <c r="Q15" s="635" t="str">
        <f>W11</f>
        <v/>
      </c>
      <c r="R15" s="635" t="str">
        <f>IF(W11="","",EXP(TREND(U15:U16,T11:T12,Q15)))</f>
        <v/>
      </c>
      <c r="T15" s="635" t="str">
        <f>IF(OR(R11="",R12=""),"",IF(Q11=T11,R11,IF(Q12=T11,R12,IF(Q13=T11,R13,IF(Q14=T11,R14)))))</f>
        <v/>
      </c>
      <c r="U15" s="635" t="str">
        <f>IF(T15="","",LN(T15))</f>
        <v/>
      </c>
    </row>
    <row r="16" spans="1:23">
      <c r="D16" s="635" t="str">
        <f>IF(OR(B11="",B12=""),"",IF(A11=D12,B11,IF(A12=D12,B12,IF(A13=D12,B13,IF(A14=D12,B14)))))</f>
        <v/>
      </c>
      <c r="E16" s="635" t="str">
        <f>IF(D16="","",LN(D16))</f>
        <v/>
      </c>
      <c r="L16" s="635" t="str">
        <f>IF(OR(J11="",J12=""),"",IF(I11=L12,J11,IF(I12=L12,J12,IF(I13=L12,J13,IF(I14=L12,J14)))))</f>
        <v/>
      </c>
      <c r="M16" s="635" t="str">
        <f>IF(L16="","",LN(L16))</f>
        <v/>
      </c>
      <c r="T16" s="635" t="str">
        <f>IF(OR(R11="",R12=""),"",IF(Q11=T12,R11,IF(Q12=T12,R12,IF(Q13=T12,R13,IF(Q14=T12,R14)))))</f>
        <v/>
      </c>
      <c r="U16" s="635" t="str">
        <f>IF(T16="","",LN(T16))</f>
        <v/>
      </c>
    </row>
    <row r="17" spans="1:23">
      <c r="A17" s="637">
        <f>Sheet1!AH28</f>
        <v>28</v>
      </c>
      <c r="B17" t="s">
        <v>25</v>
      </c>
      <c r="I17" s="637">
        <f>Sheet1!AH73</f>
        <v>32</v>
      </c>
      <c r="J17" t="s">
        <v>25</v>
      </c>
      <c r="Q17" s="637">
        <f>Sheet1!AH109</f>
        <v>32</v>
      </c>
      <c r="R17" t="s">
        <v>25</v>
      </c>
    </row>
    <row r="18" spans="1:23" ht="15" thickBot="1">
      <c r="A18" t="s">
        <v>581</v>
      </c>
      <c r="B18" t="s">
        <v>582</v>
      </c>
      <c r="C18" t="s">
        <v>583</v>
      </c>
      <c r="D18" t="s">
        <v>584</v>
      </c>
      <c r="E18" t="s">
        <v>25</v>
      </c>
      <c r="G18" t="str">
        <f>IF(E19&lt;&gt;"","HVL @ "&amp;ROUND(E19,2)&amp;" kVp","HVL @ "&amp;A17&amp;" kVp")</f>
        <v>HVL @ 28 kVp</v>
      </c>
      <c r="I18" t="s">
        <v>581</v>
      </c>
      <c r="J18" t="s">
        <v>582</v>
      </c>
      <c r="K18" t="s">
        <v>583</v>
      </c>
      <c r="L18" t="s">
        <v>584</v>
      </c>
      <c r="M18" t="s">
        <v>25</v>
      </c>
      <c r="O18" t="str">
        <f>IF(M19&lt;&gt;"","HVL @ "&amp;ROUND(M19,2)&amp;" kVp","HVL @ "&amp;I17&amp;" kVp")</f>
        <v>HVL @ 32 kVp</v>
      </c>
      <c r="Q18" t="s">
        <v>581</v>
      </c>
      <c r="R18" t="s">
        <v>582</v>
      </c>
      <c r="S18" t="s">
        <v>583</v>
      </c>
      <c r="T18" t="s">
        <v>584</v>
      </c>
      <c r="U18" t="s">
        <v>25</v>
      </c>
      <c r="W18" t="str">
        <f>IF(U19&lt;&gt;"","HVL @ "&amp;ROUND(U19,2)&amp;" kVp","HVL @ "&amp;Q17&amp;" kVp")</f>
        <v>HVL @ 32 kVp</v>
      </c>
    </row>
    <row r="19" spans="1:23" ht="15" thickBot="1">
      <c r="A19" s="635">
        <f>Sheet1!AJ28</f>
        <v>0</v>
      </c>
      <c r="B19" s="635" t="str">
        <f>IF(MIN(Sheet1!AO28:AO31)=0,"",AVERAGE(Sheet1!AO28:AO31))</f>
        <v/>
      </c>
      <c r="C19" s="635" t="str">
        <f>IF(B19="","",ABS(B19-B19/2))</f>
        <v/>
      </c>
      <c r="D19" s="635" t="str">
        <f>IF(OR(B19="",B20=""),"",IF(ABS(B19-B19/2)=SMALL(C19:C22,1),A19,IF(ABS(B20-B19/2)=SMALL(C19:C22,1),A20,IF(ABS(B21-B19/2)=SMALL(C19:C22,1),A21,IF(ABS(B22-B19/2)=SMALL(C19:C22,1),A22,"")))))</f>
        <v/>
      </c>
      <c r="E19" s="635" t="str">
        <f>IF(OR(Sheet1!AO26="",Sheet1!AO27=""),"",AVERAGE(Sheet1!AO26:AO27))</f>
        <v/>
      </c>
      <c r="G19" s="636" t="str">
        <f>IF(OR(MIN(D19:D20)=0,MIN(D23:D24)=0),"",TREND(D19:D20,E23:E24,LN(B19/2)))</f>
        <v/>
      </c>
      <c r="I19" s="635">
        <f>Sheet1!AJ73</f>
        <v>0</v>
      </c>
      <c r="J19" s="635" t="str">
        <f>IF(MIN(Sheet1!AO73:AO74)=0,"",AVERAGE(Sheet1!AO73:AO74))</f>
        <v/>
      </c>
      <c r="K19" s="635" t="str">
        <f>IF(J19="","",ABS(J19-J19/2))</f>
        <v/>
      </c>
      <c r="L19" s="635" t="str">
        <f>IF(OR(J19="",J20=""),"",IF(ABS(J19-J19/2)=SMALL(K19:K22,1),I19,IF(ABS(J20-J19/2)=SMALL(K19:K22,1),I20,IF(ABS(J21-J19/2)=SMALL(K19:K22,1),I21,IF(ABS(J22-J19/2)=SMALL(K19:K22,1),I22,"")))))</f>
        <v/>
      </c>
      <c r="M19" s="635" t="str">
        <f>IF(OR(Sheet1!AO73="",Sheet1!AO74=""),"",AVERAGE(Sheet1!AO73:AO74))</f>
        <v/>
      </c>
      <c r="O19" s="636" t="str">
        <f>IF(OR(MIN(L19:L20)=0,MIN(L23:L24)=0),"",TREND(L19:L20,M23:M24,LN(J19/2)))</f>
        <v/>
      </c>
      <c r="Q19" s="635">
        <f>Sheet1!AJ109</f>
        <v>0</v>
      </c>
      <c r="R19" s="635" t="str">
        <f>IF(MIN(Sheet1!AO109:AO110)=0,"",AVERAGE(Sheet1!AO109:AO110))</f>
        <v/>
      </c>
      <c r="S19" s="635" t="str">
        <f>IF(R19="","",ABS(R19-R19/2))</f>
        <v/>
      </c>
      <c r="T19" s="635" t="str">
        <f>IF(OR(R19="",R20=""),"",IF(ABS(R19-R19/2)=SMALL(S19:S22,1),Q19,IF(ABS(R20-R19/2)=SMALL(S19:S22,1),Q20,IF(ABS(R21-R19/2)=SMALL(S19:S22,1),Q21,IF(ABS(R22-R19/2)=SMALL(S19:S22,1),Q22,"")))))</f>
        <v/>
      </c>
      <c r="U19" s="635" t="str">
        <f>IF(OR(Sheet1!AW73="",Sheet1!AW74=""),"",AVERAGE(Sheet1!AW73:AW74))</f>
        <v/>
      </c>
      <c r="W19" s="636" t="str">
        <f>IF(OR(MIN(T19:T20)=0,MIN(T23:T24)=0),"",TREND(T19:T20,U23:U24,LN(R19/2)))</f>
        <v/>
      </c>
    </row>
    <row r="20" spans="1:23">
      <c r="A20" s="635">
        <f>Sheet1!AJ32</f>
        <v>0.3</v>
      </c>
      <c r="B20" s="635" t="str">
        <f>IF(MIN(Sheet1!AO32:AO33)=0,"",AVERAGE(Sheet1!AO32:AO33))</f>
        <v/>
      </c>
      <c r="C20" s="635" t="str">
        <f>IF(B20="","",ABS(B20-B19/2))</f>
        <v/>
      </c>
      <c r="D20" s="635" t="str">
        <f>IF(OR(B19="",B20=""),"",IF(ABS(B19-B19/2)=SMALL(C19:C22,2),A19,IF(ABS(B20-B19/2)=SMALL(C19:C22,2),A20,IF(ABS(B21-B19/2)=SMALL(C19:C22,2),A21,IF(ABS(B22-B19/2)=SMALL(C19:C22,2),A22,"")))))</f>
        <v/>
      </c>
      <c r="I20" s="635">
        <f>Sheet1!AJ75</f>
        <v>0.5</v>
      </c>
      <c r="J20" s="635" t="str">
        <f>IF(MIN(Sheet1!AO75:AO76)=0,"",AVERAGE(Sheet1!AO75:AO76))</f>
        <v/>
      </c>
      <c r="K20" s="635" t="str">
        <f>IF(J20="","",ABS(J20-J19/2))</f>
        <v/>
      </c>
      <c r="L20" s="635" t="str">
        <f>IF(OR(J19="",J20=""),"",IF(ABS(J19-J19/2)=SMALL(K19:K22,2),I19,IF(ABS(J20-J19/2)=SMALL(K19:K22,2),I20,IF(ABS(J21-J19/2)=SMALL(K19:K22,2),I21,IF(ABS(J22-J19/2)=SMALL(K19:K22,2),I22,"")))))</f>
        <v/>
      </c>
      <c r="Q20" s="635">
        <f>Sheet1!AJ111</f>
        <v>0.5</v>
      </c>
      <c r="R20" s="635" t="str">
        <f>IF(MIN(Sheet1!AO111:AO112)=0,"",AVERAGE(Sheet1!AO111:AO112))</f>
        <v/>
      </c>
      <c r="S20" s="635" t="str">
        <f>IF(R20="","",ABS(R20-R19/2))</f>
        <v/>
      </c>
      <c r="T20" s="635" t="str">
        <f>IF(OR(R19="",R20=""),"",IF(ABS(R19-R19/2)=SMALL(S19:S22,2),Q19,IF(ABS(R20-R19/2)=SMALL(S19:S22,2),Q20,IF(ABS(R21-R19/2)=SMALL(S19:S22,2),Q21,IF(ABS(R22-R19/2)=SMALL(S19:S22,2),Q22,"")))))</f>
        <v/>
      </c>
    </row>
    <row r="21" spans="1:23">
      <c r="A21" s="635" t="str">
        <f>IF(AND(Sheet1!AM34="",Sheet1!AM36=""),"",IF(Sheet1!AM34&lt;&gt;"",Sheet1!AJ34,Sheet1!AJ36))</f>
        <v/>
      </c>
      <c r="B21" s="635" t="str">
        <f>IF(AND(Sheet1!AM34="",Sheet1!AM36=""),"",IF(Sheet1!AM34&lt;&gt;"",AVERAGE(Sheet1!AO34:AO35),AVERAGE(Sheet1!AO36:AO37)))</f>
        <v/>
      </c>
      <c r="C21" s="635" t="str">
        <f>IF(B21="","",ABS(B21-B19/2))</f>
        <v/>
      </c>
      <c r="I21" s="635" t="str">
        <f>IF(AND(Sheet1!AM77="",Sheet1!AM79=""),"",IF(Sheet1!AM77&lt;&gt;"",Sheet1!AJ77,Sheet1!AJ79))</f>
        <v/>
      </c>
      <c r="J21" s="635" t="str">
        <f>IF(AND(Sheet1!AM77="",Sheet1!AM79=""),"",IF(Sheet1!AM77&lt;&gt;"",AVERAGE(Sheet1!AO77:AO78),AVERAGE(Sheet1!AO79:AO80)))</f>
        <v/>
      </c>
      <c r="K21" s="635" t="str">
        <f>IF(J21="","",ABS(J21-J19/2))</f>
        <v/>
      </c>
      <c r="Q21" s="635" t="str">
        <f>IF(AND(Sheet1!AM113="",Sheet1!AM115=""),"",IF(Sheet1!AM113&lt;&gt;"",Sheet1!AJ113,Sheet1!AJ115))</f>
        <v/>
      </c>
      <c r="R21" s="635" t="str">
        <f>IF(AND(Sheet1!AM113="",Sheet1!AM115=""),"",IF(Sheet1!AM113&lt;&gt;"",AVERAGE(Sheet1!AO113:AO114),AVERAGE(Sheet1!AO115:AO116)))</f>
        <v/>
      </c>
      <c r="S21" s="635" t="str">
        <f>IF(R21="","",ABS(R21-R19/2))</f>
        <v/>
      </c>
    </row>
    <row r="22" spans="1:23">
      <c r="A22" s="635" t="str">
        <f>IF(OR(Sheet1!AM36="",AND(Sheet1!AM34="",Sheet1!AM36&lt;&gt;"")),"",Sheet1!AJ36)</f>
        <v/>
      </c>
      <c r="B22" s="635" t="str">
        <f>IF(OR(Sheet1!AM36="",AND(Sheet1!AM34="",Sheet1!AM36&lt;&gt;"")),"",AVERAGE(Sheet1!AO36:AO37))</f>
        <v/>
      </c>
      <c r="C22" s="635" t="str">
        <f>IF(B22="","",ABS(B22-B19/2))</f>
        <v/>
      </c>
      <c r="D22" t="s">
        <v>585</v>
      </c>
      <c r="E22" t="s">
        <v>586</v>
      </c>
      <c r="I22" s="635" t="str">
        <f>IF(OR(Sheet1!AM79="",AND(Sheet1!AM77="",Sheet1!AM79&lt;&gt;"")),"",Sheet1!AJ79)</f>
        <v/>
      </c>
      <c r="J22" s="635" t="str">
        <f>IF(OR(Sheet1!AM79="",AND(Sheet1!AM77="",Sheet1!AM79&lt;&gt;"")),"",AVERAGE(Sheet1!AO79:AO80))</f>
        <v/>
      </c>
      <c r="K22" s="635" t="str">
        <f>IF(J22="","",ABS(J22-J19/2))</f>
        <v/>
      </c>
      <c r="L22" t="s">
        <v>585</v>
      </c>
      <c r="M22" t="s">
        <v>586</v>
      </c>
      <c r="Q22" s="635" t="str">
        <f>IF(OR(Sheet1!AM115="",AND(Sheet1!AM113="",Sheet1!AM115&lt;&gt;"")),"",Sheet1!AJ115)</f>
        <v/>
      </c>
      <c r="R22" s="635" t="str">
        <f>IF(OR(Sheet1!AM115="",AND(Sheet1!AM113="",Sheet1!AM115&lt;&gt;"")),"",AVERAGE(Sheet1!AO115:AO116))</f>
        <v/>
      </c>
      <c r="S22" s="635" t="str">
        <f>IF(R22="","",ABS(R22-R19/2))</f>
        <v/>
      </c>
      <c r="T22" t="s">
        <v>585</v>
      </c>
      <c r="U22" t="s">
        <v>586</v>
      </c>
    </row>
    <row r="23" spans="1:23">
      <c r="A23" s="635" t="str">
        <f>G19</f>
        <v/>
      </c>
      <c r="B23" s="635" t="str">
        <f>IF(G19="","",EXP(TREND(E23:E24,D19:D20,A23)))</f>
        <v/>
      </c>
      <c r="D23" s="635" t="str">
        <f>IF(OR(B19="",B20=""),"",IF(A19=D19,B19,IF(A20=D19,B20,IF(A21=D19,B21,IF(A22=D19,B22)))))</f>
        <v/>
      </c>
      <c r="E23" s="635" t="str">
        <f>IF(D23="","",LN(D23))</f>
        <v/>
      </c>
      <c r="I23" s="635" t="str">
        <f>O19</f>
        <v/>
      </c>
      <c r="J23" s="635" t="str">
        <f>IF(O19="","",EXP(TREND(M23:M24,L19:L20,I23)))</f>
        <v/>
      </c>
      <c r="L23" s="635" t="str">
        <f>IF(OR(J19="",J20=""),"",IF(I19=L19,J19,IF(I20=L19,J20,IF(I21=L19,J21,IF(I22=L19,J22)))))</f>
        <v/>
      </c>
      <c r="M23" s="635" t="str">
        <f>IF(L23="","",LN(L23))</f>
        <v/>
      </c>
      <c r="Q23" s="635" t="str">
        <f>W19</f>
        <v/>
      </c>
      <c r="R23" s="635" t="str">
        <f>IF(W19="","",EXP(TREND(U23:U24,T19:T20,Q23)))</f>
        <v/>
      </c>
      <c r="T23" s="635" t="str">
        <f>IF(OR(R19="",R20=""),"",IF(Q19=T19,R19,IF(Q20=T19,R20,IF(Q21=T19,R21,IF(Q22=T19,R22)))))</f>
        <v/>
      </c>
      <c r="U23" s="635" t="str">
        <f>IF(T23="","",LN(T23))</f>
        <v/>
      </c>
    </row>
    <row r="24" spans="1:23">
      <c r="D24" s="635" t="str">
        <f>IF(OR(B19="",B20=""),"",IF(A19=D20,B19,IF(A20=D20,B20,IF(A21=D20,B21,IF(A22=D20,B22)))))</f>
        <v/>
      </c>
      <c r="E24" s="635" t="str">
        <f>IF(D24="","",LN(D24))</f>
        <v/>
      </c>
      <c r="L24" s="635" t="str">
        <f>IF(OR(J19="",J20=""),"",IF(I19=L20,J19,IF(I20=L20,J20,IF(I21=L20,J21,IF(I22=L20,J22)))))</f>
        <v/>
      </c>
      <c r="M24" s="635" t="str">
        <f>IF(L24="","",LN(L24))</f>
        <v/>
      </c>
      <c r="T24" s="635" t="str">
        <f>IF(OR(R19="",R20=""),"",IF(Q19=T20,R19,IF(Q20=T20,R20,IF(Q21=T20,R21,IF(Q22=T20,R22)))))</f>
        <v/>
      </c>
      <c r="U24" s="635" t="str">
        <f>IF(T24="","",LN(T24))</f>
        <v/>
      </c>
    </row>
    <row r="25" spans="1:23">
      <c r="A25" s="637">
        <v>32</v>
      </c>
      <c r="B25" t="s">
        <v>25</v>
      </c>
      <c r="I25" s="637">
        <f>Sheet1!AH81</f>
        <v>34</v>
      </c>
      <c r="J25" t="s">
        <v>25</v>
      </c>
      <c r="Q25" s="637">
        <f>Sheet1!AH117</f>
        <v>34</v>
      </c>
      <c r="R25" t="s">
        <v>25</v>
      </c>
    </row>
    <row r="26" spans="1:23" ht="15" thickBot="1">
      <c r="A26" t="s">
        <v>581</v>
      </c>
      <c r="B26" t="s">
        <v>582</v>
      </c>
      <c r="C26" t="s">
        <v>583</v>
      </c>
      <c r="D26" t="s">
        <v>584</v>
      </c>
      <c r="E26" t="s">
        <v>25</v>
      </c>
      <c r="G26" t="str">
        <f>IF(E27&lt;&gt;"","HVL @ "&amp;ROUND(E27,2)&amp;" kVp","HVL @ "&amp;A25&amp;" kVp")</f>
        <v>HVL @ 32 kVp</v>
      </c>
      <c r="I26" t="s">
        <v>581</v>
      </c>
      <c r="J26" t="s">
        <v>582</v>
      </c>
      <c r="K26" t="s">
        <v>583</v>
      </c>
      <c r="L26" t="s">
        <v>584</v>
      </c>
      <c r="M26" t="s">
        <v>25</v>
      </c>
      <c r="O26" t="str">
        <f>IF(M27&lt;&gt;"","HVL @ "&amp;ROUND(M27,2)&amp;" kVp","HVL @ "&amp;I25&amp;" kVp")</f>
        <v>HVL @ 34 kVp</v>
      </c>
      <c r="Q26" t="s">
        <v>581</v>
      </c>
      <c r="R26" t="s">
        <v>582</v>
      </c>
      <c r="S26" t="s">
        <v>583</v>
      </c>
      <c r="T26" t="s">
        <v>584</v>
      </c>
      <c r="U26" t="s">
        <v>25</v>
      </c>
      <c r="W26" t="str">
        <f>IF(U27&lt;&gt;"","HVL @ "&amp;ROUND(U27,2)&amp;" kVp","HVL @ "&amp;Q25&amp;" kVp")</f>
        <v>HVL @ 34 kVp</v>
      </c>
    </row>
    <row r="27" spans="1:23" ht="15" thickBot="1">
      <c r="A27" s="635">
        <v>0</v>
      </c>
      <c r="B27" s="635" t="s">
        <v>580</v>
      </c>
      <c r="C27" s="635" t="s">
        <v>580</v>
      </c>
      <c r="D27" s="635" t="s">
        <v>580</v>
      </c>
      <c r="E27" s="635" t="s">
        <v>580</v>
      </c>
      <c r="G27" s="636" t="s">
        <v>580</v>
      </c>
      <c r="I27" s="635">
        <f>Sheet1!AJ81</f>
        <v>0</v>
      </c>
      <c r="J27" s="635" t="str">
        <f>IF(MIN(Sheet1!AO81:AO82)=0,"",AVERAGE(Sheet1!AO81:AO82))</f>
        <v/>
      </c>
      <c r="K27" s="635" t="str">
        <f>IF(J27="","",ABS(J27-J27/2))</f>
        <v/>
      </c>
      <c r="L27" s="635" t="str">
        <f>IF(OR(J27="",J28=""),"",IF(ABS(J27-J27/2)=SMALL(K27:K30,1),I27,IF(ABS(J28-J27/2)=SMALL(K27:K30,1),I28,IF(ABS(J29-J27/2)=SMALL(K27:K30,1),I29,IF(ABS(J30-J27/2)=SMALL(K27:K30,1),I30,"")))))</f>
        <v/>
      </c>
      <c r="M27" s="635" t="str">
        <f>IF(OR(Sheet1!AO81="",Sheet1!AO82=""),"",AVERAGE(Sheet1!AO81:AO82))</f>
        <v/>
      </c>
      <c r="O27" s="636" t="str">
        <f>IF(OR(MIN(L27:L28)=0,MIN(L31:L32)=0),"",TREND(L27:L28,M31:M32,LN(J27/2)))</f>
        <v/>
      </c>
      <c r="Q27" s="635">
        <f>Sheet1!AJ117</f>
        <v>0</v>
      </c>
      <c r="R27" s="635" t="str">
        <f>IF(MIN(Sheet1!AO117:AO118)=0,"",AVERAGE(Sheet1!AO117:AO118))</f>
        <v/>
      </c>
      <c r="S27" s="635" t="str">
        <f>IF(R27="","",ABS(R27-R27/2))</f>
        <v/>
      </c>
      <c r="T27" s="635" t="str">
        <f>IF(OR(R27="",R28=""),"",IF(ABS(R27-R27/2)=SMALL(S27:S30,1),Q27,IF(ABS(R28-R27/2)=SMALL(S27:S30,1),Q28,IF(ABS(R29-R27/2)=SMALL(S27:S30,1),Q29,IF(ABS(R30-R27/2)=SMALL(S27:S30,1),Q30,"")))))</f>
        <v/>
      </c>
      <c r="U27" s="635" t="str">
        <f>IF(OR(Sheet1!AW81="",Sheet1!AW82=""),"",AVERAGE(Sheet1!AW81:AW82))</f>
        <v/>
      </c>
      <c r="W27" s="636" t="str">
        <f>IF(OR(MIN(T27:T28)=0,MIN(T31:T32)=0),"",TREND(T27:T28,U31:U32,LN(R27/2)))</f>
        <v/>
      </c>
    </row>
    <row r="28" spans="1:23">
      <c r="A28" s="635">
        <v>0.5</v>
      </c>
      <c r="B28" s="635" t="s">
        <v>580</v>
      </c>
      <c r="C28" s="635" t="s">
        <v>580</v>
      </c>
      <c r="D28" s="635" t="s">
        <v>580</v>
      </c>
      <c r="I28" s="635">
        <f>Sheet1!AJ83</f>
        <v>0.5</v>
      </c>
      <c r="J28" s="635" t="str">
        <f>IF(MIN(Sheet1!AO83:AO84)=0,"",AVERAGE(Sheet1!AO83:AO84))</f>
        <v/>
      </c>
      <c r="K28" s="635" t="str">
        <f>IF(J28="","",ABS(J28-J27/2))</f>
        <v/>
      </c>
      <c r="L28" s="635" t="str">
        <f>IF(OR(J27="",J28=""),"",IF(ABS(J27-J27/2)=SMALL(K27:K30,2),I27,IF(ABS(J28-J27/2)=SMALL(K27:K30,2),I28,IF(ABS(J29-J27/2)=SMALL(K27:K30,2),I29,IF(ABS(J30-J27/2)=SMALL(K27:K30,2),I30,"")))))</f>
        <v/>
      </c>
      <c r="Q28" s="635">
        <f>Sheet1!AJ119</f>
        <v>0.5</v>
      </c>
      <c r="R28" s="635" t="str">
        <f>IF(MIN(Sheet1!AO119:AO120)=0,"",AVERAGE(Sheet1!AO119:AO120))</f>
        <v/>
      </c>
      <c r="S28" s="635" t="str">
        <f>IF(R28="","",ABS(R28-R27/2))</f>
        <v/>
      </c>
      <c r="T28" s="635" t="str">
        <f>IF(OR(R27="",R28=""),"",IF(ABS(R27-R27/2)=SMALL(S27:S30,2),Q27,IF(ABS(R28-R27/2)=SMALL(S27:S30,2),Q28,IF(ABS(R29-R27/2)=SMALL(S27:S30,2),Q29,IF(ABS(R30-R27/2)=SMALL(S27:S30,2),Q30,"")))))</f>
        <v/>
      </c>
    </row>
    <row r="29" spans="1:23">
      <c r="A29" s="635" t="s">
        <v>580</v>
      </c>
      <c r="B29" s="635" t="s">
        <v>580</v>
      </c>
      <c r="C29" s="635" t="s">
        <v>580</v>
      </c>
      <c r="I29" s="635" t="str">
        <f>IF(AND(Sheet1!AM85="",Sheet1!AM87=""),"",IF(Sheet1!AM85&lt;&gt;"",Sheet1!AJ85,Sheet1!AJ87))</f>
        <v/>
      </c>
      <c r="J29" s="635" t="str">
        <f>IF(AND(Sheet1!AM85="",Sheet1!AM87=""),"",IF(Sheet1!AM85&lt;&gt;"",AVERAGE(Sheet1!AO85:AO86),AVERAGE(Sheet1!AO87:AO88)))</f>
        <v/>
      </c>
      <c r="K29" s="635" t="str">
        <f>IF(J29="","",ABS(J29-J27/2))</f>
        <v/>
      </c>
      <c r="Q29" s="635" t="str">
        <f>IF(AND(Sheet1!AM121="",Sheet1!AM123=""),"",IF(Sheet1!AM121&lt;&gt;"",Sheet1!AJ121,Sheet1!AJ123))</f>
        <v/>
      </c>
      <c r="R29" s="635" t="str">
        <f>IF(AND(Sheet1!AM121="",Sheet1!AM123=""),"",IF(Sheet1!AM121&lt;&gt;"",AVERAGE(Sheet1!AO121:AO122),AVERAGE(Sheet1!AO123:AO124)))</f>
        <v/>
      </c>
      <c r="S29" s="635" t="str">
        <f>IF(R29="","",ABS(R29-R27/2))</f>
        <v/>
      </c>
    </row>
    <row r="30" spans="1:23">
      <c r="A30" s="635" t="s">
        <v>580</v>
      </c>
      <c r="B30" s="635" t="s">
        <v>580</v>
      </c>
      <c r="C30" s="635" t="s">
        <v>580</v>
      </c>
      <c r="D30" t="s">
        <v>585</v>
      </c>
      <c r="E30" t="s">
        <v>586</v>
      </c>
      <c r="I30" s="635" t="str">
        <f>IF(OR(Sheet1!AM87="",AND(Sheet1!AM85="",Sheet1!AM87&lt;&gt;"")),"",Sheet1!AJ87)</f>
        <v/>
      </c>
      <c r="J30" s="635" t="str">
        <f>IF(OR(Sheet1!AM87="",AND(Sheet1!AM85="",Sheet1!AM87&lt;&gt;"")),"",AVERAGE(Sheet1!AO87:AO88))</f>
        <v/>
      </c>
      <c r="K30" s="635" t="str">
        <f>IF(J30="","",ABS(J30-J27/2))</f>
        <v/>
      </c>
      <c r="L30" t="s">
        <v>585</v>
      </c>
      <c r="M30" t="s">
        <v>586</v>
      </c>
      <c r="Q30" s="635" t="str">
        <f>IF(OR(Sheet1!AM123="",AND(Sheet1!AM121="",Sheet1!AM123&lt;&gt;"")),"",Sheet1!AJ123)</f>
        <v/>
      </c>
      <c r="R30" s="635" t="str">
        <f>IF(OR(Sheet1!AM123="",AND(Sheet1!AM121="",Sheet1!AM123&lt;&gt;"")),"",AVERAGE(Sheet1!AO123:AO124))</f>
        <v/>
      </c>
      <c r="S30" s="635" t="str">
        <f>IF(R30="","",ABS(R30-R27/2))</f>
        <v/>
      </c>
      <c r="T30" t="s">
        <v>585</v>
      </c>
      <c r="U30" t="s">
        <v>586</v>
      </c>
    </row>
    <row r="31" spans="1:23">
      <c r="A31" s="635" t="s">
        <v>580</v>
      </c>
      <c r="B31" s="635" t="s">
        <v>580</v>
      </c>
      <c r="D31" s="635" t="s">
        <v>580</v>
      </c>
      <c r="E31" s="635" t="s">
        <v>580</v>
      </c>
      <c r="I31" s="635" t="str">
        <f>O27</f>
        <v/>
      </c>
      <c r="J31" s="635" t="str">
        <f>IF(O27="","",EXP(TREND(M31:M32,L27:L28,I31)))</f>
        <v/>
      </c>
      <c r="L31" s="635" t="str">
        <f>IF(OR(J27="",J28=""),"",IF(I27=L27,J27,IF(I28=L27,J28,IF(I29=L27,J29,IF(I30=L27,J30)))))</f>
        <v/>
      </c>
      <c r="M31" s="635" t="str">
        <f>IF(L31="","",LN(L31))</f>
        <v/>
      </c>
      <c r="Q31" s="635" t="str">
        <f>W27</f>
        <v/>
      </c>
      <c r="R31" s="635" t="str">
        <f>IF(W27="","",EXP(TREND(U31:U32,T27:T28,Q31)))</f>
        <v/>
      </c>
      <c r="T31" s="635" t="str">
        <f>IF(OR(R27="",R28=""),"",IF(Q27=T27,R27,IF(Q28=T27,R28,IF(Q29=T27,R29,IF(Q30=T27,R30)))))</f>
        <v/>
      </c>
      <c r="U31" s="635" t="str">
        <f>IF(T31="","",LN(T31))</f>
        <v/>
      </c>
    </row>
    <row r="32" spans="1:23">
      <c r="D32" s="635" t="s">
        <v>580</v>
      </c>
      <c r="E32" s="635" t="s">
        <v>580</v>
      </c>
      <c r="L32" s="635" t="str">
        <f>IF(OR(J27="",J28=""),"",IF(I27=L28,J27,IF(I28=L28,J28,IF(I29=L28,J29,IF(I30=L28,J30)))))</f>
        <v/>
      </c>
      <c r="M32" s="635" t="str">
        <f>IF(L32="","",LN(L32))</f>
        <v/>
      </c>
      <c r="T32" s="635" t="str">
        <f>IF(OR(R27="",R28=""),"",IF(Q27=T28,R27,IF(Q28=T28,R28,IF(Q29=T28,R29,IF(Q30=T28,R30)))))</f>
        <v/>
      </c>
      <c r="U32" s="635" t="str">
        <f>IF(T32="","",LN(T32))</f>
        <v/>
      </c>
    </row>
    <row r="33" spans="1:23">
      <c r="A33" s="637">
        <v>34</v>
      </c>
      <c r="B33" t="s">
        <v>25</v>
      </c>
      <c r="Q33" s="637">
        <f>Sheet1!AH125</f>
        <v>38</v>
      </c>
      <c r="R33" t="s">
        <v>25</v>
      </c>
    </row>
    <row r="34" spans="1:23" ht="15" thickBot="1">
      <c r="A34" t="s">
        <v>581</v>
      </c>
      <c r="B34" t="s">
        <v>582</v>
      </c>
      <c r="C34" t="s">
        <v>583</v>
      </c>
      <c r="D34" t="s">
        <v>584</v>
      </c>
      <c r="E34" t="s">
        <v>25</v>
      </c>
      <c r="G34" t="str">
        <f>IF(E35&lt;&gt;"","HVL @ "&amp;ROUND(E35,2)&amp;" kVp","HVL @ "&amp;A33&amp;" kVp")</f>
        <v>HVL @ 34 kVp</v>
      </c>
      <c r="Q34" t="s">
        <v>581</v>
      </c>
      <c r="R34" t="s">
        <v>582</v>
      </c>
      <c r="S34" t="s">
        <v>583</v>
      </c>
      <c r="T34" t="s">
        <v>584</v>
      </c>
      <c r="U34" t="s">
        <v>25</v>
      </c>
      <c r="W34" t="str">
        <f>IF(U35&lt;&gt;"","HVL @ "&amp;ROUND(U35,2)&amp;" kVp","HVL @ "&amp;Q33&amp;" kVp")</f>
        <v>HVL @ 38 kVp</v>
      </c>
    </row>
    <row r="35" spans="1:23" ht="15" thickBot="1">
      <c r="A35" s="635">
        <v>0</v>
      </c>
      <c r="B35" s="635" t="s">
        <v>580</v>
      </c>
      <c r="C35" s="635" t="s">
        <v>580</v>
      </c>
      <c r="D35" s="635" t="s">
        <v>580</v>
      </c>
      <c r="E35" s="635" t="s">
        <v>580</v>
      </c>
      <c r="G35" s="636" t="s">
        <v>580</v>
      </c>
      <c r="Q35" s="635">
        <f>Sheet1!AJ125</f>
        <v>0</v>
      </c>
      <c r="R35" s="635" t="str">
        <f>IF(MIN(Sheet1!AO125:AO126)=0,"",AVERAGE(Sheet1!AO125:AO126))</f>
        <v/>
      </c>
      <c r="S35" s="635" t="str">
        <f>IF(R35="","",ABS(R35-R35/2))</f>
        <v/>
      </c>
      <c r="T35" s="635" t="str">
        <f>IF(OR(R35="",R36=""),"",IF(ABS(R35-R35/2)=SMALL(S35:S38,1),Q35,IF(ABS(R36-R35/2)=SMALL(S35:S38,1),Q36,IF(ABS(R37-R35/2)=SMALL(S35:S38,1),Q37,IF(ABS(R38-R35/2)=SMALL(S35:S38,1),Q38,"")))))</f>
        <v/>
      </c>
      <c r="U35" s="635" t="str">
        <f>IF(OR(Sheet1!AW89="",Sheet1!AW90=""),"",AVERAGE(Sheet1!AW89:AW90))</f>
        <v/>
      </c>
      <c r="W35" s="636" t="str">
        <f>IF(OR(MIN(T35:T36)=0,MIN(T39:T40)=0),"",TREND(T35:T36,U39:U40,LN(R35/2)))</f>
        <v/>
      </c>
    </row>
    <row r="36" spans="1:23">
      <c r="A36" s="635">
        <v>0.5</v>
      </c>
      <c r="B36" s="635" t="s">
        <v>580</v>
      </c>
      <c r="C36" s="635" t="s">
        <v>580</v>
      </c>
      <c r="D36" s="635" t="s">
        <v>580</v>
      </c>
      <c r="Q36" s="635">
        <f>Sheet1!AJ127</f>
        <v>0.6</v>
      </c>
      <c r="R36" s="635" t="str">
        <f>IF(MIN(Sheet1!AO127:AO128)=0,"",AVERAGE(Sheet1!AO127:AO128))</f>
        <v/>
      </c>
      <c r="S36" s="635" t="str">
        <f>IF(R36="","",ABS(R36-R35/2))</f>
        <v/>
      </c>
      <c r="T36" s="635" t="str">
        <f>IF(OR(R35="",R36=""),"",IF(ABS(R35-R35/2)=SMALL(S35:S38,2),Q35,IF(ABS(R36-R35/2)=SMALL(S35:S38,2),Q36,IF(ABS(R37-R35/2)=SMALL(S35:S38,2),Q37,IF(ABS(R38-R35/2)=SMALL(S35:S38,2),Q38,"")))))</f>
        <v/>
      </c>
    </row>
    <row r="37" spans="1:23">
      <c r="A37" s="635" t="s">
        <v>580</v>
      </c>
      <c r="B37" s="635" t="s">
        <v>580</v>
      </c>
      <c r="C37" s="635" t="s">
        <v>580</v>
      </c>
      <c r="Q37" s="635" t="str">
        <f>IF(AND(Sheet1!AM129="",Sheet1!AM131=""),"",IF(Sheet1!AM129&lt;&gt;"",Sheet1!AJ129,Sheet1!AJ131))</f>
        <v/>
      </c>
      <c r="R37" s="635" t="str">
        <f>IF(AND(Sheet1!AM129="",Sheet1!AM131=""),"",IF(Sheet1!AM129&lt;&gt;"",AVERAGE(Sheet1!AO129:AO130),AVERAGE(Sheet1!AO131:AO132)))</f>
        <v/>
      </c>
      <c r="S37" s="635" t="str">
        <f>IF(R37="","",ABS(R37-R35/2))</f>
        <v/>
      </c>
    </row>
    <row r="38" spans="1:23">
      <c r="A38" s="635" t="s">
        <v>580</v>
      </c>
      <c r="B38" s="635" t="s">
        <v>580</v>
      </c>
      <c r="C38" s="635" t="s">
        <v>580</v>
      </c>
      <c r="D38" t="s">
        <v>585</v>
      </c>
      <c r="E38" t="s">
        <v>586</v>
      </c>
      <c r="Q38" s="635" t="str">
        <f>IF(OR(Sheet1!AM131="",AND(Sheet1!AM129="",Sheet1!AM131&lt;&gt;"")),"",Sheet1!AJ131)</f>
        <v/>
      </c>
      <c r="R38" s="635" t="str">
        <f>IF(OR(Sheet1!AM131="",AND(Sheet1!AM129="",Sheet1!AM131&lt;&gt;"")),"",AVERAGE(Sheet1!AO131:AO132))</f>
        <v/>
      </c>
      <c r="S38" s="635" t="str">
        <f>IF(R38="","",ABS(R38-R35/2))</f>
        <v/>
      </c>
      <c r="T38" t="s">
        <v>585</v>
      </c>
      <c r="U38" t="s">
        <v>586</v>
      </c>
    </row>
    <row r="39" spans="1:23">
      <c r="A39" s="635" t="s">
        <v>580</v>
      </c>
      <c r="B39" s="635" t="s">
        <v>580</v>
      </c>
      <c r="D39" s="635" t="s">
        <v>580</v>
      </c>
      <c r="E39" s="635" t="s">
        <v>580</v>
      </c>
      <c r="Q39" s="635" t="str">
        <f>W35</f>
        <v/>
      </c>
      <c r="R39" s="635" t="str">
        <f>IF(W35="","",EXP(TREND(U39:U40,T35:T36,Q39)))</f>
        <v/>
      </c>
      <c r="T39" s="635" t="str">
        <f>IF(OR(R35="",R36=""),"",IF(Q35=T35,R35,IF(Q36=T35,R36,IF(Q37=T35,R37,IF(Q38=T35,R38)))))</f>
        <v/>
      </c>
      <c r="U39" s="635" t="str">
        <f>IF(T39="","",LN(T39))</f>
        <v/>
      </c>
    </row>
    <row r="40" spans="1:23">
      <c r="D40" s="635" t="s">
        <v>580</v>
      </c>
      <c r="E40" s="635" t="s">
        <v>580</v>
      </c>
      <c r="T40" s="635" t="str">
        <f>IF(OR(R35="",R36=""),"",IF(Q35=T36,R35,IF(Q36=T36,R36,IF(Q37=T36,R37,IF(Q38=T36,R38)))))</f>
        <v/>
      </c>
      <c r="U40" s="635"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topLeftCell="A61" zoomScale="75" zoomScaleNormal="75" workbookViewId="0"/>
  </sheetViews>
  <sheetFormatPr defaultRowHeight="14.1" customHeight="1"/>
  <cols>
    <col min="1" max="30" width="10.625" style="24" customWidth="1"/>
    <col min="31" max="16384" width="9" style="24"/>
  </cols>
  <sheetData>
    <row r="1" spans="1:30" ht="14.1" customHeight="1" thickBot="1">
      <c r="A1" s="79" t="s">
        <v>443</v>
      </c>
      <c r="K1" s="79" t="s">
        <v>444</v>
      </c>
      <c r="U1" s="24" t="s">
        <v>445</v>
      </c>
    </row>
    <row r="2" spans="1:30" ht="14.1" customHeight="1">
      <c r="A2" s="311"/>
      <c r="B2" s="822" t="s">
        <v>25</v>
      </c>
      <c r="C2" s="822"/>
      <c r="D2" s="822"/>
      <c r="E2" s="822"/>
      <c r="F2" s="822"/>
      <c r="G2" s="822"/>
      <c r="H2" s="822"/>
      <c r="I2" s="822"/>
      <c r="J2" s="822"/>
      <c r="K2" s="311"/>
      <c r="L2" s="822" t="s">
        <v>25</v>
      </c>
      <c r="M2" s="822"/>
      <c r="N2" s="822"/>
      <c r="O2" s="822"/>
      <c r="P2" s="822"/>
      <c r="Q2" s="822"/>
      <c r="R2" s="822"/>
      <c r="S2" s="822"/>
      <c r="T2" s="822"/>
      <c r="U2" s="311"/>
      <c r="V2" s="822" t="s">
        <v>25</v>
      </c>
      <c r="W2" s="822"/>
      <c r="X2" s="822"/>
      <c r="Y2" s="822"/>
      <c r="Z2" s="822"/>
      <c r="AA2" s="822"/>
      <c r="AB2" s="822"/>
      <c r="AC2" s="822"/>
      <c r="AD2" s="822"/>
    </row>
    <row r="3" spans="1:30" ht="14.1" customHeight="1">
      <c r="A3" s="210" t="s">
        <v>357</v>
      </c>
      <c r="B3" s="14">
        <v>23</v>
      </c>
      <c r="C3" s="14">
        <v>24</v>
      </c>
      <c r="D3" s="14">
        <v>25</v>
      </c>
      <c r="E3" s="14">
        <v>26</v>
      </c>
      <c r="F3" s="14">
        <v>27</v>
      </c>
      <c r="G3" s="14">
        <v>28</v>
      </c>
      <c r="H3" s="14">
        <v>29</v>
      </c>
      <c r="I3" s="14">
        <v>30</v>
      </c>
      <c r="J3" s="228">
        <v>31</v>
      </c>
      <c r="K3" s="210" t="s">
        <v>357</v>
      </c>
      <c r="L3" s="14">
        <v>23</v>
      </c>
      <c r="M3" s="14">
        <v>24</v>
      </c>
      <c r="N3" s="14">
        <v>25</v>
      </c>
      <c r="O3" s="14">
        <v>26</v>
      </c>
      <c r="P3" s="14">
        <v>27</v>
      </c>
      <c r="Q3" s="14">
        <v>28</v>
      </c>
      <c r="R3" s="14">
        <v>29</v>
      </c>
      <c r="S3" s="14">
        <v>30</v>
      </c>
      <c r="T3" s="228">
        <v>31</v>
      </c>
      <c r="U3" s="210" t="s">
        <v>357</v>
      </c>
      <c r="V3" s="14">
        <v>23</v>
      </c>
      <c r="W3" s="14">
        <v>24</v>
      </c>
      <c r="X3" s="14">
        <v>25</v>
      </c>
      <c r="Y3" s="14">
        <v>26</v>
      </c>
      <c r="Z3" s="14">
        <v>27</v>
      </c>
      <c r="AA3" s="14">
        <v>28</v>
      </c>
      <c r="AB3" s="14">
        <v>29</v>
      </c>
      <c r="AC3" s="14">
        <v>30</v>
      </c>
      <c r="AD3" s="228">
        <v>31</v>
      </c>
    </row>
    <row r="4" spans="1:30" ht="14.1" customHeight="1">
      <c r="A4" s="210">
        <v>0.23</v>
      </c>
      <c r="B4" s="14">
        <v>116</v>
      </c>
      <c r="C4" s="14"/>
      <c r="D4" s="14"/>
      <c r="E4" s="14"/>
      <c r="F4" s="14"/>
      <c r="G4" s="14"/>
      <c r="H4" s="14"/>
      <c r="I4" s="14"/>
      <c r="J4" s="228"/>
      <c r="K4" s="210">
        <v>0.23</v>
      </c>
      <c r="L4" s="14"/>
      <c r="M4" s="14"/>
      <c r="N4" s="14"/>
      <c r="O4" s="14"/>
      <c r="P4" s="14"/>
      <c r="Q4" s="14"/>
      <c r="R4" s="14"/>
      <c r="S4" s="14"/>
      <c r="T4" s="228"/>
      <c r="U4" s="210">
        <v>0.23</v>
      </c>
      <c r="V4" s="14"/>
      <c r="W4" s="14"/>
      <c r="X4" s="14"/>
      <c r="Y4" s="14"/>
      <c r="Z4" s="14"/>
      <c r="AA4" s="14"/>
      <c r="AB4" s="14"/>
      <c r="AC4" s="14"/>
      <c r="AD4" s="228"/>
    </row>
    <row r="5" spans="1:30" ht="14.1" customHeight="1">
      <c r="A5" s="210">
        <v>0.24</v>
      </c>
      <c r="B5" s="14">
        <v>121</v>
      </c>
      <c r="C5" s="14">
        <v>124</v>
      </c>
      <c r="D5" s="14"/>
      <c r="E5" s="14"/>
      <c r="F5" s="14"/>
      <c r="G5" s="14"/>
      <c r="H5" s="14"/>
      <c r="I5" s="14"/>
      <c r="J5" s="228"/>
      <c r="K5" s="210">
        <v>0.24</v>
      </c>
      <c r="L5" s="14"/>
      <c r="M5" s="14"/>
      <c r="N5" s="14"/>
      <c r="O5" s="14"/>
      <c r="P5" s="14"/>
      <c r="Q5" s="14"/>
      <c r="R5" s="14"/>
      <c r="S5" s="14"/>
      <c r="T5" s="228"/>
      <c r="U5" s="210">
        <v>0.24</v>
      </c>
      <c r="V5" s="14"/>
      <c r="W5" s="14"/>
      <c r="X5" s="14"/>
      <c r="Y5" s="14"/>
      <c r="Z5" s="14"/>
      <c r="AA5" s="14"/>
      <c r="AB5" s="14"/>
      <c r="AC5" s="14"/>
      <c r="AD5" s="228"/>
    </row>
    <row r="6" spans="1:30" ht="14.1" customHeight="1">
      <c r="A6" s="210">
        <v>0.25</v>
      </c>
      <c r="B6" s="14">
        <v>126</v>
      </c>
      <c r="C6" s="14">
        <v>129</v>
      </c>
      <c r="D6" s="14">
        <v>131</v>
      </c>
      <c r="E6" s="14"/>
      <c r="F6" s="14"/>
      <c r="G6" s="14"/>
      <c r="H6" s="14"/>
      <c r="I6" s="14"/>
      <c r="J6" s="228"/>
      <c r="K6" s="210">
        <v>0.25</v>
      </c>
      <c r="L6" s="14"/>
      <c r="M6" s="14"/>
      <c r="N6" s="14"/>
      <c r="O6" s="14"/>
      <c r="P6" s="14"/>
      <c r="Q6" s="14"/>
      <c r="R6" s="14"/>
      <c r="S6" s="14"/>
      <c r="T6" s="228"/>
      <c r="U6" s="210">
        <v>0.25</v>
      </c>
      <c r="V6" s="14"/>
      <c r="W6" s="14"/>
      <c r="X6" s="14"/>
      <c r="Y6" s="14"/>
      <c r="Z6" s="14"/>
      <c r="AA6" s="14"/>
      <c r="AB6" s="14"/>
      <c r="AC6" s="14"/>
      <c r="AD6" s="228"/>
    </row>
    <row r="7" spans="1:30" ht="14.1" customHeight="1">
      <c r="A7" s="210">
        <v>0.26</v>
      </c>
      <c r="B7" s="14">
        <v>130</v>
      </c>
      <c r="C7" s="14">
        <v>133</v>
      </c>
      <c r="D7" s="14">
        <v>135</v>
      </c>
      <c r="E7" s="14">
        <v>138</v>
      </c>
      <c r="F7" s="14"/>
      <c r="G7" s="14"/>
      <c r="H7" s="14"/>
      <c r="I7" s="14"/>
      <c r="J7" s="228"/>
      <c r="K7" s="210">
        <v>0.26</v>
      </c>
      <c r="L7" s="14"/>
      <c r="M7" s="14"/>
      <c r="N7" s="14"/>
      <c r="O7" s="14"/>
      <c r="P7" s="14"/>
      <c r="Q7" s="14"/>
      <c r="R7" s="14"/>
      <c r="S7" s="14"/>
      <c r="T7" s="228"/>
      <c r="U7" s="210">
        <v>0.26</v>
      </c>
      <c r="V7" s="14"/>
      <c r="W7" s="14"/>
      <c r="X7" s="14"/>
      <c r="Y7" s="14"/>
      <c r="Z7" s="14"/>
      <c r="AA7" s="14"/>
      <c r="AB7" s="14"/>
      <c r="AC7" s="14"/>
      <c r="AD7" s="228"/>
    </row>
    <row r="8" spans="1:30" ht="14.1" customHeight="1">
      <c r="A8" s="210">
        <v>0.27</v>
      </c>
      <c r="B8" s="14">
        <v>135</v>
      </c>
      <c r="C8" s="14">
        <v>138</v>
      </c>
      <c r="D8" s="14">
        <v>140</v>
      </c>
      <c r="E8" s="14">
        <v>142</v>
      </c>
      <c r="F8" s="14">
        <v>143</v>
      </c>
      <c r="G8" s="14"/>
      <c r="H8" s="14"/>
      <c r="I8" s="14"/>
      <c r="J8" s="228"/>
      <c r="K8" s="210">
        <v>0.27</v>
      </c>
      <c r="L8" s="14"/>
      <c r="M8" s="14"/>
      <c r="N8" s="14"/>
      <c r="O8" s="14"/>
      <c r="P8" s="14"/>
      <c r="Q8" s="14"/>
      <c r="R8" s="14"/>
      <c r="S8" s="14"/>
      <c r="T8" s="228"/>
      <c r="U8" s="210">
        <v>0.27</v>
      </c>
      <c r="V8" s="14"/>
      <c r="W8" s="14"/>
      <c r="X8" s="14"/>
      <c r="Y8" s="14"/>
      <c r="Z8" s="14"/>
      <c r="AA8" s="14"/>
      <c r="AB8" s="14"/>
      <c r="AC8" s="14"/>
      <c r="AD8" s="228"/>
    </row>
    <row r="9" spans="1:30" ht="14.1" customHeight="1">
      <c r="A9" s="210">
        <v>0.28000000000000003</v>
      </c>
      <c r="B9" s="14">
        <v>140</v>
      </c>
      <c r="C9" s="14">
        <v>142</v>
      </c>
      <c r="D9" s="14">
        <v>144</v>
      </c>
      <c r="E9" s="14">
        <v>146</v>
      </c>
      <c r="F9" s="14">
        <v>147</v>
      </c>
      <c r="G9" s="14">
        <v>149</v>
      </c>
      <c r="H9" s="14"/>
      <c r="I9" s="14"/>
      <c r="J9" s="228"/>
      <c r="K9" s="210">
        <v>0.28000000000000003</v>
      </c>
      <c r="L9" s="14"/>
      <c r="M9" s="14"/>
      <c r="N9" s="14">
        <v>149</v>
      </c>
      <c r="O9" s="14">
        <v>151</v>
      </c>
      <c r="P9" s="14">
        <v>154</v>
      </c>
      <c r="Q9" s="14"/>
      <c r="R9" s="14"/>
      <c r="S9" s="14"/>
      <c r="T9" s="228"/>
      <c r="U9" s="210">
        <v>0.28000000000000003</v>
      </c>
      <c r="V9" s="14"/>
      <c r="W9" s="14"/>
      <c r="X9" s="14">
        <v>150</v>
      </c>
      <c r="Y9" s="14">
        <v>155</v>
      </c>
      <c r="Z9" s="14">
        <v>159</v>
      </c>
      <c r="AA9" s="14"/>
      <c r="AB9" s="14"/>
      <c r="AC9" s="14"/>
      <c r="AD9" s="228"/>
    </row>
    <row r="10" spans="1:30" ht="14.1" customHeight="1">
      <c r="A10" s="210">
        <v>0.28999999999999998</v>
      </c>
      <c r="B10" s="14">
        <v>144</v>
      </c>
      <c r="C10" s="14">
        <v>146</v>
      </c>
      <c r="D10" s="14">
        <v>148</v>
      </c>
      <c r="E10" s="14">
        <v>150</v>
      </c>
      <c r="F10" s="14">
        <v>151</v>
      </c>
      <c r="G10" s="14">
        <v>153</v>
      </c>
      <c r="H10" s="14">
        <v>154</v>
      </c>
      <c r="I10" s="14"/>
      <c r="J10" s="228"/>
      <c r="K10" s="210">
        <v>0.28999999999999998</v>
      </c>
      <c r="L10" s="14"/>
      <c r="M10" s="14"/>
      <c r="N10" s="14">
        <v>154</v>
      </c>
      <c r="O10" s="14">
        <v>156</v>
      </c>
      <c r="P10" s="14">
        <v>158</v>
      </c>
      <c r="Q10" s="14">
        <v>159</v>
      </c>
      <c r="R10" s="14"/>
      <c r="S10" s="14"/>
      <c r="T10" s="228"/>
      <c r="U10" s="210">
        <v>0.28999999999999998</v>
      </c>
      <c r="V10" s="14"/>
      <c r="W10" s="14"/>
      <c r="X10" s="14">
        <v>155</v>
      </c>
      <c r="Y10" s="14">
        <v>160</v>
      </c>
      <c r="Z10" s="14">
        <v>164</v>
      </c>
      <c r="AA10" s="14">
        <v>168</v>
      </c>
      <c r="AB10" s="14"/>
      <c r="AC10" s="14"/>
      <c r="AD10" s="228"/>
    </row>
    <row r="11" spans="1:30" ht="14.1" customHeight="1">
      <c r="A11" s="210">
        <v>0.3</v>
      </c>
      <c r="B11" s="14">
        <v>149</v>
      </c>
      <c r="C11" s="14">
        <v>151</v>
      </c>
      <c r="D11" s="14">
        <v>153</v>
      </c>
      <c r="E11" s="14">
        <v>155</v>
      </c>
      <c r="F11" s="14">
        <v>156</v>
      </c>
      <c r="G11" s="14">
        <v>157</v>
      </c>
      <c r="H11" s="14">
        <v>158</v>
      </c>
      <c r="I11" s="14">
        <v>159</v>
      </c>
      <c r="J11" s="228"/>
      <c r="K11" s="210">
        <v>0.3</v>
      </c>
      <c r="L11" s="14"/>
      <c r="M11" s="14"/>
      <c r="N11" s="14">
        <v>158</v>
      </c>
      <c r="O11" s="14">
        <v>160</v>
      </c>
      <c r="P11" s="14">
        <v>162</v>
      </c>
      <c r="Q11" s="14">
        <v>162</v>
      </c>
      <c r="R11" s="14">
        <v>163</v>
      </c>
      <c r="S11" s="14"/>
      <c r="T11" s="228"/>
      <c r="U11" s="210">
        <v>0.3</v>
      </c>
      <c r="V11" s="14"/>
      <c r="W11" s="14"/>
      <c r="X11" s="14">
        <v>160</v>
      </c>
      <c r="Y11" s="14">
        <v>164</v>
      </c>
      <c r="Z11" s="14">
        <v>168</v>
      </c>
      <c r="AA11" s="14">
        <v>172</v>
      </c>
      <c r="AB11" s="14">
        <v>176</v>
      </c>
      <c r="AC11" s="14"/>
      <c r="AD11" s="228"/>
    </row>
    <row r="12" spans="1:30" ht="14.1" customHeight="1">
      <c r="A12" s="210">
        <v>0.31</v>
      </c>
      <c r="B12" s="14">
        <v>154</v>
      </c>
      <c r="C12" s="14">
        <v>156</v>
      </c>
      <c r="D12" s="14">
        <v>157</v>
      </c>
      <c r="E12" s="14">
        <v>159</v>
      </c>
      <c r="F12" s="14">
        <v>160</v>
      </c>
      <c r="G12" s="14">
        <v>161</v>
      </c>
      <c r="H12" s="14">
        <v>162</v>
      </c>
      <c r="I12" s="14">
        <v>163</v>
      </c>
      <c r="J12" s="228">
        <v>164</v>
      </c>
      <c r="K12" s="210">
        <v>0.31</v>
      </c>
      <c r="L12" s="14"/>
      <c r="M12" s="14"/>
      <c r="N12" s="14">
        <v>163</v>
      </c>
      <c r="O12" s="14">
        <v>164</v>
      </c>
      <c r="P12" s="14">
        <v>166</v>
      </c>
      <c r="Q12" s="14">
        <v>166</v>
      </c>
      <c r="R12" s="14">
        <v>167</v>
      </c>
      <c r="S12" s="14">
        <v>167</v>
      </c>
      <c r="T12" s="228"/>
      <c r="U12" s="210">
        <v>0.31</v>
      </c>
      <c r="V12" s="14"/>
      <c r="W12" s="14"/>
      <c r="X12" s="14">
        <v>165</v>
      </c>
      <c r="Y12" s="14">
        <v>168</v>
      </c>
      <c r="Z12" s="14">
        <v>172</v>
      </c>
      <c r="AA12" s="14">
        <v>174</v>
      </c>
      <c r="AB12" s="14">
        <v>180</v>
      </c>
      <c r="AC12" s="14">
        <v>182</v>
      </c>
      <c r="AD12" s="228"/>
    </row>
    <row r="13" spans="1:30" ht="14.1" customHeight="1">
      <c r="A13" s="210">
        <v>0.32</v>
      </c>
      <c r="B13" s="14">
        <v>158</v>
      </c>
      <c r="C13" s="14">
        <v>160</v>
      </c>
      <c r="D13" s="14">
        <v>162</v>
      </c>
      <c r="E13" s="14">
        <v>163</v>
      </c>
      <c r="F13" s="14">
        <v>164</v>
      </c>
      <c r="G13" s="14">
        <v>166</v>
      </c>
      <c r="H13" s="14">
        <v>167</v>
      </c>
      <c r="I13" s="14">
        <v>168</v>
      </c>
      <c r="J13" s="228">
        <v>168</v>
      </c>
      <c r="K13" s="210">
        <v>0.32</v>
      </c>
      <c r="L13" s="14"/>
      <c r="M13" s="14"/>
      <c r="N13" s="14">
        <v>167</v>
      </c>
      <c r="O13" s="14">
        <v>169</v>
      </c>
      <c r="P13" s="14">
        <v>171</v>
      </c>
      <c r="Q13" s="14">
        <v>171</v>
      </c>
      <c r="R13" s="14">
        <v>171</v>
      </c>
      <c r="S13" s="14">
        <v>172</v>
      </c>
      <c r="T13" s="228">
        <v>172</v>
      </c>
      <c r="U13" s="210">
        <v>0.32</v>
      </c>
      <c r="V13" s="14"/>
      <c r="W13" s="14"/>
      <c r="X13" s="14">
        <v>169</v>
      </c>
      <c r="Y13" s="14">
        <v>173</v>
      </c>
      <c r="Z13" s="14">
        <v>177</v>
      </c>
      <c r="AA13" s="14">
        <v>181</v>
      </c>
      <c r="AB13" s="14">
        <v>184</v>
      </c>
      <c r="AC13" s="14">
        <v>186</v>
      </c>
      <c r="AD13" s="228">
        <v>188</v>
      </c>
    </row>
    <row r="14" spans="1:30" ht="14.1" customHeight="1">
      <c r="A14" s="210">
        <v>0.33</v>
      </c>
      <c r="B14" s="14">
        <v>163</v>
      </c>
      <c r="C14" s="14">
        <v>165</v>
      </c>
      <c r="D14" s="14">
        <v>166</v>
      </c>
      <c r="E14" s="14">
        <v>168</v>
      </c>
      <c r="F14" s="14">
        <v>169</v>
      </c>
      <c r="G14" s="14">
        <v>170</v>
      </c>
      <c r="H14" s="14">
        <v>171</v>
      </c>
      <c r="I14" s="14">
        <v>173</v>
      </c>
      <c r="J14" s="228">
        <v>173</v>
      </c>
      <c r="K14" s="210">
        <v>0.33</v>
      </c>
      <c r="L14" s="14"/>
      <c r="M14" s="14"/>
      <c r="N14" s="14">
        <v>171</v>
      </c>
      <c r="O14" s="14">
        <v>173</v>
      </c>
      <c r="P14" s="14">
        <v>175</v>
      </c>
      <c r="Q14" s="14">
        <v>176</v>
      </c>
      <c r="R14" s="14">
        <v>176</v>
      </c>
      <c r="S14" s="14">
        <v>176</v>
      </c>
      <c r="T14" s="228">
        <v>176</v>
      </c>
      <c r="U14" s="210">
        <v>0.33</v>
      </c>
      <c r="V14" s="14"/>
      <c r="W14" s="14"/>
      <c r="X14" s="14">
        <v>174</v>
      </c>
      <c r="Y14" s="14">
        <v>178</v>
      </c>
      <c r="Z14" s="14">
        <v>181</v>
      </c>
      <c r="AA14" s="14">
        <v>185</v>
      </c>
      <c r="AB14" s="14">
        <v>188</v>
      </c>
      <c r="AC14" s="14">
        <v>190</v>
      </c>
      <c r="AD14" s="228">
        <v>192</v>
      </c>
    </row>
    <row r="15" spans="1:30" ht="14.1" customHeight="1">
      <c r="A15" s="210">
        <v>0.34</v>
      </c>
      <c r="B15" s="14">
        <v>168</v>
      </c>
      <c r="C15" s="14">
        <v>170</v>
      </c>
      <c r="D15" s="14">
        <v>171</v>
      </c>
      <c r="E15" s="14">
        <v>172</v>
      </c>
      <c r="F15" s="14">
        <v>173</v>
      </c>
      <c r="G15" s="14">
        <v>174</v>
      </c>
      <c r="H15" s="14">
        <v>175</v>
      </c>
      <c r="I15" s="14">
        <v>176</v>
      </c>
      <c r="J15" s="228">
        <v>177</v>
      </c>
      <c r="K15" s="210">
        <v>0.34</v>
      </c>
      <c r="L15" s="14"/>
      <c r="M15" s="14"/>
      <c r="N15" s="14">
        <v>176</v>
      </c>
      <c r="O15" s="14">
        <v>178</v>
      </c>
      <c r="P15" s="14">
        <v>179</v>
      </c>
      <c r="Q15" s="14">
        <v>179</v>
      </c>
      <c r="R15" s="14">
        <v>180</v>
      </c>
      <c r="S15" s="14">
        <v>180</v>
      </c>
      <c r="T15" s="228">
        <v>180</v>
      </c>
      <c r="U15" s="210">
        <v>0.34</v>
      </c>
      <c r="V15" s="14"/>
      <c r="W15" s="14"/>
      <c r="X15" s="14">
        <v>179</v>
      </c>
      <c r="Y15" s="14">
        <v>183</v>
      </c>
      <c r="Z15" s="14">
        <v>186</v>
      </c>
      <c r="AA15" s="14">
        <v>190</v>
      </c>
      <c r="AB15" s="14">
        <v>193</v>
      </c>
      <c r="AC15" s="14">
        <v>195</v>
      </c>
      <c r="AD15" s="228">
        <v>196</v>
      </c>
    </row>
    <row r="16" spans="1:30" ht="14.1" customHeight="1">
      <c r="A16" s="210">
        <v>0.35</v>
      </c>
      <c r="B16" s="14"/>
      <c r="C16" s="14">
        <v>174</v>
      </c>
      <c r="D16" s="14">
        <v>175</v>
      </c>
      <c r="E16" s="14">
        <v>176</v>
      </c>
      <c r="F16" s="14">
        <v>177</v>
      </c>
      <c r="G16" s="14">
        <v>178</v>
      </c>
      <c r="H16" s="14">
        <v>179</v>
      </c>
      <c r="I16" s="14">
        <v>180</v>
      </c>
      <c r="J16" s="228">
        <v>181</v>
      </c>
      <c r="K16" s="210">
        <v>0.35</v>
      </c>
      <c r="L16" s="14"/>
      <c r="M16" s="14"/>
      <c r="N16" s="14">
        <v>180</v>
      </c>
      <c r="O16" s="14">
        <v>181</v>
      </c>
      <c r="P16" s="14">
        <v>183</v>
      </c>
      <c r="Q16" s="14">
        <v>183</v>
      </c>
      <c r="R16" s="14">
        <v>184</v>
      </c>
      <c r="S16" s="14">
        <v>185</v>
      </c>
      <c r="T16" s="228">
        <v>185</v>
      </c>
      <c r="U16" s="210">
        <v>0.35</v>
      </c>
      <c r="V16" s="14"/>
      <c r="W16" s="14"/>
      <c r="X16" s="14">
        <v>184</v>
      </c>
      <c r="Y16" s="14">
        <v>187</v>
      </c>
      <c r="Z16" s="14">
        <v>190</v>
      </c>
      <c r="AA16" s="14">
        <v>194</v>
      </c>
      <c r="AB16" s="14">
        <v>197</v>
      </c>
      <c r="AC16" s="14">
        <v>199</v>
      </c>
      <c r="AD16" s="228">
        <v>201</v>
      </c>
    </row>
    <row r="17" spans="1:30" ht="14.1" customHeight="1">
      <c r="A17" s="210">
        <v>0.36</v>
      </c>
      <c r="B17" s="14"/>
      <c r="C17" s="14"/>
      <c r="D17" s="14">
        <v>179</v>
      </c>
      <c r="E17" s="14">
        <v>181</v>
      </c>
      <c r="F17" s="14">
        <v>182</v>
      </c>
      <c r="G17" s="14">
        <v>183</v>
      </c>
      <c r="H17" s="14">
        <v>184</v>
      </c>
      <c r="I17" s="14">
        <v>185</v>
      </c>
      <c r="J17" s="228">
        <v>185</v>
      </c>
      <c r="K17" s="210">
        <v>0.36</v>
      </c>
      <c r="L17" s="14"/>
      <c r="M17" s="14"/>
      <c r="N17" s="14">
        <v>185</v>
      </c>
      <c r="O17" s="14">
        <v>186</v>
      </c>
      <c r="P17" s="14">
        <v>187</v>
      </c>
      <c r="Q17" s="14">
        <v>187</v>
      </c>
      <c r="R17" s="14">
        <v>188</v>
      </c>
      <c r="S17" s="14">
        <v>188</v>
      </c>
      <c r="T17" s="228">
        <v>189</v>
      </c>
      <c r="U17" s="210">
        <v>0.36</v>
      </c>
      <c r="V17" s="14"/>
      <c r="W17" s="14"/>
      <c r="X17" s="14">
        <v>189</v>
      </c>
      <c r="Y17" s="14">
        <v>192</v>
      </c>
      <c r="Z17" s="14">
        <v>195</v>
      </c>
      <c r="AA17" s="14">
        <v>198</v>
      </c>
      <c r="AB17" s="14">
        <v>201</v>
      </c>
      <c r="AC17" s="14">
        <v>204</v>
      </c>
      <c r="AD17" s="228">
        <v>205</v>
      </c>
    </row>
    <row r="18" spans="1:30" ht="14.1" customHeight="1">
      <c r="A18" s="210">
        <v>0.37</v>
      </c>
      <c r="B18" s="14"/>
      <c r="C18" s="14"/>
      <c r="D18" s="14"/>
      <c r="E18" s="14">
        <v>185</v>
      </c>
      <c r="F18" s="14">
        <v>186</v>
      </c>
      <c r="G18" s="14">
        <v>187</v>
      </c>
      <c r="H18" s="14">
        <v>188</v>
      </c>
      <c r="I18" s="14">
        <v>189</v>
      </c>
      <c r="J18" s="228">
        <v>190</v>
      </c>
      <c r="K18" s="210">
        <v>0.37</v>
      </c>
      <c r="L18" s="14"/>
      <c r="M18" s="14"/>
      <c r="N18" s="14">
        <v>189</v>
      </c>
      <c r="O18" s="14">
        <v>190</v>
      </c>
      <c r="P18" s="14">
        <v>191</v>
      </c>
      <c r="Q18" s="14">
        <v>191</v>
      </c>
      <c r="R18" s="14">
        <v>192</v>
      </c>
      <c r="S18" s="14">
        <v>193</v>
      </c>
      <c r="T18" s="228">
        <v>193</v>
      </c>
      <c r="U18" s="210">
        <v>0.37</v>
      </c>
      <c r="V18" s="14"/>
      <c r="W18" s="14"/>
      <c r="X18" s="14">
        <v>193</v>
      </c>
      <c r="Y18" s="14">
        <v>196</v>
      </c>
      <c r="Z18" s="14">
        <v>199</v>
      </c>
      <c r="AA18" s="14">
        <v>202</v>
      </c>
      <c r="AB18" s="14">
        <v>205</v>
      </c>
      <c r="AC18" s="14">
        <v>207</v>
      </c>
      <c r="AD18" s="228">
        <v>209</v>
      </c>
    </row>
    <row r="19" spans="1:30" ht="14.1" customHeight="1">
      <c r="A19" s="210">
        <v>0.38</v>
      </c>
      <c r="B19" s="14"/>
      <c r="C19" s="14"/>
      <c r="D19" s="14"/>
      <c r="E19" s="14"/>
      <c r="F19" s="14">
        <v>190</v>
      </c>
      <c r="G19" s="14">
        <v>191</v>
      </c>
      <c r="H19" s="14">
        <v>192</v>
      </c>
      <c r="I19" s="14">
        <v>193</v>
      </c>
      <c r="J19" s="228">
        <v>194</v>
      </c>
      <c r="K19" s="210">
        <v>0.38</v>
      </c>
      <c r="L19" s="14"/>
      <c r="M19" s="14"/>
      <c r="N19" s="14">
        <v>193</v>
      </c>
      <c r="O19" s="14">
        <v>194</v>
      </c>
      <c r="P19" s="14">
        <v>196</v>
      </c>
      <c r="Q19" s="14">
        <v>196</v>
      </c>
      <c r="R19" s="14">
        <v>197</v>
      </c>
      <c r="S19" s="14">
        <v>197</v>
      </c>
      <c r="T19" s="228">
        <v>197</v>
      </c>
      <c r="U19" s="210">
        <v>0.38</v>
      </c>
      <c r="V19" s="14"/>
      <c r="W19" s="14"/>
      <c r="X19" s="14">
        <v>198</v>
      </c>
      <c r="Y19" s="14">
        <v>201</v>
      </c>
      <c r="Z19" s="14">
        <v>204</v>
      </c>
      <c r="AA19" s="14">
        <v>207</v>
      </c>
      <c r="AB19" s="14">
        <v>209</v>
      </c>
      <c r="AC19" s="14">
        <v>211</v>
      </c>
      <c r="AD19" s="228">
        <v>213</v>
      </c>
    </row>
    <row r="20" spans="1:30" ht="14.1" customHeight="1">
      <c r="A20" s="210">
        <v>0.39</v>
      </c>
      <c r="B20" s="14"/>
      <c r="C20" s="14"/>
      <c r="D20" s="14"/>
      <c r="E20" s="14"/>
      <c r="F20" s="14"/>
      <c r="G20" s="14">
        <v>196</v>
      </c>
      <c r="H20" s="14">
        <v>197</v>
      </c>
      <c r="I20" s="14">
        <v>198</v>
      </c>
      <c r="J20" s="228">
        <v>198</v>
      </c>
      <c r="K20" s="210">
        <v>0.39</v>
      </c>
      <c r="L20" s="14"/>
      <c r="M20" s="14"/>
      <c r="N20" s="14">
        <v>198</v>
      </c>
      <c r="O20" s="14">
        <v>199</v>
      </c>
      <c r="P20" s="14">
        <v>200</v>
      </c>
      <c r="Q20" s="14">
        <v>200</v>
      </c>
      <c r="R20" s="14">
        <v>201</v>
      </c>
      <c r="S20" s="14">
        <v>201</v>
      </c>
      <c r="T20" s="228">
        <v>202</v>
      </c>
      <c r="U20" s="210">
        <v>0.39</v>
      </c>
      <c r="V20" s="14"/>
      <c r="W20" s="14"/>
      <c r="X20" s="14">
        <v>203</v>
      </c>
      <c r="Y20" s="14">
        <v>206</v>
      </c>
      <c r="Z20" s="14">
        <v>208</v>
      </c>
      <c r="AA20" s="14">
        <v>211</v>
      </c>
      <c r="AB20" s="14">
        <v>214</v>
      </c>
      <c r="AC20" s="14">
        <v>216</v>
      </c>
      <c r="AD20" s="228">
        <v>217</v>
      </c>
    </row>
    <row r="21" spans="1:30" ht="14.1" customHeight="1">
      <c r="A21" s="210">
        <v>0.4</v>
      </c>
      <c r="B21" s="14"/>
      <c r="C21" s="14"/>
      <c r="D21" s="14"/>
      <c r="E21" s="14"/>
      <c r="F21" s="14"/>
      <c r="G21" s="14"/>
      <c r="H21" s="14">
        <v>201</v>
      </c>
      <c r="I21" s="14">
        <v>202</v>
      </c>
      <c r="J21" s="228">
        <v>203</v>
      </c>
      <c r="K21" s="210">
        <v>0.4</v>
      </c>
      <c r="L21" s="14"/>
      <c r="M21" s="14"/>
      <c r="N21" s="14">
        <v>202</v>
      </c>
      <c r="O21" s="14">
        <v>203</v>
      </c>
      <c r="P21" s="14">
        <v>204</v>
      </c>
      <c r="Q21" s="14">
        <v>204</v>
      </c>
      <c r="R21" s="14">
        <v>205</v>
      </c>
      <c r="S21" s="14">
        <v>205</v>
      </c>
      <c r="T21" s="228">
        <v>206</v>
      </c>
      <c r="U21" s="210">
        <v>0.4</v>
      </c>
      <c r="V21" s="14"/>
      <c r="W21" s="14"/>
      <c r="X21" s="14">
        <v>208</v>
      </c>
      <c r="Y21" s="14">
        <v>211</v>
      </c>
      <c r="Z21" s="14">
        <v>213</v>
      </c>
      <c r="AA21" s="14">
        <v>216</v>
      </c>
      <c r="AB21" s="14">
        <v>218</v>
      </c>
      <c r="AC21" s="14">
        <v>220</v>
      </c>
      <c r="AD21" s="228">
        <v>221</v>
      </c>
    </row>
    <row r="22" spans="1:30" ht="14.1" customHeight="1">
      <c r="A22" s="210">
        <v>0.41</v>
      </c>
      <c r="B22" s="14"/>
      <c r="C22" s="14"/>
      <c r="D22" s="14"/>
      <c r="E22" s="14"/>
      <c r="F22" s="14"/>
      <c r="G22" s="14"/>
      <c r="H22" s="14"/>
      <c r="I22" s="14">
        <v>206</v>
      </c>
      <c r="J22" s="228">
        <v>207</v>
      </c>
      <c r="K22" s="210">
        <v>0.41</v>
      </c>
      <c r="L22" s="14"/>
      <c r="M22" s="14"/>
      <c r="N22" s="14">
        <v>206</v>
      </c>
      <c r="O22" s="14">
        <v>207</v>
      </c>
      <c r="P22" s="14">
        <v>208</v>
      </c>
      <c r="Q22" s="14">
        <v>208</v>
      </c>
      <c r="R22" s="14">
        <v>209</v>
      </c>
      <c r="S22" s="14">
        <v>209</v>
      </c>
      <c r="T22" s="228">
        <v>210</v>
      </c>
      <c r="U22" s="210">
        <v>0.41</v>
      </c>
      <c r="V22" s="14"/>
      <c r="W22" s="14"/>
      <c r="X22" s="14">
        <v>213</v>
      </c>
      <c r="Y22" s="14">
        <v>215</v>
      </c>
      <c r="Z22" s="14">
        <v>217</v>
      </c>
      <c r="AA22" s="14">
        <v>220</v>
      </c>
      <c r="AB22" s="14">
        <v>222</v>
      </c>
      <c r="AC22" s="14">
        <v>224</v>
      </c>
      <c r="AD22" s="228">
        <v>225</v>
      </c>
    </row>
    <row r="23" spans="1:30" ht="14.1" customHeight="1" thickBot="1">
      <c r="A23" s="211">
        <v>0.42</v>
      </c>
      <c r="B23" s="212"/>
      <c r="C23" s="212"/>
      <c r="D23" s="212"/>
      <c r="E23" s="212"/>
      <c r="F23" s="212"/>
      <c r="G23" s="212"/>
      <c r="H23" s="212"/>
      <c r="I23" s="212"/>
      <c r="J23" s="181">
        <v>211</v>
      </c>
      <c r="K23" s="211">
        <v>0.42</v>
      </c>
      <c r="L23" s="212"/>
      <c r="M23" s="212"/>
      <c r="N23" s="212">
        <v>211</v>
      </c>
      <c r="O23" s="212">
        <v>211</v>
      </c>
      <c r="P23" s="212">
        <v>212</v>
      </c>
      <c r="Q23" s="212">
        <v>212</v>
      </c>
      <c r="R23" s="212">
        <v>213</v>
      </c>
      <c r="S23" s="212">
        <v>213</v>
      </c>
      <c r="T23" s="181">
        <v>214</v>
      </c>
      <c r="U23" s="211">
        <v>0.42</v>
      </c>
      <c r="V23" s="212"/>
      <c r="W23" s="212"/>
      <c r="X23" s="212">
        <v>218</v>
      </c>
      <c r="Y23" s="212">
        <v>220</v>
      </c>
      <c r="Z23" s="212">
        <v>222</v>
      </c>
      <c r="AA23" s="212">
        <v>224</v>
      </c>
      <c r="AB23" s="212">
        <v>226</v>
      </c>
      <c r="AC23" s="212">
        <v>228</v>
      </c>
      <c r="AD23" s="181">
        <v>229</v>
      </c>
    </row>
    <row r="25" spans="1:30" ht="14.1" customHeight="1" thickBot="1">
      <c r="A25" s="79" t="s">
        <v>446</v>
      </c>
      <c r="N25" s="79" t="s">
        <v>447</v>
      </c>
    </row>
    <row r="26" spans="1:30" ht="14.1" customHeight="1">
      <c r="A26" s="311"/>
      <c r="B26" s="823" t="s">
        <v>25</v>
      </c>
      <c r="C26" s="823"/>
      <c r="D26" s="823"/>
      <c r="E26" s="823"/>
      <c r="F26" s="823"/>
      <c r="G26" s="823"/>
      <c r="H26" s="823"/>
      <c r="I26" s="823"/>
      <c r="J26" s="823"/>
      <c r="K26" s="823"/>
      <c r="L26" s="823"/>
      <c r="M26" s="225"/>
      <c r="N26" s="311"/>
      <c r="O26" s="822" t="s">
        <v>25</v>
      </c>
      <c r="P26" s="822"/>
      <c r="Q26" s="822"/>
      <c r="R26" s="822"/>
      <c r="S26" s="822"/>
      <c r="T26" s="822"/>
      <c r="U26" s="822"/>
      <c r="V26" s="822"/>
      <c r="W26" s="822"/>
      <c r="X26" s="822"/>
      <c r="Y26" s="822"/>
      <c r="Z26" s="822"/>
      <c r="AA26" s="822"/>
    </row>
    <row r="27" spans="1:30" ht="14.1" customHeight="1">
      <c r="A27" s="210" t="s">
        <v>357</v>
      </c>
      <c r="B27" s="14">
        <v>22</v>
      </c>
      <c r="C27" s="14">
        <v>23</v>
      </c>
      <c r="D27" s="14">
        <v>24</v>
      </c>
      <c r="E27" s="14">
        <v>25</v>
      </c>
      <c r="F27" s="14">
        <v>26</v>
      </c>
      <c r="G27" s="14">
        <v>27</v>
      </c>
      <c r="H27" s="14">
        <v>28</v>
      </c>
      <c r="I27" s="14">
        <v>29</v>
      </c>
      <c r="J27" s="14">
        <v>30</v>
      </c>
      <c r="K27" s="14">
        <v>31</v>
      </c>
      <c r="L27" s="14">
        <v>32</v>
      </c>
      <c r="M27" s="228">
        <v>33</v>
      </c>
      <c r="N27" s="210" t="s">
        <v>357</v>
      </c>
      <c r="O27" s="14">
        <v>27</v>
      </c>
      <c r="P27" s="14">
        <v>28</v>
      </c>
      <c r="Q27" s="14">
        <v>29</v>
      </c>
      <c r="R27" s="14">
        <v>30</v>
      </c>
      <c r="S27" s="14">
        <v>31</v>
      </c>
      <c r="T27" s="14">
        <v>32</v>
      </c>
      <c r="U27" s="14">
        <v>33</v>
      </c>
      <c r="V27" s="14">
        <v>34</v>
      </c>
      <c r="W27" s="14">
        <v>35</v>
      </c>
      <c r="X27" s="14">
        <v>36</v>
      </c>
      <c r="Y27" s="14">
        <v>37</v>
      </c>
      <c r="Z27" s="14">
        <v>38</v>
      </c>
      <c r="AA27" s="228">
        <v>39</v>
      </c>
    </row>
    <row r="28" spans="1:30" ht="14.1" customHeight="1">
      <c r="A28" s="210">
        <v>0.3</v>
      </c>
      <c r="B28" s="14">
        <v>152</v>
      </c>
      <c r="C28" s="14">
        <v>157</v>
      </c>
      <c r="D28" s="14">
        <v>163</v>
      </c>
      <c r="E28" s="14">
        <v>166</v>
      </c>
      <c r="F28" s="14">
        <v>170</v>
      </c>
      <c r="G28" s="14">
        <v>173</v>
      </c>
      <c r="H28" s="14">
        <v>175</v>
      </c>
      <c r="I28" s="14">
        <v>177</v>
      </c>
      <c r="J28" s="14">
        <v>179</v>
      </c>
      <c r="K28" s="14">
        <v>182</v>
      </c>
      <c r="L28" s="14">
        <v>184</v>
      </c>
      <c r="M28" s="228">
        <v>187</v>
      </c>
      <c r="N28" s="210">
        <v>0.4</v>
      </c>
      <c r="O28" s="14">
        <v>222</v>
      </c>
      <c r="P28" s="14">
        <v>226</v>
      </c>
      <c r="Q28" s="14">
        <v>229</v>
      </c>
      <c r="R28" s="14">
        <v>231</v>
      </c>
      <c r="S28" s="14">
        <v>234</v>
      </c>
      <c r="T28" s="14">
        <v>236</v>
      </c>
      <c r="U28" s="14">
        <v>239</v>
      </c>
      <c r="V28" s="14">
        <v>241</v>
      </c>
      <c r="W28" s="14">
        <v>244</v>
      </c>
      <c r="X28" s="14">
        <v>246</v>
      </c>
      <c r="Y28" s="14">
        <v>248</v>
      </c>
      <c r="Z28" s="14">
        <v>250</v>
      </c>
      <c r="AA28" s="228">
        <v>252</v>
      </c>
    </row>
    <row r="29" spans="1:30" ht="14.1" customHeight="1">
      <c r="A29" s="210">
        <v>0.32500000000000001</v>
      </c>
      <c r="B29" s="14">
        <v>163</v>
      </c>
      <c r="C29" s="14">
        <v>169</v>
      </c>
      <c r="D29" s="14">
        <v>174</v>
      </c>
      <c r="E29" s="14">
        <v>177</v>
      </c>
      <c r="F29" s="14">
        <v>181</v>
      </c>
      <c r="G29" s="14">
        <v>183</v>
      </c>
      <c r="H29" s="14">
        <v>186</v>
      </c>
      <c r="I29" s="14">
        <v>188</v>
      </c>
      <c r="J29" s="14">
        <v>190</v>
      </c>
      <c r="K29" s="14">
        <v>192</v>
      </c>
      <c r="L29" s="14">
        <v>195</v>
      </c>
      <c r="M29" s="228">
        <v>197</v>
      </c>
      <c r="N29" s="210">
        <v>0.42499999999999999</v>
      </c>
      <c r="O29" s="14">
        <v>233</v>
      </c>
      <c r="P29" s="14">
        <v>236</v>
      </c>
      <c r="Q29" s="14">
        <v>239</v>
      </c>
      <c r="R29" s="14">
        <v>242</v>
      </c>
      <c r="S29" s="14">
        <v>244</v>
      </c>
      <c r="T29" s="14">
        <v>246</v>
      </c>
      <c r="U29" s="14">
        <v>248</v>
      </c>
      <c r="V29" s="14">
        <v>251</v>
      </c>
      <c r="W29" s="14">
        <v>253</v>
      </c>
      <c r="X29" s="14">
        <v>256</v>
      </c>
      <c r="Y29" s="14">
        <v>258</v>
      </c>
      <c r="Z29" s="14">
        <v>260</v>
      </c>
      <c r="AA29" s="228">
        <v>262</v>
      </c>
    </row>
    <row r="30" spans="1:30" ht="14.1" customHeight="1">
      <c r="A30" s="210">
        <v>0.35</v>
      </c>
      <c r="B30" s="14">
        <v>175</v>
      </c>
      <c r="C30" s="14">
        <v>180</v>
      </c>
      <c r="D30" s="14">
        <v>185</v>
      </c>
      <c r="E30" s="14">
        <v>188</v>
      </c>
      <c r="F30" s="14">
        <v>191</v>
      </c>
      <c r="G30" s="14">
        <v>194</v>
      </c>
      <c r="H30" s="14">
        <v>196</v>
      </c>
      <c r="I30" s="14">
        <v>198</v>
      </c>
      <c r="J30" s="14">
        <v>200</v>
      </c>
      <c r="K30" s="14">
        <v>202</v>
      </c>
      <c r="L30" s="14">
        <v>205</v>
      </c>
      <c r="M30" s="228">
        <v>207</v>
      </c>
      <c r="N30" s="210">
        <v>0.45</v>
      </c>
      <c r="O30" s="14">
        <v>244</v>
      </c>
      <c r="P30" s="14">
        <v>247</v>
      </c>
      <c r="Q30" s="14">
        <v>249</v>
      </c>
      <c r="R30" s="14">
        <v>252</v>
      </c>
      <c r="S30" s="14">
        <v>254</v>
      </c>
      <c r="T30" s="14">
        <v>256</v>
      </c>
      <c r="U30" s="14">
        <v>258</v>
      </c>
      <c r="V30" s="14">
        <v>260</v>
      </c>
      <c r="W30" s="14">
        <v>263</v>
      </c>
      <c r="X30" s="14">
        <v>265</v>
      </c>
      <c r="Y30" s="14">
        <v>267</v>
      </c>
      <c r="Z30" s="14">
        <v>269</v>
      </c>
      <c r="AA30" s="228">
        <v>271</v>
      </c>
    </row>
    <row r="31" spans="1:30" ht="14.1" customHeight="1">
      <c r="A31" s="210">
        <v>0.375</v>
      </c>
      <c r="B31" s="14">
        <v>186</v>
      </c>
      <c r="C31" s="14">
        <v>191</v>
      </c>
      <c r="D31" s="14">
        <v>196</v>
      </c>
      <c r="E31" s="14">
        <v>199</v>
      </c>
      <c r="F31" s="14">
        <v>202</v>
      </c>
      <c r="G31" s="14">
        <v>205</v>
      </c>
      <c r="H31" s="14">
        <v>207</v>
      </c>
      <c r="I31" s="14">
        <v>209</v>
      </c>
      <c r="J31" s="14">
        <v>211</v>
      </c>
      <c r="K31" s="14">
        <v>213</v>
      </c>
      <c r="L31" s="14">
        <v>215</v>
      </c>
      <c r="M31" s="228">
        <v>218</v>
      </c>
      <c r="N31" s="210">
        <v>0.47499999999999998</v>
      </c>
      <c r="O31" s="14">
        <v>254</v>
      </c>
      <c r="P31" s="14">
        <v>257</v>
      </c>
      <c r="Q31" s="14">
        <v>260</v>
      </c>
      <c r="R31" s="14">
        <v>262</v>
      </c>
      <c r="S31" s="14">
        <v>264</v>
      </c>
      <c r="T31" s="14">
        <v>266</v>
      </c>
      <c r="U31" s="14">
        <v>268</v>
      </c>
      <c r="V31" s="14">
        <v>270</v>
      </c>
      <c r="W31" s="14">
        <v>273</v>
      </c>
      <c r="X31" s="14">
        <v>275</v>
      </c>
      <c r="Y31" s="14">
        <v>277</v>
      </c>
      <c r="Z31" s="14">
        <v>279</v>
      </c>
      <c r="AA31" s="228">
        <v>281</v>
      </c>
    </row>
    <row r="32" spans="1:30" ht="14.1" customHeight="1">
      <c r="A32" s="210">
        <v>0.4</v>
      </c>
      <c r="B32" s="14">
        <v>198</v>
      </c>
      <c r="C32" s="14">
        <v>203</v>
      </c>
      <c r="D32" s="14">
        <v>207</v>
      </c>
      <c r="E32" s="14">
        <v>210</v>
      </c>
      <c r="F32" s="14">
        <v>213</v>
      </c>
      <c r="G32" s="14">
        <v>215</v>
      </c>
      <c r="H32" s="14">
        <v>217</v>
      </c>
      <c r="I32" s="14">
        <v>219</v>
      </c>
      <c r="J32" s="14">
        <v>221</v>
      </c>
      <c r="K32" s="14">
        <v>223</v>
      </c>
      <c r="L32" s="14">
        <v>226</v>
      </c>
      <c r="M32" s="228">
        <v>228</v>
      </c>
      <c r="N32" s="210">
        <v>0.5</v>
      </c>
      <c r="O32" s="14">
        <v>265</v>
      </c>
      <c r="P32" s="14">
        <v>267</v>
      </c>
      <c r="Q32" s="14">
        <v>270</v>
      </c>
      <c r="R32" s="14">
        <v>272</v>
      </c>
      <c r="S32" s="14">
        <v>274</v>
      </c>
      <c r="T32" s="14">
        <v>276</v>
      </c>
      <c r="U32" s="14">
        <v>278</v>
      </c>
      <c r="V32" s="14">
        <v>280</v>
      </c>
      <c r="W32" s="14">
        <v>282</v>
      </c>
      <c r="X32" s="14">
        <v>284</v>
      </c>
      <c r="Y32" s="14">
        <v>286</v>
      </c>
      <c r="Z32" s="14">
        <v>288</v>
      </c>
      <c r="AA32" s="228">
        <v>290</v>
      </c>
    </row>
    <row r="33" spans="1:27" ht="14.1" customHeight="1">
      <c r="A33" s="210">
        <v>0.42499999999999999</v>
      </c>
      <c r="B33" s="14">
        <v>209</v>
      </c>
      <c r="C33" s="14">
        <v>214</v>
      </c>
      <c r="D33" s="14">
        <v>218</v>
      </c>
      <c r="E33" s="14">
        <v>221</v>
      </c>
      <c r="F33" s="14">
        <v>224</v>
      </c>
      <c r="G33" s="14">
        <v>226</v>
      </c>
      <c r="H33" s="14">
        <v>228</v>
      </c>
      <c r="I33" s="14">
        <v>230</v>
      </c>
      <c r="J33" s="14">
        <v>232</v>
      </c>
      <c r="K33" s="14">
        <v>234</v>
      </c>
      <c r="L33" s="14">
        <v>236</v>
      </c>
      <c r="M33" s="228">
        <v>238</v>
      </c>
      <c r="N33" s="210">
        <v>0.52500000000000002</v>
      </c>
      <c r="O33" s="14">
        <v>275</v>
      </c>
      <c r="P33" s="14">
        <v>278</v>
      </c>
      <c r="Q33" s="14">
        <v>280</v>
      </c>
      <c r="R33" s="14">
        <v>282</v>
      </c>
      <c r="S33" s="14">
        <v>284</v>
      </c>
      <c r="T33" s="14">
        <v>286</v>
      </c>
      <c r="U33" s="14">
        <v>288</v>
      </c>
      <c r="V33" s="14">
        <v>290</v>
      </c>
      <c r="W33" s="14">
        <v>292</v>
      </c>
      <c r="X33" s="14">
        <v>294</v>
      </c>
      <c r="Y33" s="14">
        <v>296</v>
      </c>
      <c r="Z33" s="14">
        <v>298</v>
      </c>
      <c r="AA33" s="228">
        <v>300</v>
      </c>
    </row>
    <row r="34" spans="1:27" ht="14.1" customHeight="1">
      <c r="A34" s="210">
        <v>0.45</v>
      </c>
      <c r="B34" s="14">
        <v>221</v>
      </c>
      <c r="C34" s="14">
        <v>226</v>
      </c>
      <c r="D34" s="14">
        <v>230</v>
      </c>
      <c r="E34" s="14">
        <v>232</v>
      </c>
      <c r="F34" s="14">
        <v>235</v>
      </c>
      <c r="G34" s="14">
        <v>237</v>
      </c>
      <c r="H34" s="14">
        <v>238</v>
      </c>
      <c r="I34" s="14">
        <v>240</v>
      </c>
      <c r="J34" s="14">
        <v>242</v>
      </c>
      <c r="K34" s="14">
        <v>244</v>
      </c>
      <c r="L34" s="14">
        <v>246</v>
      </c>
      <c r="M34" s="228">
        <v>248</v>
      </c>
      <c r="N34" s="210">
        <v>0.55000000000000004</v>
      </c>
      <c r="O34" s="14">
        <v>286</v>
      </c>
      <c r="P34" s="14">
        <v>288</v>
      </c>
      <c r="Q34" s="14">
        <v>290</v>
      </c>
      <c r="R34" s="14">
        <v>292</v>
      </c>
      <c r="S34" s="14">
        <v>294</v>
      </c>
      <c r="T34" s="14">
        <v>296</v>
      </c>
      <c r="U34" s="14">
        <v>298</v>
      </c>
      <c r="V34" s="14">
        <v>299</v>
      </c>
      <c r="W34" s="14">
        <v>301</v>
      </c>
      <c r="X34" s="14">
        <v>303</v>
      </c>
      <c r="Y34" s="14">
        <v>305</v>
      </c>
      <c r="Z34" s="14">
        <v>307</v>
      </c>
      <c r="AA34" s="228">
        <v>309</v>
      </c>
    </row>
    <row r="35" spans="1:27" ht="14.1" customHeight="1">
      <c r="A35" s="210">
        <v>0.47499999999999998</v>
      </c>
      <c r="B35" s="14">
        <v>233</v>
      </c>
      <c r="C35" s="14">
        <v>237</v>
      </c>
      <c r="D35" s="14">
        <v>241</v>
      </c>
      <c r="E35" s="14">
        <v>243</v>
      </c>
      <c r="F35" s="14">
        <v>245</v>
      </c>
      <c r="G35" s="14">
        <v>247</v>
      </c>
      <c r="H35" s="14">
        <v>249</v>
      </c>
      <c r="I35" s="14">
        <v>251</v>
      </c>
      <c r="J35" s="14">
        <v>253</v>
      </c>
      <c r="K35" s="14">
        <v>254</v>
      </c>
      <c r="L35" s="14">
        <v>256</v>
      </c>
      <c r="M35" s="228">
        <v>258</v>
      </c>
      <c r="N35" s="210">
        <v>0.57499999999999996</v>
      </c>
      <c r="O35" s="14">
        <v>296</v>
      </c>
      <c r="P35" s="14">
        <v>298</v>
      </c>
      <c r="Q35" s="14">
        <v>3090</v>
      </c>
      <c r="R35" s="14">
        <v>302</v>
      </c>
      <c r="S35" s="14">
        <v>304</v>
      </c>
      <c r="T35" s="14">
        <v>305</v>
      </c>
      <c r="U35" s="14">
        <v>307</v>
      </c>
      <c r="V35" s="14">
        <v>309</v>
      </c>
      <c r="W35" s="14">
        <v>311</v>
      </c>
      <c r="X35" s="14">
        <v>313</v>
      </c>
      <c r="Y35" s="14">
        <v>315</v>
      </c>
      <c r="Z35" s="14">
        <v>317</v>
      </c>
      <c r="AA35" s="228">
        <v>318</v>
      </c>
    </row>
    <row r="36" spans="1:27" ht="14.1" customHeight="1">
      <c r="A36" s="210">
        <v>0.5</v>
      </c>
      <c r="B36" s="14">
        <v>244</v>
      </c>
      <c r="C36" s="14">
        <v>248</v>
      </c>
      <c r="D36" s="14">
        <v>252</v>
      </c>
      <c r="E36" s="14">
        <v>254</v>
      </c>
      <c r="F36" s="14">
        <v>256</v>
      </c>
      <c r="G36" s="14">
        <v>258</v>
      </c>
      <c r="H36" s="14">
        <v>260</v>
      </c>
      <c r="I36" s="14">
        <v>261</v>
      </c>
      <c r="J36" s="14">
        <v>263</v>
      </c>
      <c r="K36" s="14">
        <v>265</v>
      </c>
      <c r="L36" s="14">
        <v>267</v>
      </c>
      <c r="M36" s="228">
        <v>269</v>
      </c>
      <c r="N36" s="210">
        <v>0.6</v>
      </c>
      <c r="O36" s="14">
        <v>306</v>
      </c>
      <c r="P36" s="14">
        <v>308</v>
      </c>
      <c r="Q36" s="14">
        <v>310</v>
      </c>
      <c r="R36" s="14">
        <v>312</v>
      </c>
      <c r="S36" s="14">
        <v>313</v>
      </c>
      <c r="T36" s="14">
        <v>315</v>
      </c>
      <c r="U36" s="14">
        <v>317</v>
      </c>
      <c r="V36" s="14">
        <v>319</v>
      </c>
      <c r="W36" s="14">
        <v>320</v>
      </c>
      <c r="X36" s="14">
        <v>322</v>
      </c>
      <c r="Y36" s="14">
        <v>324</v>
      </c>
      <c r="Z36" s="14">
        <v>326</v>
      </c>
      <c r="AA36" s="228">
        <v>328</v>
      </c>
    </row>
    <row r="37" spans="1:27" ht="14.1" customHeight="1">
      <c r="A37" s="210">
        <v>0.52500000000000002</v>
      </c>
      <c r="B37" s="14">
        <v>256</v>
      </c>
      <c r="C37" s="14">
        <v>260</v>
      </c>
      <c r="D37" s="14">
        <v>263</v>
      </c>
      <c r="E37" s="14">
        <v>265</v>
      </c>
      <c r="F37" s="14">
        <v>267</v>
      </c>
      <c r="G37" s="14">
        <v>269</v>
      </c>
      <c r="H37" s="14">
        <v>270</v>
      </c>
      <c r="I37" s="14">
        <v>272</v>
      </c>
      <c r="J37" s="14">
        <v>273</v>
      </c>
      <c r="K37" s="14">
        <v>275</v>
      </c>
      <c r="L37" s="14">
        <v>277</v>
      </c>
      <c r="M37" s="228">
        <v>279</v>
      </c>
      <c r="N37" s="210">
        <v>0.625</v>
      </c>
      <c r="O37" s="14">
        <v>316</v>
      </c>
      <c r="P37" s="14">
        <v>318</v>
      </c>
      <c r="Q37" s="14">
        <v>320</v>
      </c>
      <c r="R37" s="14">
        <v>322</v>
      </c>
      <c r="S37" s="14">
        <v>323</v>
      </c>
      <c r="T37" s="14">
        <v>325</v>
      </c>
      <c r="U37" s="14">
        <v>326</v>
      </c>
      <c r="V37" s="14">
        <v>328</v>
      </c>
      <c r="W37" s="14">
        <v>330</v>
      </c>
      <c r="X37" s="14">
        <v>332</v>
      </c>
      <c r="Y37" s="14">
        <v>333</v>
      </c>
      <c r="Z37" s="14">
        <v>335</v>
      </c>
      <c r="AA37" s="228">
        <v>337</v>
      </c>
    </row>
    <row r="38" spans="1:27" ht="14.1" customHeight="1">
      <c r="A38" s="210">
        <v>0.55000000000000004</v>
      </c>
      <c r="B38" s="14">
        <v>267</v>
      </c>
      <c r="C38" s="14">
        <v>271</v>
      </c>
      <c r="D38" s="14">
        <v>274</v>
      </c>
      <c r="E38" s="14">
        <v>276</v>
      </c>
      <c r="F38" s="14">
        <v>278</v>
      </c>
      <c r="G38" s="14">
        <v>279</v>
      </c>
      <c r="H38" s="14">
        <v>281</v>
      </c>
      <c r="I38" s="14">
        <v>282</v>
      </c>
      <c r="J38" s="14">
        <v>284</v>
      </c>
      <c r="K38" s="14">
        <v>285</v>
      </c>
      <c r="L38" s="14">
        <v>287</v>
      </c>
      <c r="M38" s="228">
        <v>289</v>
      </c>
      <c r="N38" s="210">
        <v>0.65</v>
      </c>
      <c r="O38" s="14">
        <v>326</v>
      </c>
      <c r="P38" s="14">
        <v>328</v>
      </c>
      <c r="Q38" s="14">
        <v>330</v>
      </c>
      <c r="R38" s="14">
        <v>331</v>
      </c>
      <c r="S38" s="14">
        <v>333</v>
      </c>
      <c r="T38" s="14">
        <v>334</v>
      </c>
      <c r="U38" s="14">
        <v>336</v>
      </c>
      <c r="V38" s="14">
        <v>338</v>
      </c>
      <c r="W38" s="14">
        <v>339</v>
      </c>
      <c r="X38" s="14">
        <v>341</v>
      </c>
      <c r="Y38" s="14">
        <v>343</v>
      </c>
      <c r="Z38" s="14">
        <v>344</v>
      </c>
      <c r="AA38" s="228">
        <v>346</v>
      </c>
    </row>
    <row r="39" spans="1:27" ht="14.1" customHeight="1">
      <c r="A39" s="210">
        <v>0.57499999999999996</v>
      </c>
      <c r="B39" s="14">
        <v>279</v>
      </c>
      <c r="C39" s="14">
        <v>282</v>
      </c>
      <c r="D39" s="14">
        <v>285</v>
      </c>
      <c r="E39" s="14">
        <v>287</v>
      </c>
      <c r="F39" s="14">
        <v>288</v>
      </c>
      <c r="G39" s="14">
        <v>290</v>
      </c>
      <c r="H39" s="14">
        <v>291</v>
      </c>
      <c r="I39" s="14">
        <v>292</v>
      </c>
      <c r="J39" s="14">
        <v>294</v>
      </c>
      <c r="K39" s="14">
        <v>296</v>
      </c>
      <c r="L39" s="14">
        <v>297</v>
      </c>
      <c r="M39" s="228">
        <v>299</v>
      </c>
      <c r="N39" s="210">
        <v>0.67500000000000004</v>
      </c>
      <c r="O39" s="14">
        <v>336</v>
      </c>
      <c r="P39" s="14">
        <v>338</v>
      </c>
      <c r="Q39" s="14">
        <v>339</v>
      </c>
      <c r="R39" s="14">
        <v>341</v>
      </c>
      <c r="S39" s="14">
        <v>342</v>
      </c>
      <c r="T39" s="14">
        <v>344</v>
      </c>
      <c r="U39" s="14">
        <v>345</v>
      </c>
      <c r="V39" s="14">
        <v>347</v>
      </c>
      <c r="W39" s="14">
        <v>349</v>
      </c>
      <c r="X39" s="14">
        <v>350</v>
      </c>
      <c r="Y39" s="14">
        <v>352</v>
      </c>
      <c r="Z39" s="14">
        <v>354</v>
      </c>
      <c r="AA39" s="228">
        <v>355</v>
      </c>
    </row>
    <row r="40" spans="1:27" ht="14.1" customHeight="1">
      <c r="A40" s="210">
        <v>0.6</v>
      </c>
      <c r="B40" s="14">
        <v>290</v>
      </c>
      <c r="C40" s="14">
        <v>293</v>
      </c>
      <c r="D40" s="14">
        <v>296</v>
      </c>
      <c r="E40" s="14">
        <v>297</v>
      </c>
      <c r="F40" s="14">
        <v>299</v>
      </c>
      <c r="G40" s="14">
        <v>300</v>
      </c>
      <c r="H40" s="14">
        <v>301</v>
      </c>
      <c r="I40" s="14">
        <v>303</v>
      </c>
      <c r="J40" s="14">
        <v>304</v>
      </c>
      <c r="K40" s="14">
        <v>306</v>
      </c>
      <c r="L40" s="14">
        <v>308</v>
      </c>
      <c r="M40" s="228">
        <v>310</v>
      </c>
      <c r="N40" s="210">
        <v>0.7</v>
      </c>
      <c r="O40" s="14">
        <v>346</v>
      </c>
      <c r="P40" s="14">
        <v>348</v>
      </c>
      <c r="Q40" s="14">
        <v>349</v>
      </c>
      <c r="R40" s="14">
        <v>350</v>
      </c>
      <c r="S40" s="14">
        <v>352</v>
      </c>
      <c r="T40" s="14">
        <v>353</v>
      </c>
      <c r="U40" s="14">
        <v>355</v>
      </c>
      <c r="V40" s="14">
        <v>356</v>
      </c>
      <c r="W40" s="14">
        <v>358</v>
      </c>
      <c r="X40" s="14">
        <v>359</v>
      </c>
      <c r="Y40" s="14">
        <v>361</v>
      </c>
      <c r="Z40" s="14">
        <v>363</v>
      </c>
      <c r="AA40" s="228">
        <v>364</v>
      </c>
    </row>
    <row r="41" spans="1:27" ht="14.1" customHeight="1">
      <c r="A41" s="210">
        <v>0.625</v>
      </c>
      <c r="B41" s="14">
        <v>301</v>
      </c>
      <c r="C41" s="14">
        <v>304</v>
      </c>
      <c r="D41" s="14">
        <v>306</v>
      </c>
      <c r="E41" s="14">
        <v>308</v>
      </c>
      <c r="F41" s="14">
        <v>309</v>
      </c>
      <c r="G41" s="14">
        <v>310</v>
      </c>
      <c r="H41" s="14">
        <v>312</v>
      </c>
      <c r="I41" s="14">
        <v>313</v>
      </c>
      <c r="J41" s="14">
        <v>315</v>
      </c>
      <c r="K41" s="14">
        <v>316</v>
      </c>
      <c r="L41" s="14">
        <v>318</v>
      </c>
      <c r="M41" s="228">
        <v>320</v>
      </c>
      <c r="N41" s="210">
        <v>0.72499999999999998</v>
      </c>
      <c r="O41" s="14">
        <v>356</v>
      </c>
      <c r="P41" s="14">
        <v>357</v>
      </c>
      <c r="Q41" s="14">
        <v>358</v>
      </c>
      <c r="R41" s="14">
        <v>360</v>
      </c>
      <c r="S41" s="14">
        <v>361</v>
      </c>
      <c r="T41" s="14">
        <v>362</v>
      </c>
      <c r="U41" s="14">
        <v>364</v>
      </c>
      <c r="V41" s="14">
        <v>365</v>
      </c>
      <c r="W41" s="14">
        <v>367</v>
      </c>
      <c r="X41" s="14">
        <v>368</v>
      </c>
      <c r="Y41" s="14">
        <v>370</v>
      </c>
      <c r="Z41" s="14">
        <v>372</v>
      </c>
      <c r="AA41" s="228">
        <v>373</v>
      </c>
    </row>
    <row r="42" spans="1:27" ht="14.1" customHeight="1">
      <c r="A42" s="210">
        <v>0.65</v>
      </c>
      <c r="B42" s="14">
        <v>312</v>
      </c>
      <c r="C42" s="14">
        <v>314</v>
      </c>
      <c r="D42" s="14">
        <v>317</v>
      </c>
      <c r="E42" s="14">
        <v>318</v>
      </c>
      <c r="F42" s="14">
        <v>320</v>
      </c>
      <c r="G42" s="14">
        <v>321</v>
      </c>
      <c r="H42" s="14">
        <v>322</v>
      </c>
      <c r="I42" s="14">
        <v>323</v>
      </c>
      <c r="J42" s="14">
        <v>325</v>
      </c>
      <c r="K42" s="14">
        <v>326</v>
      </c>
      <c r="L42" s="14">
        <v>328</v>
      </c>
      <c r="M42" s="228">
        <v>330</v>
      </c>
      <c r="N42" s="210">
        <v>0.75</v>
      </c>
      <c r="O42" s="14">
        <v>365</v>
      </c>
      <c r="P42" s="14">
        <v>367</v>
      </c>
      <c r="Q42" s="14">
        <v>368</v>
      </c>
      <c r="R42" s="14">
        <v>369</v>
      </c>
      <c r="S42" s="14">
        <v>370</v>
      </c>
      <c r="T42" s="14">
        <v>372</v>
      </c>
      <c r="U42" s="14">
        <v>373</v>
      </c>
      <c r="V42" s="14">
        <v>375</v>
      </c>
      <c r="W42" s="14">
        <v>376</v>
      </c>
      <c r="X42" s="14">
        <v>378</v>
      </c>
      <c r="Y42" s="14">
        <v>379</v>
      </c>
      <c r="Z42" s="14">
        <v>381</v>
      </c>
      <c r="AA42" s="228">
        <v>382</v>
      </c>
    </row>
    <row r="43" spans="1:27" ht="14.1" customHeight="1">
      <c r="A43" s="210">
        <v>0.67500000000000004</v>
      </c>
      <c r="B43" s="14">
        <v>322</v>
      </c>
      <c r="C43" s="14">
        <v>325</v>
      </c>
      <c r="D43" s="14">
        <v>327</v>
      </c>
      <c r="E43" s="14">
        <v>328</v>
      </c>
      <c r="F43" s="14">
        <v>330</v>
      </c>
      <c r="G43" s="14">
        <v>331</v>
      </c>
      <c r="H43" s="14">
        <v>333</v>
      </c>
      <c r="I43" s="14">
        <v>333</v>
      </c>
      <c r="J43" s="14">
        <v>335</v>
      </c>
      <c r="K43" s="14">
        <v>336</v>
      </c>
      <c r="L43" s="14">
        <v>338</v>
      </c>
      <c r="M43" s="228">
        <v>340</v>
      </c>
      <c r="N43" s="210">
        <v>0.77500000000000002</v>
      </c>
      <c r="O43" s="14">
        <v>374</v>
      </c>
      <c r="P43" s="14">
        <v>376</v>
      </c>
      <c r="Q43" s="14">
        <v>377</v>
      </c>
      <c r="R43" s="14">
        <v>378</v>
      </c>
      <c r="S43" s="14">
        <v>379</v>
      </c>
      <c r="T43" s="14">
        <v>381</v>
      </c>
      <c r="U43" s="14">
        <v>382</v>
      </c>
      <c r="V43" s="14">
        <v>383</v>
      </c>
      <c r="W43" s="14">
        <v>385</v>
      </c>
      <c r="X43" s="14">
        <v>386</v>
      </c>
      <c r="Y43" s="14">
        <v>388</v>
      </c>
      <c r="Z43" s="14">
        <v>390</v>
      </c>
      <c r="AA43" s="228">
        <v>391</v>
      </c>
    </row>
    <row r="44" spans="1:27" ht="14.1" customHeight="1">
      <c r="A44" s="210">
        <v>0.7</v>
      </c>
      <c r="B44" s="14">
        <v>333</v>
      </c>
      <c r="C44" s="14">
        <v>335</v>
      </c>
      <c r="D44" s="14">
        <v>337</v>
      </c>
      <c r="E44" s="14">
        <v>339</v>
      </c>
      <c r="F44" s="14">
        <v>340</v>
      </c>
      <c r="G44" s="14">
        <v>341</v>
      </c>
      <c r="H44" s="14">
        <v>342</v>
      </c>
      <c r="I44" s="14">
        <v>343</v>
      </c>
      <c r="J44" s="14">
        <v>345</v>
      </c>
      <c r="K44" s="14">
        <v>346</v>
      </c>
      <c r="L44" s="14">
        <v>348</v>
      </c>
      <c r="M44" s="228">
        <v>350</v>
      </c>
      <c r="N44" s="210">
        <v>0.79999999999999905</v>
      </c>
      <c r="O44" s="14">
        <v>384</v>
      </c>
      <c r="P44" s="14">
        <v>385</v>
      </c>
      <c r="Q44" s="14">
        <v>386</v>
      </c>
      <c r="R44" s="14">
        <v>387</v>
      </c>
      <c r="S44" s="14">
        <v>388</v>
      </c>
      <c r="T44" s="14">
        <v>390</v>
      </c>
      <c r="U44" s="14">
        <v>391</v>
      </c>
      <c r="V44" s="14">
        <v>392</v>
      </c>
      <c r="W44" s="14">
        <v>394</v>
      </c>
      <c r="X44" s="14">
        <v>395</v>
      </c>
      <c r="Y44" s="14">
        <v>397</v>
      </c>
      <c r="Z44" s="14">
        <v>398</v>
      </c>
      <c r="AA44" s="228">
        <v>400</v>
      </c>
    </row>
    <row r="45" spans="1:27" ht="14.1" customHeight="1">
      <c r="A45" s="210">
        <v>0.72499999999999998</v>
      </c>
      <c r="B45" s="14">
        <v>342</v>
      </c>
      <c r="C45" s="14">
        <v>345</v>
      </c>
      <c r="D45" s="14">
        <v>347</v>
      </c>
      <c r="E45" s="14">
        <v>348</v>
      </c>
      <c r="F45" s="14">
        <v>349</v>
      </c>
      <c r="G45" s="14">
        <v>351</v>
      </c>
      <c r="H45" s="14">
        <v>352</v>
      </c>
      <c r="I45" s="14">
        <v>353</v>
      </c>
      <c r="J45" s="14">
        <v>354</v>
      </c>
      <c r="K45" s="14">
        <v>356</v>
      </c>
      <c r="L45" s="14">
        <v>358</v>
      </c>
      <c r="M45" s="228">
        <v>360</v>
      </c>
      <c r="N45" s="210">
        <v>0.82499999999999896</v>
      </c>
      <c r="O45" s="14">
        <v>393</v>
      </c>
      <c r="P45" s="14">
        <v>394</v>
      </c>
      <c r="Q45" s="14">
        <v>395</v>
      </c>
      <c r="R45" s="14">
        <v>396</v>
      </c>
      <c r="S45" s="14">
        <v>397</v>
      </c>
      <c r="T45" s="14">
        <v>399</v>
      </c>
      <c r="U45" s="14">
        <v>400</v>
      </c>
      <c r="V45" s="14">
        <v>401</v>
      </c>
      <c r="W45" s="14">
        <v>403</v>
      </c>
      <c r="X45" s="14">
        <v>404</v>
      </c>
      <c r="Y45" s="14">
        <v>406</v>
      </c>
      <c r="Z45" s="14">
        <v>407</v>
      </c>
      <c r="AA45" s="228">
        <v>408</v>
      </c>
    </row>
    <row r="46" spans="1:27" ht="14.1" customHeight="1">
      <c r="A46" s="210">
        <v>0.75</v>
      </c>
      <c r="B46" s="14">
        <v>352</v>
      </c>
      <c r="C46" s="14">
        <v>355</v>
      </c>
      <c r="D46" s="14">
        <v>357</v>
      </c>
      <c r="E46" s="14">
        <v>358</v>
      </c>
      <c r="F46" s="14">
        <v>359</v>
      </c>
      <c r="G46" s="14">
        <v>360</v>
      </c>
      <c r="H46" s="14">
        <v>361</v>
      </c>
      <c r="I46" s="14">
        <v>363</v>
      </c>
      <c r="J46" s="14">
        <v>364</v>
      </c>
      <c r="K46" s="14">
        <v>366</v>
      </c>
      <c r="L46" s="14">
        <v>368</v>
      </c>
      <c r="M46" s="228">
        <v>369</v>
      </c>
      <c r="N46" s="210">
        <v>0.84999999999999898</v>
      </c>
      <c r="O46" s="14">
        <v>402</v>
      </c>
      <c r="P46" s="14">
        <v>403</v>
      </c>
      <c r="Q46" s="14">
        <v>404</v>
      </c>
      <c r="R46" s="14">
        <v>405</v>
      </c>
      <c r="S46" s="14">
        <v>406</v>
      </c>
      <c r="T46" s="14">
        <v>407</v>
      </c>
      <c r="U46" s="14">
        <v>409</v>
      </c>
      <c r="V46" s="14">
        <v>410</v>
      </c>
      <c r="W46" s="14">
        <v>411</v>
      </c>
      <c r="X46" s="14">
        <v>413</v>
      </c>
      <c r="Y46" s="14">
        <v>414</v>
      </c>
      <c r="Z46" s="14">
        <v>416</v>
      </c>
      <c r="AA46" s="228">
        <v>417</v>
      </c>
    </row>
    <row r="47" spans="1:27" ht="14.1" customHeight="1">
      <c r="A47" s="210">
        <v>0.77500000000000002</v>
      </c>
      <c r="B47" s="14">
        <v>361</v>
      </c>
      <c r="C47" s="14">
        <v>365</v>
      </c>
      <c r="D47" s="14">
        <v>367</v>
      </c>
      <c r="E47" s="14">
        <v>368</v>
      </c>
      <c r="F47" s="14">
        <v>369</v>
      </c>
      <c r="G47" s="14">
        <v>370</v>
      </c>
      <c r="H47" s="14">
        <v>371</v>
      </c>
      <c r="I47" s="14">
        <v>372</v>
      </c>
      <c r="J47" s="14">
        <v>374</v>
      </c>
      <c r="K47" s="14">
        <v>375</v>
      </c>
      <c r="L47" s="14">
        <v>377</v>
      </c>
      <c r="M47" s="228">
        <v>379</v>
      </c>
      <c r="N47" s="210">
        <v>0.874999999999999</v>
      </c>
      <c r="O47" s="14">
        <v>410</v>
      </c>
      <c r="P47" s="14">
        <v>411</v>
      </c>
      <c r="Q47" s="14">
        <v>412</v>
      </c>
      <c r="R47" s="14">
        <v>413</v>
      </c>
      <c r="S47" s="14">
        <v>415</v>
      </c>
      <c r="T47" s="14">
        <v>416</v>
      </c>
      <c r="U47" s="14">
        <v>417</v>
      </c>
      <c r="V47" s="14">
        <v>418</v>
      </c>
      <c r="W47" s="14">
        <v>420</v>
      </c>
      <c r="X47" s="14">
        <v>421</v>
      </c>
      <c r="Y47" s="14">
        <v>423</v>
      </c>
      <c r="Z47" s="14">
        <v>424</v>
      </c>
      <c r="AA47" s="228">
        <v>425</v>
      </c>
    </row>
    <row r="48" spans="1:27" ht="14.1" customHeight="1" thickBot="1">
      <c r="A48" s="211">
        <v>0.8</v>
      </c>
      <c r="B48" s="212">
        <v>369</v>
      </c>
      <c r="C48" s="212">
        <v>374</v>
      </c>
      <c r="D48" s="212">
        <v>376</v>
      </c>
      <c r="E48" s="212">
        <v>377</v>
      </c>
      <c r="F48" s="212">
        <v>378</v>
      </c>
      <c r="G48" s="212">
        <v>379</v>
      </c>
      <c r="H48" s="212">
        <v>380</v>
      </c>
      <c r="I48" s="212">
        <v>382</v>
      </c>
      <c r="J48" s="212">
        <v>383</v>
      </c>
      <c r="K48" s="212">
        <v>385</v>
      </c>
      <c r="L48" s="212">
        <v>387</v>
      </c>
      <c r="M48" s="181">
        <v>389</v>
      </c>
      <c r="N48" s="210">
        <v>0.89999999999999902</v>
      </c>
      <c r="O48" s="212">
        <v>419</v>
      </c>
      <c r="P48" s="212">
        <v>420</v>
      </c>
      <c r="Q48" s="212">
        <v>421</v>
      </c>
      <c r="R48" s="212">
        <v>422</v>
      </c>
      <c r="S48" s="212">
        <v>423</v>
      </c>
      <c r="T48" s="212">
        <v>424</v>
      </c>
      <c r="U48" s="212">
        <v>425</v>
      </c>
      <c r="V48" s="212">
        <v>427</v>
      </c>
      <c r="W48" s="212">
        <v>428</v>
      </c>
      <c r="X48" s="212">
        <v>429</v>
      </c>
      <c r="Y48" s="212">
        <v>431</v>
      </c>
      <c r="Z48" s="212">
        <v>432</v>
      </c>
      <c r="AA48" s="181">
        <v>434</v>
      </c>
    </row>
    <row r="50" spans="1:19" ht="14.1" customHeight="1">
      <c r="A50" s="79" t="s">
        <v>448</v>
      </c>
    </row>
    <row r="51" spans="1:19" ht="14.1" customHeight="1">
      <c r="B51" s="824" t="s">
        <v>449</v>
      </c>
      <c r="C51" s="824" t="s">
        <v>450</v>
      </c>
      <c r="D51" s="825" t="s">
        <v>451</v>
      </c>
      <c r="E51" s="825"/>
      <c r="F51" s="825"/>
      <c r="G51" s="825"/>
      <c r="H51" s="825"/>
      <c r="I51" s="825"/>
      <c r="J51" s="825"/>
      <c r="K51" s="825"/>
    </row>
    <row r="52" spans="1:19" ht="14.1" customHeight="1">
      <c r="B52" s="824"/>
      <c r="C52" s="824"/>
      <c r="D52" s="240">
        <v>0.25</v>
      </c>
      <c r="E52" s="240">
        <v>0.3</v>
      </c>
      <c r="F52" s="240">
        <v>0.35</v>
      </c>
      <c r="G52" s="240">
        <v>0.4</v>
      </c>
      <c r="H52" s="240">
        <v>0.45</v>
      </c>
      <c r="I52" s="240">
        <v>0.5</v>
      </c>
      <c r="J52" s="240">
        <v>0.55000000000000004</v>
      </c>
      <c r="K52" s="240">
        <v>0.6</v>
      </c>
      <c r="L52" s="24" t="s">
        <v>452</v>
      </c>
      <c r="M52" s="24" t="s">
        <v>453</v>
      </c>
    </row>
    <row r="53" spans="1:19" ht="14.1" customHeight="1">
      <c r="A53" s="109" t="s">
        <v>454</v>
      </c>
      <c r="B53" s="14">
        <v>45</v>
      </c>
      <c r="C53" s="14">
        <v>53</v>
      </c>
      <c r="D53" s="14">
        <v>0.13</v>
      </c>
      <c r="E53" s="14">
        <v>0.155</v>
      </c>
      <c r="F53" s="14">
        <v>0.17699999999999999</v>
      </c>
      <c r="G53" s="14">
        <v>0.19800000000000001</v>
      </c>
      <c r="H53" s="14">
        <v>0.22</v>
      </c>
      <c r="I53" s="14">
        <v>0.245</v>
      </c>
      <c r="J53" s="14">
        <v>0.27200000000000002</v>
      </c>
      <c r="K53" s="14">
        <v>0.29499999999999998</v>
      </c>
      <c r="L53" s="306">
        <f>SLOPE(D53:K53,$D$52:$K$52)</f>
        <v>0.46809523809523801</v>
      </c>
      <c r="M53" s="306">
        <f>INTERCEPT(D53:K53,$D$52:$K$52)</f>
        <v>1.2559523809523854E-2</v>
      </c>
    </row>
    <row r="54" spans="1:19" ht="14.1" customHeight="1">
      <c r="A54" s="109" t="s">
        <v>455</v>
      </c>
      <c r="B54" s="14">
        <v>45</v>
      </c>
      <c r="C54" s="14">
        <v>53</v>
      </c>
      <c r="D54" s="14"/>
      <c r="E54" s="14">
        <v>1.109</v>
      </c>
      <c r="F54" s="14">
        <v>1.105</v>
      </c>
      <c r="G54" s="14">
        <v>1.1020000000000001</v>
      </c>
      <c r="H54" s="14">
        <v>1.099</v>
      </c>
      <c r="I54" s="14">
        <v>1.0960000000000001</v>
      </c>
      <c r="J54" s="14">
        <v>1.091</v>
      </c>
      <c r="K54" s="14">
        <v>1.0880000000000001</v>
      </c>
      <c r="L54" s="306">
        <f>SLOPE(D54:K54,$D$52:$K$52)</f>
        <v>-6.928571428571409E-2</v>
      </c>
      <c r="M54" s="306">
        <f>INTERCEPT(D54:K54,$D$52:$K$52)</f>
        <v>1.1297499999999998</v>
      </c>
    </row>
    <row r="55" spans="1:19" ht="14.1" customHeight="1">
      <c r="A55" s="109" t="s">
        <v>454</v>
      </c>
      <c r="B55" s="14">
        <v>50</v>
      </c>
      <c r="C55" s="14">
        <v>60</v>
      </c>
      <c r="D55" s="14">
        <v>0.112</v>
      </c>
      <c r="E55" s="14">
        <v>0.13500000000000001</v>
      </c>
      <c r="F55" s="14">
        <v>0.154</v>
      </c>
      <c r="G55" s="14">
        <v>0.17199999999999999</v>
      </c>
      <c r="H55" s="14">
        <v>0.192</v>
      </c>
      <c r="I55" s="14">
        <v>0.214</v>
      </c>
      <c r="J55" s="14">
        <v>0.23599999999999999</v>
      </c>
      <c r="K55" s="14">
        <v>0.26100000000000001</v>
      </c>
      <c r="L55" s="306">
        <f>SLOPE(D55:K55,$D$52:$K$52)</f>
        <v>0.41619047619047611</v>
      </c>
      <c r="M55" s="306">
        <f>INTERCEPT(D55:K55,$D$52:$K$52)</f>
        <v>7.6190476190476641E-3</v>
      </c>
    </row>
    <row r="56" spans="1:19" ht="14.1" customHeight="1">
      <c r="A56" s="109" t="s">
        <v>455</v>
      </c>
      <c r="B56" s="14">
        <v>50</v>
      </c>
      <c r="C56" s="14">
        <v>60</v>
      </c>
      <c r="D56" s="14"/>
      <c r="E56" s="16">
        <v>1.1639999999999999</v>
      </c>
      <c r="F56" s="16">
        <v>1.1599999999999999</v>
      </c>
      <c r="G56" s="16">
        <v>1.151</v>
      </c>
      <c r="H56" s="16">
        <v>1.1499999999999999</v>
      </c>
      <c r="I56" s="16">
        <v>1.1439999999999999</v>
      </c>
      <c r="J56" s="16">
        <v>1.139</v>
      </c>
      <c r="K56" s="16">
        <v>1.1339999999999999</v>
      </c>
      <c r="L56" s="306">
        <f>SLOPE(D56:K56,$D$52:$K$52)</f>
        <v>-9.9285714285714269E-2</v>
      </c>
      <c r="M56" s="306">
        <f>INTERCEPT(D56:K56,$D$52:$K$52)</f>
        <v>1.1935357142857141</v>
      </c>
    </row>
    <row r="58" spans="1:19" ht="14.1" customHeight="1">
      <c r="B58" s="14" t="s">
        <v>237</v>
      </c>
      <c r="C58" s="14" t="s">
        <v>262</v>
      </c>
      <c r="D58" s="14" t="s">
        <v>238</v>
      </c>
    </row>
    <row r="59" spans="1:19" ht="14.1" customHeight="1">
      <c r="A59" s="109" t="s">
        <v>456</v>
      </c>
      <c r="B59" s="14">
        <v>1</v>
      </c>
      <c r="C59" s="14">
        <v>1.0169999999999999</v>
      </c>
      <c r="D59" s="14">
        <v>1.042</v>
      </c>
    </row>
    <row r="61" spans="1:19" ht="14.1" customHeight="1">
      <c r="A61" s="79" t="s">
        <v>457</v>
      </c>
      <c r="C61" s="24" t="s">
        <v>458</v>
      </c>
      <c r="N61" s="150"/>
      <c r="O61" s="72"/>
      <c r="P61" s="72"/>
      <c r="Q61" s="72"/>
      <c r="R61" s="72"/>
      <c r="S61" s="72"/>
    </row>
    <row r="62" spans="1:19" ht="14.1" customHeight="1">
      <c r="A62" s="57" t="s">
        <v>71</v>
      </c>
      <c r="B62" s="13" t="s">
        <v>269</v>
      </c>
      <c r="C62" s="13" t="s">
        <v>459</v>
      </c>
      <c r="D62" s="13" t="s">
        <v>337</v>
      </c>
      <c r="E62" s="57" t="s">
        <v>71</v>
      </c>
      <c r="F62" s="13" t="s">
        <v>269</v>
      </c>
      <c r="G62" s="13" t="s">
        <v>459</v>
      </c>
      <c r="H62" s="13" t="s">
        <v>337</v>
      </c>
      <c r="I62" s="57" t="s">
        <v>71</v>
      </c>
      <c r="J62" s="13" t="s">
        <v>269</v>
      </c>
      <c r="K62" s="13" t="s">
        <v>459</v>
      </c>
      <c r="L62" s="13" t="s">
        <v>337</v>
      </c>
      <c r="O62" s="807"/>
      <c r="P62" s="807"/>
      <c r="Q62" s="807"/>
      <c r="R62" s="807"/>
      <c r="S62" s="807"/>
    </row>
    <row r="63" spans="1:19" ht="14.1" customHeight="1">
      <c r="A63" s="13" t="str">
        <f>Sheet1!P346</f>
        <v>Mo/Mo</v>
      </c>
      <c r="B63" s="13">
        <f>Sheet1!Q346</f>
        <v>24</v>
      </c>
      <c r="C63" s="13">
        <f t="shared" ref="C63:C68" si="0">B63^2</f>
        <v>576</v>
      </c>
      <c r="D63" s="306" t="str">
        <f>Sheet1!V346</f>
        <v/>
      </c>
      <c r="E63" s="13" t="str">
        <f>Sheet1!P353</f>
        <v>Mo/Rh</v>
      </c>
      <c r="F63" s="13">
        <f>Sheet1!Q353</f>
        <v>28</v>
      </c>
      <c r="G63" s="13">
        <f t="shared" ref="G63:G67" si="1">F63^2</f>
        <v>784</v>
      </c>
      <c r="H63" s="306" t="str">
        <f>Sheet1!V353</f>
        <v/>
      </c>
      <c r="I63" s="307" t="str">
        <f>Sheet1!P359</f>
        <v>W/Rh</v>
      </c>
      <c r="J63" s="13">
        <f>Sheet1!Q359</f>
        <v>28</v>
      </c>
      <c r="K63" s="13">
        <f t="shared" ref="K63:K67" si="2">J63^2</f>
        <v>784</v>
      </c>
      <c r="L63" s="305" t="str">
        <f>Sheet1!V359</f>
        <v/>
      </c>
      <c r="O63" s="111"/>
      <c r="P63" s="111"/>
      <c r="Q63" s="111"/>
      <c r="R63" s="111"/>
      <c r="S63" s="111"/>
    </row>
    <row r="64" spans="1:19" ht="14.1" customHeight="1">
      <c r="A64" s="57"/>
      <c r="B64" s="13">
        <f>Sheet1!Q347</f>
        <v>25</v>
      </c>
      <c r="C64" s="13">
        <f t="shared" si="0"/>
        <v>625</v>
      </c>
      <c r="D64" s="306" t="str">
        <f>Sheet1!V347</f>
        <v/>
      </c>
      <c r="E64" s="57"/>
      <c r="F64" s="13">
        <f>Sheet1!Q354</f>
        <v>30</v>
      </c>
      <c r="G64" s="13">
        <f t="shared" si="1"/>
        <v>900</v>
      </c>
      <c r="H64" s="306" t="str">
        <f>Sheet1!V354</f>
        <v/>
      </c>
      <c r="I64" s="307"/>
      <c r="J64" s="13">
        <f>Sheet1!Q360</f>
        <v>30</v>
      </c>
      <c r="K64" s="13">
        <f t="shared" si="2"/>
        <v>900</v>
      </c>
      <c r="L64" s="305" t="str">
        <f>Sheet1!V360</f>
        <v/>
      </c>
      <c r="O64" s="277"/>
      <c r="P64" s="277"/>
      <c r="Q64" s="277"/>
      <c r="R64" s="277"/>
      <c r="S64" s="277"/>
    </row>
    <row r="65" spans="1:19" ht="14.1" customHeight="1">
      <c r="A65" s="13"/>
      <c r="B65" s="13">
        <f>Sheet1!Q348</f>
        <v>26</v>
      </c>
      <c r="C65" s="13">
        <f t="shared" si="0"/>
        <v>676</v>
      </c>
      <c r="D65" s="306" t="str">
        <f>Sheet1!V348</f>
        <v/>
      </c>
      <c r="E65" s="13"/>
      <c r="F65" s="13">
        <f>Sheet1!Q355</f>
        <v>32</v>
      </c>
      <c r="G65" s="13">
        <f t="shared" si="1"/>
        <v>1024</v>
      </c>
      <c r="H65" s="306" t="str">
        <f>Sheet1!V355</f>
        <v/>
      </c>
      <c r="I65" s="307"/>
      <c r="J65" s="13">
        <f>Sheet1!Q361</f>
        <v>32</v>
      </c>
      <c r="K65" s="13">
        <f t="shared" si="2"/>
        <v>1024</v>
      </c>
      <c r="L65" s="305" t="str">
        <f>Sheet1!V361</f>
        <v/>
      </c>
      <c r="O65" s="277"/>
      <c r="P65" s="277"/>
      <c r="Q65" s="277"/>
      <c r="R65" s="277"/>
      <c r="S65" s="277"/>
    </row>
    <row r="66" spans="1:19" ht="14.1" customHeight="1">
      <c r="A66" s="13"/>
      <c r="B66" s="13">
        <f>Sheet1!Q349</f>
        <v>28</v>
      </c>
      <c r="C66" s="13">
        <f t="shared" si="0"/>
        <v>784</v>
      </c>
      <c r="D66" s="306" t="str">
        <f>Sheet1!V349</f>
        <v/>
      </c>
      <c r="E66" s="13"/>
      <c r="F66" s="13">
        <f>Sheet1!Q356</f>
        <v>34</v>
      </c>
      <c r="G66" s="13">
        <f t="shared" si="1"/>
        <v>1156</v>
      </c>
      <c r="H66" s="306" t="str">
        <f>Sheet1!V356</f>
        <v/>
      </c>
      <c r="I66" s="307"/>
      <c r="J66" s="13">
        <f>Sheet1!Q362</f>
        <v>34</v>
      </c>
      <c r="K66" s="13">
        <f t="shared" si="2"/>
        <v>1156</v>
      </c>
      <c r="L66" s="305" t="str">
        <f>Sheet1!V362</f>
        <v/>
      </c>
      <c r="O66" s="277"/>
      <c r="P66" s="277"/>
      <c r="Q66" s="277"/>
      <c r="R66" s="277"/>
      <c r="S66" s="277"/>
    </row>
    <row r="67" spans="1:19" ht="14.1" customHeight="1">
      <c r="A67" s="13"/>
      <c r="B67" s="13">
        <f>Sheet1!Q350</f>
        <v>30</v>
      </c>
      <c r="C67" s="13">
        <f t="shared" si="0"/>
        <v>900</v>
      </c>
      <c r="D67" s="306" t="str">
        <f>Sheet1!V350</f>
        <v/>
      </c>
      <c r="E67" s="13"/>
      <c r="F67" s="13">
        <f>Sheet1!Q357</f>
        <v>36</v>
      </c>
      <c r="G67" s="13">
        <f t="shared" si="1"/>
        <v>1296</v>
      </c>
      <c r="H67" s="306" t="str">
        <f>Sheet1!V357</f>
        <v/>
      </c>
      <c r="I67" s="307"/>
      <c r="J67" s="13">
        <f>Sheet1!Q363</f>
        <v>38</v>
      </c>
      <c r="K67" s="13">
        <f t="shared" si="2"/>
        <v>1444</v>
      </c>
      <c r="L67" s="305" t="str">
        <f>Sheet1!V363</f>
        <v/>
      </c>
      <c r="O67" s="277"/>
      <c r="P67" s="277"/>
      <c r="Q67" s="277"/>
      <c r="R67" s="277"/>
      <c r="S67" s="277"/>
    </row>
    <row r="68" spans="1:19" ht="14.1" customHeight="1">
      <c r="A68" s="13"/>
      <c r="B68" s="13">
        <f>Sheet1!Q351</f>
        <v>32</v>
      </c>
      <c r="C68" s="13">
        <f t="shared" si="0"/>
        <v>1024</v>
      </c>
      <c r="D68" s="306" t="str">
        <f>Sheet1!V351</f>
        <v/>
      </c>
      <c r="E68" s="13"/>
      <c r="F68" s="13"/>
      <c r="G68" s="13"/>
      <c r="I68" s="278"/>
      <c r="L68" s="72"/>
      <c r="O68" s="277"/>
      <c r="P68" s="277"/>
      <c r="Q68" s="277"/>
      <c r="R68" s="277"/>
      <c r="S68" s="277"/>
    </row>
    <row r="69" spans="1:19" ht="14.1" customHeight="1">
      <c r="A69" s="13"/>
      <c r="B69" s="13"/>
      <c r="O69" s="277"/>
      <c r="P69" s="277"/>
      <c r="Q69" s="277"/>
      <c r="R69" s="277"/>
      <c r="S69" s="277"/>
    </row>
    <row r="70" spans="1:19" ht="14.1" customHeight="1">
      <c r="C70" s="13"/>
      <c r="D70" s="13" t="str">
        <f>A63</f>
        <v>Mo/Mo</v>
      </c>
      <c r="E70" s="13" t="str">
        <f>E63</f>
        <v>Mo/Rh</v>
      </c>
      <c r="F70" s="307" t="str">
        <f>I63</f>
        <v>W/Rh</v>
      </c>
      <c r="G70" s="38"/>
      <c r="K70" s="38"/>
      <c r="O70" s="277"/>
      <c r="P70" s="277"/>
      <c r="Q70" s="277"/>
      <c r="R70" s="277"/>
      <c r="S70" s="277"/>
    </row>
    <row r="71" spans="1:19" ht="14.1" customHeight="1">
      <c r="C71" s="38" t="s">
        <v>462</v>
      </c>
      <c r="D71" s="24" t="e">
        <f>SLOPE(D63:D70,$C$63:$C$70)</f>
        <v>#DIV/0!</v>
      </c>
      <c r="E71" s="24" t="e">
        <f>SLOPE(H63:H68,$G$63:$G$68)</f>
        <v>#DIV/0!</v>
      </c>
      <c r="F71" s="24" t="e">
        <f>SLOPE(L63:L68,$G$63:$G$68)</f>
        <v>#DIV/0!</v>
      </c>
      <c r="G71" s="38"/>
      <c r="K71" s="38"/>
      <c r="N71" s="72"/>
      <c r="O71" s="277"/>
      <c r="P71" s="277"/>
      <c r="Q71" s="277"/>
      <c r="R71" s="277"/>
      <c r="S71" s="277"/>
    </row>
    <row r="72" spans="1:19" ht="14.1" customHeight="1">
      <c r="C72" s="38" t="s">
        <v>463</v>
      </c>
      <c r="D72" s="24" t="e">
        <f>INTERCEPT(D63:D70,$C$63:$C$70)</f>
        <v>#DIV/0!</v>
      </c>
      <c r="E72" s="24" t="e">
        <f>INTERCEPT(H63:H68,$G$63:$G$68)</f>
        <v>#DIV/0!</v>
      </c>
      <c r="F72" s="24" t="e">
        <f>INTERCEPT(L63:L68,$G$63:$G$68)</f>
        <v>#DIV/0!</v>
      </c>
      <c r="N72" s="72"/>
      <c r="O72" s="277"/>
      <c r="P72" s="277"/>
      <c r="Q72" s="277"/>
      <c r="R72" s="277"/>
      <c r="S72" s="277"/>
    </row>
    <row r="73" spans="1:19" ht="14.1" customHeight="1">
      <c r="A73" s="79" t="s">
        <v>354</v>
      </c>
      <c r="C73" s="38" t="s">
        <v>562</v>
      </c>
      <c r="D73" s="24" t="e">
        <f>RSQ(D63:D68,C63:C68)</f>
        <v>#DIV/0!</v>
      </c>
      <c r="E73" s="24" t="e">
        <f>RSQ(H63:H67,G63:G67)</f>
        <v>#DIV/0!</v>
      </c>
      <c r="F73" s="24" t="e">
        <f>RSQ(L63:L67,K63:K67)</f>
        <v>#DIV/0!</v>
      </c>
      <c r="N73" s="72"/>
      <c r="O73" s="277"/>
      <c r="P73" s="277"/>
      <c r="Q73" s="277"/>
      <c r="R73" s="277"/>
      <c r="S73" s="277"/>
    </row>
    <row r="74" spans="1:19" ht="14.1" customHeight="1">
      <c r="A74" s="57" t="s">
        <v>71</v>
      </c>
      <c r="B74" s="13" t="s">
        <v>269</v>
      </c>
      <c r="C74" s="13" t="s">
        <v>357</v>
      </c>
      <c r="D74" s="57" t="s">
        <v>71</v>
      </c>
      <c r="E74" s="13" t="s">
        <v>269</v>
      </c>
      <c r="F74" s="13" t="s">
        <v>357</v>
      </c>
      <c r="G74" s="57" t="s">
        <v>71</v>
      </c>
      <c r="H74" s="13" t="s">
        <v>269</v>
      </c>
      <c r="I74" s="13" t="s">
        <v>357</v>
      </c>
      <c r="K74" s="283" t="s">
        <v>23</v>
      </c>
      <c r="L74" s="283" t="s">
        <v>24</v>
      </c>
      <c r="M74" s="283" t="s">
        <v>464</v>
      </c>
      <c r="O74" s="277"/>
      <c r="P74" s="277"/>
      <c r="Q74" s="277"/>
      <c r="R74" s="277"/>
      <c r="S74" s="277"/>
    </row>
    <row r="75" spans="1:19" ht="14.1" customHeight="1">
      <c r="A75" s="13" t="e">
        <f>Sheet1!#REF!</f>
        <v>#REF!</v>
      </c>
      <c r="B75" s="13" t="str">
        <f>Sheet1!Q393</f>
        <v>Mo/Mo</v>
      </c>
      <c r="C75" s="278" t="str">
        <f>Sheet1!Q403</f>
        <v/>
      </c>
      <c r="D75" s="13" t="e">
        <f>Sheet1!#REF!</f>
        <v>#REF!</v>
      </c>
      <c r="E75" s="13" t="str">
        <f>Sheet1!S393</f>
        <v>Mo/Mo</v>
      </c>
      <c r="F75" s="278" t="str">
        <f>Sheet1!S403</f>
        <v/>
      </c>
      <c r="G75" s="13" t="e">
        <f>Sheet1!#REF!</f>
        <v>#REF!</v>
      </c>
      <c r="H75" s="13" t="str">
        <f>Sheet1!V393</f>
        <v>Mo/Rh</v>
      </c>
      <c r="I75" s="278" t="str">
        <f>Sheet1!U403</f>
        <v/>
      </c>
      <c r="K75" s="283" t="s">
        <v>32</v>
      </c>
      <c r="L75" s="283" t="s">
        <v>32</v>
      </c>
      <c r="M75" s="283">
        <v>0.12</v>
      </c>
      <c r="O75" s="277"/>
      <c r="P75" s="277"/>
      <c r="Q75" s="277"/>
      <c r="R75" s="277"/>
      <c r="S75" s="277"/>
    </row>
    <row r="76" spans="1:19" ht="14.1" customHeight="1">
      <c r="A76" s="57"/>
      <c r="B76" s="13" t="str">
        <f>Sheet1!R393</f>
        <v>Mo/Mo</v>
      </c>
      <c r="C76" s="278" t="str">
        <f>Sheet1!R403</f>
        <v/>
      </c>
      <c r="D76" s="57"/>
      <c r="E76" s="13" t="str">
        <f>Sheet1!T393</f>
        <v>Mo/Mo</v>
      </c>
      <c r="F76" s="278" t="str">
        <f>Sheet1!T403</f>
        <v/>
      </c>
      <c r="H76" s="13" t="str">
        <f>Sheet1!W393</f>
        <v>Mo/Rh</v>
      </c>
      <c r="I76" s="278" t="str">
        <f>Sheet1!V403</f>
        <v/>
      </c>
      <c r="K76" s="283" t="s">
        <v>32</v>
      </c>
      <c r="L76" s="283" t="s">
        <v>55</v>
      </c>
      <c r="M76" s="283">
        <v>0.19</v>
      </c>
      <c r="O76" s="277"/>
      <c r="P76" s="277"/>
      <c r="Q76" s="277"/>
      <c r="R76" s="277"/>
      <c r="S76" s="277"/>
    </row>
    <row r="77" spans="1:19" ht="14.1" customHeight="1">
      <c r="A77" s="13"/>
      <c r="B77" s="13"/>
      <c r="D77" s="13"/>
      <c r="E77" s="13"/>
      <c r="K77" s="283" t="s">
        <v>55</v>
      </c>
      <c r="L77" s="283" t="s">
        <v>55</v>
      </c>
      <c r="M77" s="283">
        <v>0.22</v>
      </c>
      <c r="O77" s="277"/>
      <c r="P77" s="277"/>
      <c r="Q77" s="277"/>
      <c r="R77" s="277"/>
      <c r="S77" s="277"/>
    </row>
    <row r="78" spans="1:19" ht="14.1" customHeight="1">
      <c r="D78" s="13" t="e">
        <f>A75</f>
        <v>#REF!</v>
      </c>
      <c r="E78" s="13" t="e">
        <f>D75</f>
        <v>#REF!</v>
      </c>
      <c r="F78" s="13" t="e">
        <f>G75</f>
        <v>#REF!</v>
      </c>
      <c r="H78" s="38"/>
      <c r="K78" s="312" t="s">
        <v>465</v>
      </c>
      <c r="L78" s="312" t="s">
        <v>466</v>
      </c>
      <c r="M78" s="312"/>
      <c r="O78" s="277"/>
      <c r="P78" s="277"/>
      <c r="Q78" s="277"/>
      <c r="R78" s="277"/>
      <c r="S78" s="277"/>
    </row>
    <row r="79" spans="1:19" ht="14.1" customHeight="1">
      <c r="C79" s="38" t="s">
        <v>462</v>
      </c>
      <c r="D79" s="13" t="e">
        <f>SLOPE(C75:C76,B75:B76)</f>
        <v>#DIV/0!</v>
      </c>
      <c r="E79" s="13" t="e">
        <f>SLOPE(F75:F76,E75:E76)</f>
        <v>#DIV/0!</v>
      </c>
      <c r="F79" s="13" t="e">
        <f>SLOPE(I75:I76,H75:H76)</f>
        <v>#DIV/0!</v>
      </c>
      <c r="H79" s="38"/>
      <c r="K79" s="312"/>
      <c r="L79" s="312" t="s">
        <v>467</v>
      </c>
      <c r="M79" s="312"/>
      <c r="O79" s="277"/>
      <c r="P79" s="277"/>
      <c r="Q79" s="277"/>
      <c r="R79" s="277"/>
      <c r="S79" s="277"/>
    </row>
    <row r="80" spans="1:19" ht="14.1" customHeight="1">
      <c r="C80" s="38" t="s">
        <v>463</v>
      </c>
      <c r="D80" s="13" t="e">
        <f>INTERCEPT(C75:C76,B75:B76)</f>
        <v>#DIV/0!</v>
      </c>
      <c r="E80" s="13" t="e">
        <f>INTERCEPT(F75:F76,E75:E76)</f>
        <v>#DIV/0!</v>
      </c>
      <c r="F80" s="13" t="e">
        <f>INTERCEPT(I75:I76,H75:H76)</f>
        <v>#DIV/0!</v>
      </c>
      <c r="K80" s="312"/>
      <c r="L80" s="312" t="s">
        <v>468</v>
      </c>
      <c r="M80" s="312"/>
      <c r="O80" s="277"/>
      <c r="P80" s="277"/>
      <c r="Q80" s="277"/>
      <c r="R80" s="277"/>
      <c r="S80" s="277"/>
    </row>
    <row r="81" spans="1:19" ht="14.1" customHeight="1">
      <c r="N81" s="72"/>
      <c r="O81" s="277"/>
      <c r="P81" s="277"/>
      <c r="Q81" s="277"/>
      <c r="R81" s="277"/>
      <c r="S81" s="277"/>
    </row>
    <row r="82" spans="1:19" ht="14.1" customHeight="1">
      <c r="A82" s="79" t="s">
        <v>469</v>
      </c>
      <c r="B82" s="24" t="e">
        <f>"DGN values (mrad/R) for "&amp;Sheet1!$T$265&amp;" kV and HVL="&amp;ROUND(Sheet1!$X$268,2)&amp;" mm Al"</f>
        <v>#N/A</v>
      </c>
      <c r="N82" s="72"/>
      <c r="O82" s="277"/>
      <c r="P82" s="277"/>
      <c r="Q82" s="277"/>
      <c r="R82" s="277"/>
      <c r="S82" s="277"/>
    </row>
    <row r="83" spans="1:19" ht="14.1" customHeight="1">
      <c r="A83" s="284" t="s">
        <v>237</v>
      </c>
      <c r="B83" s="284" t="s">
        <v>262</v>
      </c>
      <c r="C83" s="284" t="s">
        <v>470</v>
      </c>
      <c r="D83" s="284" t="s">
        <v>448</v>
      </c>
      <c r="E83" s="284" t="s">
        <v>460</v>
      </c>
      <c r="F83" s="284" t="s">
        <v>238</v>
      </c>
      <c r="N83" s="72"/>
      <c r="O83" s="277"/>
      <c r="P83" s="277"/>
      <c r="Q83" s="277"/>
      <c r="R83" s="277"/>
      <c r="S83" s="277"/>
    </row>
    <row r="84" spans="1:19" ht="14.1" customHeight="1">
      <c r="A84" s="8" t="e">
        <f>IF(Sheet1!$X$268="","",VLOOKUP(Sheet1!X268,A3:J23,MATCH(Sheet1!T265,A3:J3,0)))</f>
        <v>#N/A</v>
      </c>
      <c r="B84" s="8" t="e">
        <f>IF(Sheet1!$X$268="","",VLOOKUP(Sheet1!X268,K3:T23,MATCH(Sheet1!T265,K3:T3,0)))</f>
        <v>#N/A</v>
      </c>
      <c r="C84" s="8" t="e">
        <f>IF(Sheet1!$X$268="","",VLOOKUP(Sheet1!X268,U3:AD23,MATCH(Sheet1!T265,U3:AD3,0)))</f>
        <v>#N/A</v>
      </c>
      <c r="D84" s="306" t="e">
        <f>IF(OR(Sheet1!$X$269="",Sheet1!$X$268=""),"TBD",(L53*Sheet1!X268+M53)*(L54*Sheet1!X268+M54)*HLOOKUP(Sheet1!$Q$266,B58:D59,2))</f>
        <v>#N/A</v>
      </c>
      <c r="E84" s="13" t="e">
        <f>IF(ISERR(Sheet1!$X$268),"TBD",VLOOKUP(Sheet1!X268,N27:AA48,MATCH(Sheet1!$T$265,N27:AA27,0)))</f>
        <v>#N/A</v>
      </c>
      <c r="F84" s="13" t="e">
        <f>IF(ISERR(Sheet1!$X$268),"TBD",VLOOKUP(Sheet1!X268,A27:M48,MATCH(Sheet1!T265,A27:M27,0)))</f>
        <v>#N/A</v>
      </c>
      <c r="N84" s="72"/>
      <c r="O84" s="277"/>
      <c r="P84" s="277"/>
      <c r="Q84" s="277"/>
      <c r="R84" s="277"/>
      <c r="S84" s="277"/>
    </row>
    <row r="85" spans="1:19" ht="14.1" customHeight="1">
      <c r="N85" s="72"/>
      <c r="O85" s="277"/>
      <c r="P85" s="277"/>
      <c r="Q85" s="277"/>
      <c r="R85" s="277"/>
      <c r="S85" s="277"/>
    </row>
    <row r="86" spans="1:19" ht="14.1" customHeight="1">
      <c r="A86" s="79" t="s">
        <v>471</v>
      </c>
      <c r="N86" s="72"/>
      <c r="O86" s="277"/>
      <c r="P86" s="277"/>
      <c r="Q86" s="277"/>
      <c r="R86" s="277"/>
      <c r="S86" s="277"/>
    </row>
    <row r="87" spans="1:19" ht="14.1" customHeight="1">
      <c r="B87" s="13" t="s">
        <v>269</v>
      </c>
      <c r="D87" s="14" t="s">
        <v>472</v>
      </c>
      <c r="E87" s="14" t="s">
        <v>473</v>
      </c>
      <c r="F87" s="14" t="s">
        <v>459</v>
      </c>
      <c r="G87" s="14" t="s">
        <v>474</v>
      </c>
      <c r="H87" s="14" t="s">
        <v>475</v>
      </c>
      <c r="I87" s="14" t="s">
        <v>476</v>
      </c>
      <c r="J87" s="14" t="s">
        <v>477</v>
      </c>
      <c r="N87" s="72"/>
      <c r="O87" s="277"/>
      <c r="P87" s="277"/>
      <c r="Q87" s="277"/>
      <c r="R87" s="277"/>
      <c r="S87" s="277"/>
    </row>
    <row r="88" spans="1:19" ht="14.1" customHeight="1">
      <c r="A88" s="24" t="s">
        <v>238</v>
      </c>
      <c r="B88" s="13" t="s">
        <v>478</v>
      </c>
      <c r="C88" s="14">
        <v>27.585999999999999</v>
      </c>
      <c r="D88" s="14">
        <v>-8375.0727645925508</v>
      </c>
      <c r="E88" s="14">
        <v>975.92543560432796</v>
      </c>
      <c r="F88" s="14">
        <v>-37.913729682039403</v>
      </c>
      <c r="G88" s="14">
        <v>0.49086583472609402</v>
      </c>
      <c r="H88" s="14">
        <v>0</v>
      </c>
      <c r="I88" s="14">
        <v>0</v>
      </c>
      <c r="J88" s="14">
        <v>0</v>
      </c>
      <c r="N88" s="72"/>
      <c r="O88" s="277"/>
      <c r="P88" s="277"/>
      <c r="Q88" s="277"/>
      <c r="R88" s="277"/>
      <c r="S88" s="277"/>
    </row>
    <row r="89" spans="1:19" ht="14.1" customHeight="1">
      <c r="B89" s="13" t="s">
        <v>479</v>
      </c>
      <c r="C89" s="14">
        <v>27.585999999999999</v>
      </c>
      <c r="D89" s="14">
        <v>-9984.6167916494396</v>
      </c>
      <c r="E89" s="14">
        <v>1436.52454571413</v>
      </c>
      <c r="F89" s="14">
        <v>-82.505102185254898</v>
      </c>
      <c r="G89" s="14">
        <v>2.36559081763837</v>
      </c>
      <c r="H89" s="14">
        <v>-3.38672433779705E-2</v>
      </c>
      <c r="I89" s="14">
        <v>1.93686920423126E-4</v>
      </c>
      <c r="J89" s="14">
        <v>0</v>
      </c>
      <c r="N89" s="72"/>
      <c r="O89" s="277"/>
      <c r="P89" s="277"/>
      <c r="Q89" s="277"/>
      <c r="R89" s="277"/>
      <c r="S89" s="277"/>
    </row>
    <row r="90" spans="1:19" ht="14.1" customHeight="1">
      <c r="C90" s="24" t="s">
        <v>480</v>
      </c>
      <c r="N90" s="72"/>
      <c r="O90" s="277"/>
      <c r="P90" s="277"/>
      <c r="Q90" s="277"/>
      <c r="R90" s="277"/>
      <c r="S90" s="277"/>
    </row>
    <row r="91" spans="1:19" ht="14.1" customHeight="1">
      <c r="C91" s="24" t="s">
        <v>481</v>
      </c>
      <c r="N91" s="72"/>
      <c r="O91" s="277"/>
      <c r="P91" s="277"/>
      <c r="Q91" s="277"/>
      <c r="R91" s="277"/>
      <c r="S91" s="277"/>
    </row>
    <row r="92" spans="1:19" ht="14.1" customHeight="1">
      <c r="B92" s="13" t="s">
        <v>269</v>
      </c>
      <c r="D92" s="14" t="s">
        <v>472</v>
      </c>
      <c r="E92" s="14" t="s">
        <v>473</v>
      </c>
      <c r="F92" s="14" t="s">
        <v>459</v>
      </c>
      <c r="G92" s="14" t="s">
        <v>474</v>
      </c>
      <c r="H92" s="14" t="s">
        <v>475</v>
      </c>
      <c r="I92" s="14" t="s">
        <v>476</v>
      </c>
      <c r="J92" s="14" t="s">
        <v>477</v>
      </c>
      <c r="N92" s="72"/>
      <c r="O92" s="277"/>
      <c r="P92" s="277"/>
      <c r="Q92" s="277"/>
      <c r="R92" s="277"/>
      <c r="S92" s="277"/>
    </row>
    <row r="93" spans="1:19" ht="14.1" customHeight="1">
      <c r="A93" s="24" t="s">
        <v>460</v>
      </c>
      <c r="B93" s="13" t="s">
        <v>478</v>
      </c>
      <c r="C93" s="14">
        <v>30.1</v>
      </c>
      <c r="D93" s="14">
        <v>-540847.69550077303</v>
      </c>
      <c r="E93" s="14">
        <v>100186.23364273099</v>
      </c>
      <c r="F93" s="14">
        <v>-7418.4790179812599</v>
      </c>
      <c r="G93" s="14">
        <v>274.47660929577501</v>
      </c>
      <c r="H93" s="14">
        <v>-5.07436954359087</v>
      </c>
      <c r="I93" s="14">
        <v>3.7500574787580898E-2</v>
      </c>
      <c r="J93" s="14">
        <v>0</v>
      </c>
      <c r="N93" s="72"/>
      <c r="O93" s="277"/>
      <c r="P93" s="277"/>
      <c r="Q93" s="277"/>
      <c r="R93" s="277"/>
      <c r="S93" s="277"/>
    </row>
    <row r="94" spans="1:19" ht="14.1" customHeight="1">
      <c r="B94" s="13" t="s">
        <v>479</v>
      </c>
      <c r="C94" s="14">
        <v>30.1</v>
      </c>
      <c r="D94" s="14">
        <v>-11057.773936199201</v>
      </c>
      <c r="E94" s="14">
        <v>1297.2285673766901</v>
      </c>
      <c r="F94" s="14">
        <v>-56.989188989725697</v>
      </c>
      <c r="G94" s="14">
        <v>1.1115828564217201</v>
      </c>
      <c r="H94" s="14">
        <v>-8.1233997365129599E-3</v>
      </c>
      <c r="I94" s="14">
        <v>0</v>
      </c>
      <c r="J94" s="14">
        <v>0</v>
      </c>
      <c r="N94" s="72"/>
      <c r="O94" s="277"/>
      <c r="P94" s="277"/>
      <c r="Q94" s="277"/>
      <c r="R94" s="277"/>
      <c r="S94" s="277"/>
    </row>
    <row r="95" spans="1:19" ht="14.1" customHeight="1">
      <c r="C95" s="24" t="s">
        <v>482</v>
      </c>
      <c r="N95" s="72"/>
      <c r="O95" s="277"/>
      <c r="P95" s="277"/>
      <c r="Q95" s="277"/>
      <c r="R95" s="277"/>
      <c r="S95" s="277"/>
    </row>
    <row r="96" spans="1:19" ht="14.1" customHeight="1">
      <c r="C96" s="24" t="s">
        <v>483</v>
      </c>
      <c r="N96" s="72"/>
      <c r="O96" s="277"/>
      <c r="P96" s="277"/>
      <c r="Q96" s="277"/>
      <c r="R96" s="277"/>
      <c r="S96" s="277"/>
    </row>
    <row r="97" spans="1:19" ht="14.1" customHeight="1">
      <c r="N97" s="72"/>
      <c r="O97" s="277"/>
      <c r="P97" s="277"/>
      <c r="Q97" s="277"/>
      <c r="R97" s="277"/>
      <c r="S97" s="277"/>
    </row>
    <row r="98" spans="1:19" ht="14.1" customHeight="1">
      <c r="A98" s="79" t="s">
        <v>484</v>
      </c>
      <c r="N98" s="72"/>
      <c r="O98" s="277"/>
      <c r="P98" s="277"/>
      <c r="Q98" s="277"/>
      <c r="R98" s="277"/>
      <c r="S98" s="277"/>
    </row>
    <row r="99" spans="1:19" ht="14.1" customHeight="1">
      <c r="B99" s="13" t="s">
        <v>269</v>
      </c>
      <c r="D99" s="14" t="s">
        <v>472</v>
      </c>
      <c r="E99" s="14" t="s">
        <v>473</v>
      </c>
      <c r="F99" s="14" t="s">
        <v>459</v>
      </c>
      <c r="G99" s="14" t="s">
        <v>474</v>
      </c>
      <c r="H99" s="14" t="s">
        <v>475</v>
      </c>
      <c r="N99" s="72"/>
      <c r="O99" s="277"/>
      <c r="P99" s="277"/>
      <c r="Q99" s="277"/>
      <c r="R99" s="277"/>
      <c r="S99" s="277"/>
    </row>
    <row r="100" spans="1:19" ht="14.1" customHeight="1">
      <c r="A100" s="24" t="s">
        <v>238</v>
      </c>
      <c r="B100" s="13" t="s">
        <v>478</v>
      </c>
      <c r="C100" s="14">
        <v>26.9</v>
      </c>
      <c r="D100" s="109">
        <v>138.88667000000001</v>
      </c>
      <c r="E100" s="109">
        <v>-10.72639</v>
      </c>
      <c r="F100" s="109">
        <v>0.26216</v>
      </c>
      <c r="G100" s="109">
        <v>-8.1999999999999998E-4</v>
      </c>
      <c r="H100" s="109"/>
      <c r="N100" s="72"/>
      <c r="O100" s="277"/>
      <c r="P100" s="277"/>
      <c r="Q100" s="277"/>
      <c r="R100" s="277"/>
      <c r="S100" s="277"/>
    </row>
    <row r="101" spans="1:19" ht="14.1" customHeight="1">
      <c r="B101" s="13" t="s">
        <v>479</v>
      </c>
      <c r="C101" s="14">
        <v>26.9</v>
      </c>
      <c r="D101" s="109">
        <v>-5009.7751651999997</v>
      </c>
      <c r="E101" s="109">
        <v>605.73200599999996</v>
      </c>
      <c r="F101" s="109">
        <v>-27.3018617</v>
      </c>
      <c r="G101" s="109">
        <v>0.54671139999999996</v>
      </c>
      <c r="H101" s="109">
        <v>-4.0986E-3</v>
      </c>
      <c r="N101" s="72"/>
      <c r="O101" s="277"/>
      <c r="P101" s="277"/>
      <c r="Q101" s="277"/>
      <c r="R101" s="277"/>
      <c r="S101" s="277"/>
    </row>
    <row r="102" spans="1:19" ht="14.1" customHeight="1">
      <c r="N102" s="72"/>
      <c r="O102" s="277"/>
      <c r="P102" s="277"/>
      <c r="Q102" s="277"/>
      <c r="R102" s="277"/>
      <c r="S102" s="277"/>
    </row>
    <row r="103" spans="1:19" ht="14.1" customHeight="1">
      <c r="A103" s="24" t="s">
        <v>460</v>
      </c>
      <c r="B103" s="13" t="s">
        <v>269</v>
      </c>
      <c r="D103" s="14" t="s">
        <v>472</v>
      </c>
      <c r="E103" s="14" t="s">
        <v>473</v>
      </c>
      <c r="F103" s="14" t="s">
        <v>459</v>
      </c>
      <c r="G103" s="14" t="s">
        <v>474</v>
      </c>
      <c r="H103" s="14" t="s">
        <v>475</v>
      </c>
      <c r="N103" s="72"/>
      <c r="O103" s="277"/>
      <c r="P103" s="277"/>
      <c r="Q103" s="277"/>
      <c r="R103" s="277"/>
      <c r="S103" s="277"/>
    </row>
    <row r="104" spans="1:19" ht="14.1" customHeight="1">
      <c r="B104" s="13" t="s">
        <v>478</v>
      </c>
      <c r="C104" s="14">
        <v>28.7</v>
      </c>
      <c r="D104" s="14">
        <v>296.34185000000002</v>
      </c>
      <c r="E104" s="14">
        <v>-31.629249999999999</v>
      </c>
      <c r="F104" s="14">
        <v>1.18025</v>
      </c>
      <c r="G104" s="14">
        <v>-1.417E-2</v>
      </c>
      <c r="H104" s="14"/>
      <c r="N104" s="72"/>
      <c r="O104" s="277"/>
      <c r="P104" s="277"/>
      <c r="Q104" s="277"/>
      <c r="R104" s="277"/>
      <c r="S104" s="277"/>
    </row>
    <row r="105" spans="1:19" ht="14.1" customHeight="1">
      <c r="B105" s="13" t="s">
        <v>479</v>
      </c>
      <c r="C105" s="14">
        <v>28.7</v>
      </c>
      <c r="D105" s="14">
        <v>4.8344690000000003</v>
      </c>
      <c r="E105" s="14">
        <v>0.919242</v>
      </c>
      <c r="F105" s="14"/>
      <c r="G105" s="14"/>
      <c r="H105" s="14"/>
      <c r="N105" s="72"/>
      <c r="O105" s="277"/>
      <c r="P105" s="277"/>
      <c r="Q105" s="277"/>
      <c r="R105" s="277"/>
      <c r="S105" s="277"/>
    </row>
    <row r="106" spans="1:19" ht="14.1" customHeight="1">
      <c r="N106" s="72"/>
      <c r="O106" s="277"/>
      <c r="P106" s="277"/>
      <c r="Q106" s="277"/>
      <c r="R106" s="277"/>
      <c r="S106" s="277"/>
    </row>
    <row r="107" spans="1:19" ht="14.1" customHeight="1">
      <c r="A107" s="24" t="s">
        <v>461</v>
      </c>
      <c r="D107" s="14" t="s">
        <v>472</v>
      </c>
      <c r="E107" s="14" t="s">
        <v>473</v>
      </c>
      <c r="F107" s="14" t="s">
        <v>459</v>
      </c>
      <c r="G107" s="14" t="s">
        <v>474</v>
      </c>
      <c r="H107" s="14" t="s">
        <v>475</v>
      </c>
      <c r="N107" s="72"/>
      <c r="O107" s="277"/>
      <c r="P107" s="277"/>
      <c r="Q107" s="277"/>
      <c r="R107" s="277"/>
      <c r="S107" s="277"/>
    </row>
    <row r="108" spans="1:19" ht="14.1" customHeight="1">
      <c r="B108" s="13" t="s">
        <v>478</v>
      </c>
      <c r="C108" s="14">
        <v>28.7</v>
      </c>
      <c r="D108" s="14">
        <v>49.311149999999998</v>
      </c>
      <c r="E108" s="14">
        <v>-2.9301699999999999</v>
      </c>
      <c r="F108" s="14">
        <v>7.3789999999999994E-2</v>
      </c>
      <c r="G108" s="14"/>
      <c r="H108" s="14"/>
      <c r="N108" s="72"/>
      <c r="O108" s="277"/>
      <c r="P108" s="277"/>
      <c r="Q108" s="277"/>
      <c r="R108" s="277"/>
      <c r="S108" s="277"/>
    </row>
    <row r="109" spans="1:19" ht="14.1" customHeight="1">
      <c r="B109" s="13"/>
      <c r="C109" s="242" t="s">
        <v>485</v>
      </c>
      <c r="D109" s="14">
        <v>-24.875</v>
      </c>
      <c r="E109" s="14">
        <v>1.8031999999999999</v>
      </c>
      <c r="F109" s="14"/>
      <c r="G109" s="14"/>
      <c r="H109" s="14"/>
      <c r="N109" s="72"/>
      <c r="O109" s="277"/>
      <c r="P109" s="277"/>
      <c r="Q109" s="277"/>
      <c r="R109" s="277"/>
      <c r="S109" s="277"/>
    </row>
    <row r="110" spans="1:19" ht="14.1" customHeight="1">
      <c r="B110" s="13" t="s">
        <v>479</v>
      </c>
      <c r="C110" s="14">
        <v>30.1</v>
      </c>
      <c r="D110" s="14">
        <v>-4.8346099999999996</v>
      </c>
      <c r="E110" s="14">
        <v>1.1571499999999999</v>
      </c>
      <c r="F110" s="14"/>
      <c r="G110" s="14"/>
      <c r="H110" s="14"/>
      <c r="N110" s="72"/>
      <c r="O110" s="277"/>
      <c r="P110" s="277"/>
      <c r="Q110" s="277"/>
      <c r="R110" s="277"/>
      <c r="S110" s="277"/>
    </row>
    <row r="111" spans="1:19" ht="14.1" customHeight="1">
      <c r="N111" s="72"/>
      <c r="O111" s="277"/>
      <c r="P111" s="277"/>
      <c r="Q111" s="277"/>
      <c r="R111" s="277"/>
      <c r="S111" s="277"/>
    </row>
    <row r="112" spans="1:19" ht="14.1" customHeight="1">
      <c r="N112" s="72"/>
      <c r="O112" s="277"/>
      <c r="P112" s="277"/>
      <c r="Q112" s="277"/>
      <c r="R112" s="277"/>
      <c r="S112" s="277"/>
    </row>
    <row r="113" spans="1:19" ht="14.1" customHeight="1">
      <c r="A113" s="24" t="s">
        <v>486</v>
      </c>
      <c r="N113" s="72"/>
      <c r="O113" s="277"/>
      <c r="P113" s="277"/>
      <c r="Q113" s="277"/>
      <c r="R113" s="277"/>
      <c r="S113" s="277"/>
    </row>
    <row r="114" spans="1:19" ht="14.1" customHeight="1">
      <c r="C114" s="13" t="s">
        <v>487</v>
      </c>
      <c r="D114" s="13" t="s">
        <v>488</v>
      </c>
      <c r="E114" s="13" t="s">
        <v>489</v>
      </c>
      <c r="F114" s="13" t="s">
        <v>490</v>
      </c>
      <c r="G114" s="13" t="s">
        <v>491</v>
      </c>
      <c r="N114" s="72"/>
      <c r="O114" s="277"/>
      <c r="P114" s="277"/>
      <c r="Q114" s="277"/>
      <c r="R114" s="277"/>
      <c r="S114" s="277"/>
    </row>
    <row r="115" spans="1:19" ht="14.1" customHeight="1">
      <c r="B115" s="38" t="s">
        <v>421</v>
      </c>
      <c r="C115" s="13" t="s">
        <v>492</v>
      </c>
      <c r="D115" s="13" t="s">
        <v>493</v>
      </c>
      <c r="E115" s="13" t="s">
        <v>494</v>
      </c>
      <c r="F115" s="13" t="s">
        <v>493</v>
      </c>
      <c r="G115" s="13" t="s">
        <v>328</v>
      </c>
      <c r="N115" s="72"/>
      <c r="O115" s="277"/>
      <c r="P115" s="277"/>
      <c r="Q115" s="277"/>
      <c r="R115" s="277"/>
      <c r="S115" s="277"/>
    </row>
    <row r="116" spans="1:19" ht="14.1" customHeight="1">
      <c r="B116" s="38" t="s">
        <v>427</v>
      </c>
      <c r="C116" s="13" t="s">
        <v>492</v>
      </c>
      <c r="D116" s="13" t="s">
        <v>493</v>
      </c>
      <c r="E116" s="13" t="s">
        <v>493</v>
      </c>
      <c r="F116" s="13" t="s">
        <v>493</v>
      </c>
      <c r="G116" s="13" t="s">
        <v>328</v>
      </c>
      <c r="N116" s="72"/>
      <c r="O116" s="277"/>
      <c r="P116" s="277"/>
      <c r="Q116" s="277"/>
      <c r="R116" s="277"/>
      <c r="S116" s="277"/>
    </row>
    <row r="117" spans="1:19" ht="14.1" customHeight="1">
      <c r="B117" s="38" t="s">
        <v>495</v>
      </c>
      <c r="C117" s="13" t="s">
        <v>492</v>
      </c>
      <c r="D117" s="13" t="s">
        <v>493</v>
      </c>
      <c r="E117" s="13" t="s">
        <v>494</v>
      </c>
      <c r="F117" s="13" t="s">
        <v>493</v>
      </c>
      <c r="G117" s="13" t="s">
        <v>328</v>
      </c>
      <c r="N117" s="72"/>
      <c r="O117" s="277"/>
      <c r="P117" s="277"/>
      <c r="Q117" s="277"/>
      <c r="R117" s="277"/>
      <c r="S117" s="277"/>
    </row>
    <row r="118" spans="1:19" ht="14.1" customHeight="1">
      <c r="B118" s="38" t="s">
        <v>496</v>
      </c>
      <c r="C118" s="13" t="s">
        <v>492</v>
      </c>
      <c r="D118" s="13" t="s">
        <v>493</v>
      </c>
      <c r="E118" s="13" t="s">
        <v>493</v>
      </c>
      <c r="F118" s="13" t="s">
        <v>493</v>
      </c>
      <c r="G118" s="13" t="s">
        <v>328</v>
      </c>
      <c r="N118" s="72"/>
      <c r="O118" s="277"/>
      <c r="P118" s="277"/>
      <c r="Q118" s="277"/>
      <c r="R118" s="277"/>
      <c r="S118" s="277"/>
    </row>
    <row r="119" spans="1:19" ht="14.1" customHeight="1">
      <c r="B119" s="38" t="s">
        <v>497</v>
      </c>
      <c r="C119" s="13" t="s">
        <v>492</v>
      </c>
      <c r="D119" s="13" t="s">
        <v>493</v>
      </c>
      <c r="E119" s="13" t="s">
        <v>493</v>
      </c>
      <c r="F119" s="13" t="s">
        <v>493</v>
      </c>
      <c r="G119" s="13" t="s">
        <v>328</v>
      </c>
      <c r="N119" s="72"/>
      <c r="O119" s="277"/>
      <c r="P119" s="277"/>
      <c r="Q119" s="277"/>
      <c r="R119" s="277"/>
      <c r="S119" s="277"/>
    </row>
    <row r="120" spans="1:19" ht="14.1" customHeight="1">
      <c r="B120" s="38" t="s">
        <v>498</v>
      </c>
      <c r="C120" s="13" t="s">
        <v>492</v>
      </c>
      <c r="D120" s="13" t="s">
        <v>493</v>
      </c>
      <c r="E120" s="13" t="s">
        <v>493</v>
      </c>
      <c r="F120" s="13" t="s">
        <v>493</v>
      </c>
      <c r="G120" s="13" t="s">
        <v>328</v>
      </c>
      <c r="N120" s="72"/>
      <c r="O120" s="277"/>
      <c r="P120" s="277"/>
      <c r="Q120" s="277"/>
      <c r="R120" s="277"/>
      <c r="S120" s="277"/>
    </row>
    <row r="121" spans="1:19" ht="14.1" customHeight="1">
      <c r="B121" s="38" t="s">
        <v>295</v>
      </c>
      <c r="C121" s="13" t="s">
        <v>492</v>
      </c>
      <c r="D121" s="13" t="s">
        <v>493</v>
      </c>
      <c r="E121" s="13" t="s">
        <v>493</v>
      </c>
      <c r="F121" s="13" t="s">
        <v>493</v>
      </c>
      <c r="G121" s="13" t="s">
        <v>328</v>
      </c>
      <c r="N121" s="72"/>
      <c r="O121" s="277"/>
      <c r="P121" s="277"/>
      <c r="Q121" s="277"/>
      <c r="R121" s="277"/>
      <c r="S121" s="277"/>
    </row>
    <row r="122" spans="1:19" ht="14.1" customHeight="1">
      <c r="B122" s="38" t="s">
        <v>499</v>
      </c>
      <c r="C122" s="13" t="s">
        <v>492</v>
      </c>
      <c r="D122" s="13" t="s">
        <v>493</v>
      </c>
      <c r="E122" s="13" t="s">
        <v>493</v>
      </c>
      <c r="F122" s="13" t="s">
        <v>493</v>
      </c>
      <c r="G122" s="13" t="s">
        <v>328</v>
      </c>
      <c r="N122" s="72"/>
      <c r="O122" s="277"/>
      <c r="P122" s="277"/>
      <c r="Q122" s="277"/>
      <c r="R122" s="277"/>
      <c r="S122" s="277"/>
    </row>
    <row r="123" spans="1:19" ht="14.1" customHeight="1">
      <c r="B123" s="38" t="s">
        <v>500</v>
      </c>
      <c r="C123" s="13" t="s">
        <v>492</v>
      </c>
      <c r="D123" s="13" t="s">
        <v>493</v>
      </c>
      <c r="E123" s="13" t="s">
        <v>493</v>
      </c>
      <c r="F123" s="13" t="s">
        <v>493</v>
      </c>
      <c r="G123" s="13" t="s">
        <v>328</v>
      </c>
      <c r="N123" s="72"/>
      <c r="O123" s="72"/>
      <c r="P123" s="72"/>
      <c r="Q123" s="72"/>
      <c r="R123" s="72"/>
      <c r="S123" s="72"/>
    </row>
    <row r="124" spans="1:19" ht="14.1" customHeight="1">
      <c r="B124" s="38" t="s">
        <v>357</v>
      </c>
      <c r="C124" s="13" t="s">
        <v>492</v>
      </c>
      <c r="D124" s="13" t="s">
        <v>493</v>
      </c>
      <c r="E124" s="13" t="s">
        <v>493</v>
      </c>
      <c r="F124" s="13" t="s">
        <v>493</v>
      </c>
      <c r="G124" s="13" t="s">
        <v>328</v>
      </c>
    </row>
    <row r="125" spans="1:19" ht="14.1" customHeight="1">
      <c r="B125" s="38" t="s">
        <v>269</v>
      </c>
      <c r="C125" s="13" t="s">
        <v>492</v>
      </c>
      <c r="D125" s="13" t="s">
        <v>493</v>
      </c>
      <c r="E125" s="13" t="s">
        <v>493</v>
      </c>
      <c r="F125" s="13" t="s">
        <v>493</v>
      </c>
      <c r="G125" s="13" t="s">
        <v>328</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9" t="s">
        <v>501</v>
      </c>
    </row>
    <row r="2" spans="1:3">
      <c r="B2" t="s">
        <v>502</v>
      </c>
    </row>
    <row r="3" spans="1:3">
      <c r="B3" t="s">
        <v>503</v>
      </c>
    </row>
    <row r="4" spans="1:3">
      <c r="B4" t="s">
        <v>504</v>
      </c>
    </row>
    <row r="5" spans="1:3">
      <c r="B5" t="s">
        <v>505</v>
      </c>
    </row>
    <row r="6" spans="1:3">
      <c r="B6" t="s">
        <v>506</v>
      </c>
    </row>
    <row r="8" spans="1:3">
      <c r="A8" s="9" t="s">
        <v>507</v>
      </c>
    </row>
    <row r="9" spans="1:3">
      <c r="A9" s="9"/>
      <c r="B9" t="s">
        <v>480</v>
      </c>
    </row>
    <row r="10" spans="1:3">
      <c r="A10" s="9"/>
      <c r="B10" t="s">
        <v>481</v>
      </c>
    </row>
    <row r="11" spans="1:3">
      <c r="B11" s="7" t="s">
        <v>508</v>
      </c>
      <c r="C11" s="7" t="s">
        <v>509</v>
      </c>
    </row>
    <row r="12" spans="1:3">
      <c r="B12" s="10">
        <v>25.03</v>
      </c>
      <c r="C12" s="11">
        <f>IF(B12&lt;A22,B12+B22+B12*C22+B12^2*D22+B12^3*E22+B12^4*F22+B12^5*G22+B12^6*H22,B12+B23+B12*C23+B12^2*D23+B12^3*E23+B12^4*F23+B12^5*G23+B12^6*H23)</f>
        <v>21.808137925164374</v>
      </c>
    </row>
    <row r="14" spans="1:3">
      <c r="A14" s="9" t="s">
        <v>510</v>
      </c>
    </row>
    <row r="15" spans="1:3">
      <c r="A15" s="9"/>
      <c r="B15" t="s">
        <v>482</v>
      </c>
    </row>
    <row r="16" spans="1:3">
      <c r="A16" s="9"/>
      <c r="B16" t="s">
        <v>483</v>
      </c>
    </row>
    <row r="17" spans="1:8">
      <c r="B17" s="7" t="s">
        <v>508</v>
      </c>
      <c r="C17" s="7" t="s">
        <v>509</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13" customWidth="1"/>
    <col min="2" max="16384" width="9" style="513"/>
  </cols>
  <sheetData>
    <row r="1" spans="1:1">
      <c r="A1" s="582" t="s">
        <v>511</v>
      </c>
    </row>
    <row r="2" spans="1:1">
      <c r="A2" s="513" t="s">
        <v>512</v>
      </c>
    </row>
    <row r="3" spans="1:1">
      <c r="A3" s="513" t="s">
        <v>513</v>
      </c>
    </row>
    <row r="5" spans="1:1">
      <c r="A5" s="582" t="s">
        <v>514</v>
      </c>
    </row>
    <row r="6" spans="1:1">
      <c r="A6" s="513" t="s">
        <v>512</v>
      </c>
    </row>
    <row r="7" spans="1:1">
      <c r="A7" s="513" t="s">
        <v>513</v>
      </c>
    </row>
    <row r="8" spans="1:1">
      <c r="A8" s="513" t="s">
        <v>515</v>
      </c>
    </row>
    <row r="10" spans="1:1">
      <c r="A10" s="581" t="s">
        <v>516</v>
      </c>
    </row>
    <row r="11" spans="1:1">
      <c r="A11" s="580">
        <v>6</v>
      </c>
    </row>
    <row r="12" spans="1:1">
      <c r="A12" s="580">
        <v>5.5</v>
      </c>
    </row>
    <row r="13" spans="1:1">
      <c r="A13" s="580">
        <v>5</v>
      </c>
    </row>
    <row r="14" spans="1:1">
      <c r="A14" s="580">
        <v>4.5</v>
      </c>
    </row>
    <row r="15" spans="1:1">
      <c r="A15" s="580">
        <v>4</v>
      </c>
    </row>
    <row r="16" spans="1:1">
      <c r="A16" s="580">
        <v>3.5</v>
      </c>
    </row>
    <row r="17" spans="1:1">
      <c r="A17" s="580">
        <v>3</v>
      </c>
    </row>
    <row r="18" spans="1:1">
      <c r="A18" s="580">
        <v>2.5</v>
      </c>
    </row>
    <row r="19" spans="1:1">
      <c r="A19" s="580">
        <v>2</v>
      </c>
    </row>
    <row r="20" spans="1:1">
      <c r="A20" s="580">
        <v>1.5</v>
      </c>
    </row>
    <row r="21" spans="1:1">
      <c r="A21" s="580">
        <v>1</v>
      </c>
    </row>
    <row r="22" spans="1:1">
      <c r="A22" s="580">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2016-05-26T18:00:26Z</cp:lastPrinted>
  <dcterms:created xsi:type="dcterms:W3CDTF">2014-08-25T14:38:09Z</dcterms:created>
  <dcterms:modified xsi:type="dcterms:W3CDTF">2016-05-26T19:23:01Z</dcterms:modified>
</cp:coreProperties>
</file>