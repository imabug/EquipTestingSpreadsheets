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firstSheet="2"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Summary-Siemens'!$A$1:$N$55</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R293" i="1" l="1"/>
  <c r="R292" i="1"/>
  <c r="R291" i="1"/>
  <c r="U284" i="1"/>
  <c r="U283" i="1"/>
  <c r="U282" i="1"/>
  <c r="G34" i="11" l="1"/>
  <c r="G26" i="11"/>
  <c r="H377" i="1"/>
  <c r="H376" i="1"/>
  <c r="G376" i="1"/>
  <c r="L375" i="1"/>
  <c r="K375" i="1"/>
  <c r="J375" i="1"/>
  <c r="I375" i="1"/>
  <c r="H375" i="1"/>
  <c r="G375" i="1"/>
  <c r="F375" i="1"/>
  <c r="E375" i="1"/>
  <c r="D375" i="1"/>
  <c r="U375" i="1"/>
  <c r="H380" i="1" s="1"/>
  <c r="T375" i="1"/>
  <c r="G380" i="1" s="1"/>
  <c r="U371" i="1"/>
  <c r="U370" i="1"/>
  <c r="U369" i="1"/>
  <c r="U374" i="1"/>
  <c r="H379" i="1" s="1"/>
  <c r="U373" i="1"/>
  <c r="H378" i="1" s="1"/>
  <c r="U367" i="1"/>
  <c r="T367" i="1"/>
  <c r="S367" i="1"/>
  <c r="R367" i="1"/>
  <c r="Q367" i="1"/>
  <c r="U366" i="1"/>
  <c r="H374" i="1" s="1"/>
  <c r="T371" i="1"/>
  <c r="Y370" i="1"/>
  <c r="X370" i="1"/>
  <c r="W370" i="1"/>
  <c r="V370" i="1"/>
  <c r="T370" i="1"/>
  <c r="S370" i="1"/>
  <c r="R370" i="1"/>
  <c r="Q370" i="1"/>
  <c r="Y369" i="1"/>
  <c r="Y372" i="1" s="1"/>
  <c r="L377" i="1" s="1"/>
  <c r="X369" i="1"/>
  <c r="W369" i="1"/>
  <c r="W372" i="1" s="1"/>
  <c r="J377" i="1" s="1"/>
  <c r="V369" i="1"/>
  <c r="V372" i="1" s="1"/>
  <c r="I377" i="1" s="1"/>
  <c r="T369" i="1"/>
  <c r="T372" i="1" s="1"/>
  <c r="G377" i="1" s="1"/>
  <c r="S369" i="1"/>
  <c r="S372" i="1" s="1"/>
  <c r="F377" i="1" s="1"/>
  <c r="R369" i="1"/>
  <c r="R372" i="1" s="1"/>
  <c r="E377" i="1" s="1"/>
  <c r="Y374" i="1"/>
  <c r="L379" i="1" s="1"/>
  <c r="X374" i="1"/>
  <c r="K379" i="1" s="1"/>
  <c r="W374" i="1"/>
  <c r="J379" i="1" s="1"/>
  <c r="V374" i="1"/>
  <c r="I379" i="1" s="1"/>
  <c r="T374" i="1"/>
  <c r="G379" i="1" s="1"/>
  <c r="S374" i="1"/>
  <c r="F379" i="1" s="1"/>
  <c r="R374" i="1"/>
  <c r="E379" i="1" s="1"/>
  <c r="Y373" i="1"/>
  <c r="L378" i="1" s="1"/>
  <c r="X373" i="1"/>
  <c r="K378" i="1" s="1"/>
  <c r="W373" i="1"/>
  <c r="J378" i="1" s="1"/>
  <c r="V373" i="1"/>
  <c r="I378" i="1" s="1"/>
  <c r="T373" i="1"/>
  <c r="G378" i="1" s="1"/>
  <c r="S373" i="1"/>
  <c r="F378" i="1" s="1"/>
  <c r="R373" i="1"/>
  <c r="E378" i="1" s="1"/>
  <c r="Q374" i="1"/>
  <c r="D379" i="1" s="1"/>
  <c r="Q373" i="1"/>
  <c r="D378" i="1" s="1"/>
  <c r="Q372" i="1"/>
  <c r="D377" i="1" s="1"/>
  <c r="Q369" i="1"/>
  <c r="Y366" i="1"/>
  <c r="L374" i="1" s="1"/>
  <c r="X366" i="1"/>
  <c r="K374" i="1" s="1"/>
  <c r="W366" i="1"/>
  <c r="J374" i="1" s="1"/>
  <c r="V366" i="1"/>
  <c r="I374" i="1" s="1"/>
  <c r="T366" i="1"/>
  <c r="G374" i="1" s="1"/>
  <c r="S366" i="1"/>
  <c r="F374" i="1" s="1"/>
  <c r="R366" i="1"/>
  <c r="E374" i="1" s="1"/>
  <c r="Q366" i="1"/>
  <c r="D374" i="1" s="1"/>
  <c r="P360" i="1"/>
  <c r="P359" i="1"/>
  <c r="P358" i="1"/>
  <c r="P357" i="1"/>
  <c r="R38" i="11"/>
  <c r="S38" i="11" s="1"/>
  <c r="Q38" i="11"/>
  <c r="R37" i="11"/>
  <c r="S37" i="11" s="1"/>
  <c r="Q37" i="11"/>
  <c r="R36" i="11"/>
  <c r="Q36" i="11"/>
  <c r="U35" i="11"/>
  <c r="R35" i="11"/>
  <c r="Q35" i="11"/>
  <c r="Q33" i="11"/>
  <c r="R30" i="11"/>
  <c r="S30" i="11" s="1"/>
  <c r="Q30" i="11"/>
  <c r="R29" i="11"/>
  <c r="S29" i="11" s="1"/>
  <c r="Q29" i="11"/>
  <c r="R28" i="11"/>
  <c r="S28" i="11" s="1"/>
  <c r="Q28" i="11"/>
  <c r="U27" i="11"/>
  <c r="R27" i="11"/>
  <c r="S27" i="11" s="1"/>
  <c r="Q27" i="11"/>
  <c r="Q25" i="11"/>
  <c r="Q22" i="11"/>
  <c r="R22" i="11"/>
  <c r="S22" i="11" s="1"/>
  <c r="R21" i="11"/>
  <c r="S21" i="11" s="1"/>
  <c r="Q21" i="11"/>
  <c r="R20" i="11"/>
  <c r="S20" i="11" s="1"/>
  <c r="Q20" i="11"/>
  <c r="U19" i="11"/>
  <c r="R19" i="11"/>
  <c r="Q19" i="11"/>
  <c r="Q17" i="11"/>
  <c r="R14" i="11"/>
  <c r="S14" i="11" s="1"/>
  <c r="J14" i="11"/>
  <c r="K14" i="11" s="1"/>
  <c r="R13" i="11"/>
  <c r="S13" i="11" s="1"/>
  <c r="J13" i="11"/>
  <c r="K13" i="11" s="1"/>
  <c r="R12" i="11"/>
  <c r="S12" i="11" s="1"/>
  <c r="J12" i="11"/>
  <c r="R11" i="11"/>
  <c r="J11" i="11"/>
  <c r="K11" i="11" s="1"/>
  <c r="Q14" i="11"/>
  <c r="I14" i="11"/>
  <c r="Q13" i="11"/>
  <c r="I13" i="11"/>
  <c r="Q12" i="11"/>
  <c r="Q11" i="11"/>
  <c r="Q9" i="11"/>
  <c r="U11" i="11"/>
  <c r="R6" i="11"/>
  <c r="S6" i="11" s="1"/>
  <c r="J6" i="11"/>
  <c r="K6" i="11" s="1"/>
  <c r="R5" i="11"/>
  <c r="S5" i="11" s="1"/>
  <c r="J5" i="11"/>
  <c r="K5" i="11" s="1"/>
  <c r="R4" i="11"/>
  <c r="J4" i="11"/>
  <c r="K4" i="11" s="1"/>
  <c r="R3" i="11"/>
  <c r="S3" i="11" s="1"/>
  <c r="J3" i="11"/>
  <c r="K3" i="11" s="1"/>
  <c r="Q6" i="11"/>
  <c r="I6" i="11"/>
  <c r="Q5" i="11"/>
  <c r="I5" i="11"/>
  <c r="Q1" i="11"/>
  <c r="Q4" i="11"/>
  <c r="Q3" i="11"/>
  <c r="U3" i="11"/>
  <c r="W2" i="11" s="1"/>
  <c r="J30" i="11"/>
  <c r="K30" i="11" s="1"/>
  <c r="I30" i="11"/>
  <c r="J29" i="11"/>
  <c r="K29" i="11" s="1"/>
  <c r="I29" i="11"/>
  <c r="J28" i="11"/>
  <c r="K28" i="11" s="1"/>
  <c r="I28" i="11"/>
  <c r="M27" i="11"/>
  <c r="J27" i="11"/>
  <c r="K27" i="11" s="1"/>
  <c r="I27" i="11"/>
  <c r="I25" i="11"/>
  <c r="J22" i="11"/>
  <c r="K22" i="11" s="1"/>
  <c r="I22" i="11"/>
  <c r="J21" i="11"/>
  <c r="K21" i="11" s="1"/>
  <c r="I21" i="11"/>
  <c r="J20" i="11"/>
  <c r="K20" i="11" s="1"/>
  <c r="I20" i="11"/>
  <c r="M19" i="11"/>
  <c r="J19" i="11"/>
  <c r="I19" i="11"/>
  <c r="I17" i="11"/>
  <c r="I12" i="11"/>
  <c r="M11" i="11"/>
  <c r="I11" i="11"/>
  <c r="I9" i="11"/>
  <c r="I4" i="11"/>
  <c r="I3" i="11"/>
  <c r="I1" i="11"/>
  <c r="M3" i="11"/>
  <c r="E3" i="11"/>
  <c r="B6" i="11"/>
  <c r="B5" i="11"/>
  <c r="B4" i="11"/>
  <c r="B3" i="11"/>
  <c r="A6" i="11"/>
  <c r="A5" i="11"/>
  <c r="A4" i="11"/>
  <c r="A3" i="11"/>
  <c r="O10" i="11" l="1"/>
  <c r="O2" i="11"/>
  <c r="O18" i="11"/>
  <c r="T20" i="11"/>
  <c r="O26" i="11"/>
  <c r="W34" i="11"/>
  <c r="W18" i="11"/>
  <c r="W10" i="11"/>
  <c r="W26" i="11"/>
  <c r="T36" i="11"/>
  <c r="L20" i="11"/>
  <c r="T19" i="11"/>
  <c r="L7" i="11"/>
  <c r="M7" i="11" s="1"/>
  <c r="L24" i="11"/>
  <c r="M24" i="11" s="1"/>
  <c r="L32" i="11"/>
  <c r="M32" i="11" s="1"/>
  <c r="K19" i="11"/>
  <c r="L27" i="11"/>
  <c r="T24" i="11"/>
  <c r="U24" i="11" s="1"/>
  <c r="T28" i="11"/>
  <c r="T31" i="11"/>
  <c r="U31" i="11" s="1"/>
  <c r="T40" i="11"/>
  <c r="U40" i="11" s="1"/>
  <c r="T32" i="11"/>
  <c r="U32" i="11" s="1"/>
  <c r="L23" i="11"/>
  <c r="M23" i="11" s="1"/>
  <c r="L28" i="11"/>
  <c r="L31" i="11"/>
  <c r="M31" i="11" s="1"/>
  <c r="T8" i="11"/>
  <c r="U8" i="11" s="1"/>
  <c r="L16" i="11"/>
  <c r="M16" i="11" s="1"/>
  <c r="T27" i="11"/>
  <c r="X372" i="1"/>
  <c r="K377" i="1" s="1"/>
  <c r="S36" i="11"/>
  <c r="S35" i="11"/>
  <c r="T39" i="11"/>
  <c r="U39" i="11" s="1"/>
  <c r="T35" i="11"/>
  <c r="S19" i="11"/>
  <c r="T23" i="11"/>
  <c r="U23" i="11" s="1"/>
  <c r="T11" i="11"/>
  <c r="T16" i="11"/>
  <c r="U16" i="11" s="1"/>
  <c r="K12" i="11"/>
  <c r="L15" i="11"/>
  <c r="M15" i="11" s="1"/>
  <c r="T15" i="11"/>
  <c r="U15" i="11" s="1"/>
  <c r="S11" i="11"/>
  <c r="T12" i="11"/>
  <c r="L12" i="11"/>
  <c r="L11" i="11"/>
  <c r="T7" i="11"/>
  <c r="U7" i="11" s="1"/>
  <c r="T3" i="11"/>
  <c r="S4" i="11"/>
  <c r="T4" i="11"/>
  <c r="L3" i="11"/>
  <c r="L4" i="11"/>
  <c r="L19" i="11"/>
  <c r="L8" i="11"/>
  <c r="M8" i="11" s="1"/>
  <c r="B22" i="11"/>
  <c r="C22" i="11" s="1"/>
  <c r="B21" i="11"/>
  <c r="C21" i="11" s="1"/>
  <c r="B20" i="11"/>
  <c r="C20" i="11" s="1"/>
  <c r="B19" i="11"/>
  <c r="A22" i="11"/>
  <c r="A21" i="11"/>
  <c r="A20" i="11"/>
  <c r="A19" i="11"/>
  <c r="A17" i="11"/>
  <c r="E19" i="11"/>
  <c r="B14" i="11"/>
  <c r="C14" i="11" s="1"/>
  <c r="A14" i="11"/>
  <c r="B13" i="11"/>
  <c r="C13" i="11" s="1"/>
  <c r="A13" i="11"/>
  <c r="B12" i="11"/>
  <c r="C12" i="11" s="1"/>
  <c r="A12" i="11"/>
  <c r="E11" i="11"/>
  <c r="B11" i="11"/>
  <c r="A11" i="11"/>
  <c r="A9" i="11"/>
  <c r="D8" i="11"/>
  <c r="E8" i="11" s="1"/>
  <c r="D4" i="11"/>
  <c r="D3" i="11"/>
  <c r="C6" i="11"/>
  <c r="C5" i="11"/>
  <c r="C4" i="11"/>
  <c r="C3" i="11"/>
  <c r="A1" i="11"/>
  <c r="G2" i="11" s="1"/>
  <c r="T269" i="1"/>
  <c r="S360" i="1"/>
  <c r="R360" i="1"/>
  <c r="Q360" i="1"/>
  <c r="S359" i="1"/>
  <c r="R359" i="1"/>
  <c r="Q359" i="1"/>
  <c r="S357" i="1"/>
  <c r="R357" i="1"/>
  <c r="Q357" i="1"/>
  <c r="R346" i="1"/>
  <c r="T346" i="1" s="1"/>
  <c r="Q346" i="1"/>
  <c r="P346" i="1"/>
  <c r="R345" i="1"/>
  <c r="S345" i="1" s="1"/>
  <c r="Q345" i="1"/>
  <c r="T345" i="1" s="1"/>
  <c r="P345" i="1"/>
  <c r="R344" i="1"/>
  <c r="Q344" i="1"/>
  <c r="P344" i="1"/>
  <c r="P347" i="1" s="1"/>
  <c r="Q358" i="1" s="1"/>
  <c r="R343" i="1"/>
  <c r="S343" i="1" s="1"/>
  <c r="Q343" i="1"/>
  <c r="T343" i="1" s="1"/>
  <c r="S340" i="1"/>
  <c r="P343" i="1"/>
  <c r="U322" i="1"/>
  <c r="T322" i="1"/>
  <c r="S322" i="1"/>
  <c r="R322" i="1"/>
  <c r="Q322" i="1"/>
  <c r="S355" i="1"/>
  <c r="W346" i="1"/>
  <c r="V346" i="1"/>
  <c r="U346" i="1"/>
  <c r="W345" i="1"/>
  <c r="X345" i="1" s="1"/>
  <c r="V345" i="1"/>
  <c r="U345" i="1"/>
  <c r="W344" i="1"/>
  <c r="V344" i="1"/>
  <c r="Y344" i="1" s="1"/>
  <c r="U344" i="1"/>
  <c r="W343" i="1"/>
  <c r="V343" i="1"/>
  <c r="U343" i="1"/>
  <c r="U348" i="1" s="1"/>
  <c r="X341" i="1"/>
  <c r="X340" i="1"/>
  <c r="AL94" i="1"/>
  <c r="AK94" i="1"/>
  <c r="AL93" i="1"/>
  <c r="AK93" i="1"/>
  <c r="S341" i="1"/>
  <c r="T344" i="1"/>
  <c r="P348" i="1"/>
  <c r="V340" i="1"/>
  <c r="U336" i="1"/>
  <c r="T336" i="1"/>
  <c r="S336" i="1"/>
  <c r="R336" i="1"/>
  <c r="Q336" i="1"/>
  <c r="U335" i="1"/>
  <c r="T335" i="1"/>
  <c r="S335" i="1"/>
  <c r="R335" i="1"/>
  <c r="Q335" i="1"/>
  <c r="U334" i="1"/>
  <c r="T334" i="1"/>
  <c r="S334" i="1"/>
  <c r="R334" i="1"/>
  <c r="Q334" i="1"/>
  <c r="U333" i="1"/>
  <c r="T333" i="1"/>
  <c r="S333" i="1"/>
  <c r="R333" i="1"/>
  <c r="Q333" i="1"/>
  <c r="U332" i="1"/>
  <c r="T332" i="1"/>
  <c r="S332" i="1"/>
  <c r="R332" i="1"/>
  <c r="Q332" i="1"/>
  <c r="Q331" i="1"/>
  <c r="U331" i="1"/>
  <c r="W331" i="1" s="1"/>
  <c r="T331" i="1"/>
  <c r="S331" i="1"/>
  <c r="X331" i="1" s="1"/>
  <c r="R331" i="1"/>
  <c r="U330" i="1"/>
  <c r="T330" i="1"/>
  <c r="S330" i="1"/>
  <c r="R330" i="1"/>
  <c r="Q330" i="1"/>
  <c r="U329" i="1"/>
  <c r="T329" i="1"/>
  <c r="S329" i="1"/>
  <c r="R329" i="1"/>
  <c r="Q329" i="1"/>
  <c r="U328" i="1"/>
  <c r="T328" i="1"/>
  <c r="S328" i="1"/>
  <c r="R328" i="1"/>
  <c r="Q328" i="1"/>
  <c r="U327" i="1"/>
  <c r="T327" i="1"/>
  <c r="S327" i="1"/>
  <c r="R327" i="1"/>
  <c r="Q327" i="1"/>
  <c r="U326" i="1"/>
  <c r="T326" i="1"/>
  <c r="S326" i="1"/>
  <c r="R326" i="1"/>
  <c r="Q326" i="1"/>
  <c r="U325" i="1"/>
  <c r="V325" i="1" s="1"/>
  <c r="T325" i="1"/>
  <c r="S325" i="1"/>
  <c r="X325" i="1" s="1"/>
  <c r="R325" i="1"/>
  <c r="Q325" i="1"/>
  <c r="W325" i="1"/>
  <c r="U324" i="1"/>
  <c r="T324" i="1"/>
  <c r="S324" i="1"/>
  <c r="R324" i="1"/>
  <c r="Q324" i="1"/>
  <c r="U323" i="1"/>
  <c r="T323" i="1"/>
  <c r="S323" i="1"/>
  <c r="R323" i="1"/>
  <c r="Q323" i="1"/>
  <c r="U321" i="1"/>
  <c r="T321" i="1"/>
  <c r="S321" i="1"/>
  <c r="R321" i="1"/>
  <c r="Q321" i="1"/>
  <c r="R320" i="1"/>
  <c r="U320" i="1"/>
  <c r="T320" i="1"/>
  <c r="S320" i="1"/>
  <c r="Q320" i="1"/>
  <c r="W319" i="1"/>
  <c r="V319" i="1"/>
  <c r="U319" i="1"/>
  <c r="T319" i="1"/>
  <c r="S319" i="1"/>
  <c r="AL132" i="1"/>
  <c r="AK132" i="1"/>
  <c r="AL131" i="1"/>
  <c r="AK131" i="1"/>
  <c r="AL130" i="1"/>
  <c r="AK130" i="1"/>
  <c r="AL129" i="1"/>
  <c r="AK129" i="1"/>
  <c r="AL128" i="1"/>
  <c r="AK128" i="1"/>
  <c r="AL127" i="1"/>
  <c r="AK127" i="1"/>
  <c r="AL126" i="1"/>
  <c r="AK126" i="1"/>
  <c r="AL125" i="1"/>
  <c r="AK125" i="1"/>
  <c r="AL124" i="1"/>
  <c r="AK124" i="1"/>
  <c r="AL123" i="1"/>
  <c r="AK123" i="1"/>
  <c r="AL122" i="1"/>
  <c r="AK122" i="1"/>
  <c r="AL121" i="1"/>
  <c r="AK121" i="1"/>
  <c r="AL120" i="1"/>
  <c r="AK120" i="1"/>
  <c r="AL119" i="1"/>
  <c r="AK119" i="1"/>
  <c r="AL118" i="1"/>
  <c r="AK118" i="1"/>
  <c r="AL117" i="1"/>
  <c r="AK117" i="1"/>
  <c r="AL116" i="1"/>
  <c r="AK116" i="1"/>
  <c r="AL115" i="1"/>
  <c r="AK115" i="1"/>
  <c r="AL114" i="1"/>
  <c r="AK114" i="1"/>
  <c r="AL113" i="1"/>
  <c r="AK113" i="1"/>
  <c r="AL112" i="1"/>
  <c r="AK112" i="1"/>
  <c r="AL111" i="1"/>
  <c r="AK111" i="1"/>
  <c r="AL110" i="1"/>
  <c r="AK110" i="1"/>
  <c r="AL109" i="1"/>
  <c r="AK109" i="1"/>
  <c r="AL108" i="1"/>
  <c r="AK108" i="1"/>
  <c r="AL107" i="1"/>
  <c r="AK107" i="1"/>
  <c r="AL106" i="1"/>
  <c r="AK106" i="1"/>
  <c r="AL105" i="1"/>
  <c r="AK105" i="1"/>
  <c r="AL104" i="1"/>
  <c r="AK104" i="1"/>
  <c r="AL103" i="1"/>
  <c r="AK103" i="1"/>
  <c r="AL102" i="1"/>
  <c r="AK102" i="1"/>
  <c r="AL101" i="1"/>
  <c r="AK101" i="1"/>
  <c r="AL100" i="1"/>
  <c r="AK100" i="1"/>
  <c r="AL99" i="1"/>
  <c r="AK99" i="1"/>
  <c r="AL98" i="1"/>
  <c r="AK98" i="1"/>
  <c r="AL97" i="1"/>
  <c r="AK97" i="1"/>
  <c r="AL96" i="1"/>
  <c r="AK96" i="1"/>
  <c r="AL95" i="1"/>
  <c r="AK95" i="1"/>
  <c r="AL92" i="1"/>
  <c r="AK92" i="1"/>
  <c r="AL91" i="1"/>
  <c r="AK91" i="1"/>
  <c r="P332" i="1" s="1"/>
  <c r="V21" i="1"/>
  <c r="AK88" i="1" s="1"/>
  <c r="X343" i="1"/>
  <c r="X344" i="1"/>
  <c r="X346" i="1"/>
  <c r="Y346" i="1"/>
  <c r="R348" i="1"/>
  <c r="S350" i="1"/>
  <c r="T350" i="1"/>
  <c r="X350" i="1"/>
  <c r="Y350" i="1"/>
  <c r="AK90" i="1"/>
  <c r="AK86" i="1"/>
  <c r="AK85" i="1"/>
  <c r="AK81" i="1"/>
  <c r="AK79" i="1"/>
  <c r="AK75" i="1"/>
  <c r="AK74" i="1"/>
  <c r="AK70" i="1"/>
  <c r="AK69" i="1"/>
  <c r="AK65" i="1"/>
  <c r="AK63" i="1"/>
  <c r="AK59" i="1"/>
  <c r="AK58" i="1"/>
  <c r="AK53" i="1"/>
  <c r="AK52" i="1"/>
  <c r="AK48" i="1"/>
  <c r="AK46" i="1"/>
  <c r="AK42" i="1"/>
  <c r="AK41" i="1"/>
  <c r="AK37" i="1"/>
  <c r="AK36" i="1"/>
  <c r="AK32" i="1"/>
  <c r="AK30" i="1"/>
  <c r="AK26" i="1"/>
  <c r="AK25" i="1"/>
  <c r="AK22" i="1"/>
  <c r="AK21" i="1"/>
  <c r="AK18" i="1"/>
  <c r="AK17" i="1"/>
  <c r="AK16" i="1"/>
  <c r="AK14" i="1"/>
  <c r="AK13" i="1"/>
  <c r="AK12" i="1"/>
  <c r="AK11" i="1"/>
  <c r="AK10" i="1"/>
  <c r="D11" i="11" l="1"/>
  <c r="G18" i="11"/>
  <c r="W27" i="11"/>
  <c r="R31" i="11" s="1"/>
  <c r="C11" i="11"/>
  <c r="O19" i="11"/>
  <c r="X371" i="1" s="1"/>
  <c r="X375" i="1" s="1"/>
  <c r="K380" i="1" s="1"/>
  <c r="G10" i="11"/>
  <c r="W11" i="11"/>
  <c r="R15" i="11" s="1"/>
  <c r="W3" i="11"/>
  <c r="Q7" i="11" s="1"/>
  <c r="W35" i="11"/>
  <c r="Q39" i="11" s="1"/>
  <c r="O27" i="11"/>
  <c r="Y371" i="1" s="1"/>
  <c r="D12" i="11"/>
  <c r="D16" i="11"/>
  <c r="E16" i="11" s="1"/>
  <c r="R39" i="11"/>
  <c r="W19" i="11"/>
  <c r="O11" i="11"/>
  <c r="J23" i="11"/>
  <c r="I23" i="11"/>
  <c r="O3" i="11"/>
  <c r="V371" i="1" s="1"/>
  <c r="D19" i="11"/>
  <c r="D20" i="11"/>
  <c r="D24" i="11"/>
  <c r="E24" i="11" s="1"/>
  <c r="C19" i="11"/>
  <c r="D23" i="11"/>
  <c r="E23" i="11" s="1"/>
  <c r="D15" i="11"/>
  <c r="E15" i="11" s="1"/>
  <c r="D7" i="11"/>
  <c r="E7" i="11" s="1"/>
  <c r="V348" i="1"/>
  <c r="W347" i="1"/>
  <c r="V347" i="1"/>
  <c r="U347" i="1"/>
  <c r="U349" i="1" s="1"/>
  <c r="Q348" i="1"/>
  <c r="Q347" i="1"/>
  <c r="P349" i="1"/>
  <c r="V331"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89" i="1"/>
  <c r="AK27" i="1"/>
  <c r="AK31" i="1"/>
  <c r="AK35" i="1"/>
  <c r="AK39" i="1"/>
  <c r="AK43" i="1"/>
  <c r="AK47" i="1"/>
  <c r="AK51" i="1"/>
  <c r="AK55" i="1"/>
  <c r="AK60" i="1"/>
  <c r="AK64" i="1"/>
  <c r="AK68" i="1"/>
  <c r="AK72" i="1"/>
  <c r="AK76" i="1"/>
  <c r="AK80" i="1"/>
  <c r="AK84" i="1"/>
  <c r="X348" i="1"/>
  <c r="X347" i="1"/>
  <c r="T348" i="1"/>
  <c r="T347" i="1"/>
  <c r="W348" i="1"/>
  <c r="W349" i="1" s="1"/>
  <c r="S346" i="1"/>
  <c r="Y345" i="1"/>
  <c r="S344" i="1"/>
  <c r="Y343" i="1"/>
  <c r="R347" i="1"/>
  <c r="R349" i="1" s="1"/>
  <c r="R261" i="1"/>
  <c r="S260" i="1"/>
  <c r="S261" i="1" s="1"/>
  <c r="R260" i="1"/>
  <c r="Q260" i="1"/>
  <c r="Q261" i="1" s="1"/>
  <c r="K226" i="1"/>
  <c r="M195" i="1"/>
  <c r="L195" i="1"/>
  <c r="K195" i="1"/>
  <c r="M194" i="1"/>
  <c r="L194" i="1"/>
  <c r="K194" i="1"/>
  <c r="M193" i="1"/>
  <c r="L193" i="1"/>
  <c r="K193" i="1"/>
  <c r="M192" i="1"/>
  <c r="L192" i="1"/>
  <c r="K192" i="1"/>
  <c r="M191" i="1"/>
  <c r="L191" i="1"/>
  <c r="K191" i="1"/>
  <c r="M190" i="1"/>
  <c r="L190" i="1"/>
  <c r="K190" i="1"/>
  <c r="M189" i="1"/>
  <c r="L189" i="1"/>
  <c r="K189" i="1"/>
  <c r="M188" i="1"/>
  <c r="L188" i="1"/>
  <c r="K188" i="1"/>
  <c r="J195" i="1"/>
  <c r="I195" i="1"/>
  <c r="H195" i="1"/>
  <c r="J194" i="1"/>
  <c r="I194" i="1"/>
  <c r="H194" i="1"/>
  <c r="J193" i="1"/>
  <c r="I193" i="1"/>
  <c r="H193" i="1"/>
  <c r="J192" i="1"/>
  <c r="I192" i="1"/>
  <c r="H192" i="1"/>
  <c r="J191" i="1"/>
  <c r="I191" i="1"/>
  <c r="H191" i="1"/>
  <c r="J190" i="1"/>
  <c r="I190" i="1"/>
  <c r="H190" i="1"/>
  <c r="J189" i="1"/>
  <c r="I189" i="1"/>
  <c r="H189" i="1"/>
  <c r="J188" i="1"/>
  <c r="I188" i="1"/>
  <c r="H188" i="1"/>
  <c r="F200" i="1"/>
  <c r="E200" i="1"/>
  <c r="D200" i="1"/>
  <c r="F199" i="1"/>
  <c r="E199" i="1"/>
  <c r="D199" i="1"/>
  <c r="F198" i="1"/>
  <c r="E198" i="1"/>
  <c r="D198" i="1"/>
  <c r="F197" i="1"/>
  <c r="E197" i="1"/>
  <c r="D197" i="1"/>
  <c r="F196" i="1"/>
  <c r="E196" i="1"/>
  <c r="D196" i="1"/>
  <c r="F195" i="1"/>
  <c r="E195" i="1"/>
  <c r="D195" i="1"/>
  <c r="D194" i="1"/>
  <c r="F193" i="1"/>
  <c r="E193" i="1"/>
  <c r="D193" i="1"/>
  <c r="F192" i="1"/>
  <c r="E192" i="1"/>
  <c r="D192" i="1"/>
  <c r="F191" i="1"/>
  <c r="E191" i="1"/>
  <c r="D191" i="1"/>
  <c r="F190" i="1"/>
  <c r="E190" i="1"/>
  <c r="D190" i="1"/>
  <c r="F189" i="1"/>
  <c r="E189" i="1"/>
  <c r="D189" i="1"/>
  <c r="F188" i="1"/>
  <c r="E188" i="1"/>
  <c r="D188" i="1"/>
  <c r="Q31" i="11" l="1"/>
  <c r="R7" i="11"/>
  <c r="K376" i="1"/>
  <c r="Q15" i="11"/>
  <c r="Y375" i="1"/>
  <c r="L380" i="1" s="1"/>
  <c r="L376" i="1"/>
  <c r="V349" i="1"/>
  <c r="I376" i="1"/>
  <c r="V375" i="1"/>
  <c r="I380" i="1" s="1"/>
  <c r="Q349" i="1"/>
  <c r="J15" i="11"/>
  <c r="W371" i="1"/>
  <c r="G3" i="11"/>
  <c r="Q371" i="1" s="1"/>
  <c r="J31" i="11"/>
  <c r="I31" i="11"/>
  <c r="R23" i="11"/>
  <c r="Q23" i="11"/>
  <c r="I15" i="11"/>
  <c r="J7" i="11"/>
  <c r="I7" i="11"/>
  <c r="G19" i="11"/>
  <c r="S371" i="1" s="1"/>
  <c r="G11" i="11"/>
  <c r="R371" i="1" s="1"/>
  <c r="S347" i="1"/>
  <c r="X349" i="1"/>
  <c r="Y348" i="1"/>
  <c r="Y347" i="1"/>
  <c r="S348" i="1"/>
  <c r="S349" i="1" s="1"/>
  <c r="T349" i="1"/>
  <c r="J398" i="1"/>
  <c r="I398" i="1"/>
  <c r="H398" i="1"/>
  <c r="J397" i="1"/>
  <c r="I397" i="1"/>
  <c r="H397" i="1"/>
  <c r="J396" i="1"/>
  <c r="I396" i="1"/>
  <c r="H396" i="1"/>
  <c r="J395" i="1"/>
  <c r="I395" i="1"/>
  <c r="H395" i="1"/>
  <c r="J394" i="1"/>
  <c r="I394" i="1"/>
  <c r="H394" i="1"/>
  <c r="J393" i="1"/>
  <c r="I393" i="1"/>
  <c r="H393" i="1"/>
  <c r="S253" i="1"/>
  <c r="R253" i="1"/>
  <c r="Q253" i="1"/>
  <c r="L185" i="1"/>
  <c r="I185" i="1"/>
  <c r="D185" i="1"/>
  <c r="Y349" i="1" l="1"/>
  <c r="A7" i="11"/>
  <c r="R375" i="1"/>
  <c r="E380" i="1" s="1"/>
  <c r="E376" i="1"/>
  <c r="F376" i="1"/>
  <c r="S375" i="1"/>
  <c r="F380" i="1" s="1"/>
  <c r="Q375" i="1"/>
  <c r="D380" i="1" s="1"/>
  <c r="D376" i="1"/>
  <c r="J376" i="1"/>
  <c r="W375" i="1"/>
  <c r="J380" i="1" s="1"/>
  <c r="B23" i="11"/>
  <c r="A23" i="11"/>
  <c r="B15" i="11"/>
  <c r="A15" i="11"/>
  <c r="B7" i="11"/>
  <c r="S400" i="1"/>
  <c r="L5" i="8" l="1"/>
  <c r="D428" i="1" l="1"/>
  <c r="D427" i="1"/>
  <c r="D426" i="1"/>
  <c r="D425" i="1"/>
  <c r="D424" i="1"/>
  <c r="D423" i="1"/>
  <c r="R439" i="1"/>
  <c r="S438" i="1"/>
  <c r="T439" i="1" s="1"/>
  <c r="R437" i="1"/>
  <c r="S436" i="1"/>
  <c r="T437" i="1" s="1"/>
  <c r="D420" i="1" l="1"/>
  <c r="D419" i="1"/>
  <c r="D418" i="1"/>
  <c r="D417" i="1"/>
  <c r="D416" i="1"/>
  <c r="D415" i="1"/>
  <c r="D414" i="1"/>
  <c r="D413" i="1"/>
  <c r="D412" i="1"/>
  <c r="D411" i="1"/>
  <c r="D410" i="1"/>
  <c r="D409" i="1"/>
  <c r="D408" i="1"/>
  <c r="D407" i="1"/>
  <c r="D406" i="1"/>
  <c r="D405" i="1"/>
  <c r="D421" i="1"/>
  <c r="D422" i="1"/>
  <c r="R435" i="1"/>
  <c r="S434" i="1"/>
  <c r="T435" i="1" s="1"/>
  <c r="R433" i="1"/>
  <c r="S432" i="1"/>
  <c r="T433" i="1" s="1"/>
  <c r="R431" i="1"/>
  <c r="S430" i="1"/>
  <c r="T431" i="1" s="1"/>
  <c r="R429" i="1"/>
  <c r="S428" i="1"/>
  <c r="T429" i="1" s="1"/>
  <c r="R427" i="1"/>
  <c r="S426" i="1"/>
  <c r="T427" i="1" s="1"/>
  <c r="R425" i="1"/>
  <c r="S424" i="1"/>
  <c r="T425" i="1" s="1"/>
  <c r="M132" i="1" l="1"/>
  <c r="L132" i="1"/>
  <c r="M131" i="1"/>
  <c r="L131" i="1"/>
  <c r="M130" i="1"/>
  <c r="L130" i="1"/>
  <c r="M129" i="1"/>
  <c r="L129" i="1"/>
  <c r="M128" i="1"/>
  <c r="L128" i="1"/>
  <c r="M431"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6" i="1"/>
  <c r="F226" i="1"/>
  <c r="E226" i="1"/>
  <c r="D226" i="1"/>
  <c r="G225" i="1"/>
  <c r="F225" i="1"/>
  <c r="E225" i="1"/>
  <c r="D225" i="1"/>
  <c r="G224" i="1"/>
  <c r="F224" i="1"/>
  <c r="E224" i="1"/>
  <c r="D224" i="1"/>
  <c r="G223" i="1"/>
  <c r="F223" i="1"/>
  <c r="E223" i="1"/>
  <c r="D223" i="1"/>
  <c r="C226"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06" i="1"/>
  <c r="W406" i="1"/>
  <c r="V406" i="1"/>
  <c r="X405" i="1"/>
  <c r="W405" i="1"/>
  <c r="V405" i="1"/>
  <c r="X404" i="1"/>
  <c r="W404" i="1"/>
  <c r="V404" i="1"/>
  <c r="X403" i="1"/>
  <c r="W403" i="1"/>
  <c r="V403" i="1"/>
  <c r="X402" i="1"/>
  <c r="W402" i="1"/>
  <c r="V402" i="1"/>
  <c r="AD115" i="1"/>
  <c r="AD114" i="1"/>
  <c r="AD113" i="1"/>
  <c r="AD112" i="1"/>
  <c r="AD111" i="1"/>
  <c r="AD110" i="1"/>
  <c r="AD109" i="1"/>
  <c r="AD108" i="1"/>
  <c r="AD107" i="1"/>
  <c r="AD106" i="1"/>
  <c r="AD105" i="1"/>
  <c r="AD104" i="1"/>
  <c r="AD103" i="1"/>
  <c r="L347" i="1" l="1"/>
  <c r="L346" i="1"/>
  <c r="L348" i="1"/>
  <c r="L349" i="1"/>
  <c r="H76" i="4"/>
  <c r="H75" i="4"/>
  <c r="L351" i="1" l="1"/>
  <c r="L350" i="1"/>
  <c r="B75" i="4"/>
  <c r="E75" i="4"/>
  <c r="E76" i="4"/>
  <c r="C76" i="4" l="1"/>
  <c r="F75" i="4"/>
  <c r="I76" i="4"/>
  <c r="F76" i="4"/>
  <c r="E79" i="4" s="1"/>
  <c r="I75" i="4"/>
  <c r="C75" i="4"/>
  <c r="L352" i="1"/>
  <c r="AD88" i="1"/>
  <c r="F79" i="4"/>
  <c r="F80" i="4"/>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E80" i="4" l="1"/>
  <c r="G347" i="1"/>
  <c r="W320" i="1"/>
  <c r="J297" i="1" s="1"/>
  <c r="W324" i="1"/>
  <c r="J301" i="1" s="1"/>
  <c r="W329" i="1"/>
  <c r="J305" i="1" s="1"/>
  <c r="W334" i="1"/>
  <c r="J309" i="1" s="1"/>
  <c r="H346" i="1"/>
  <c r="G346" i="1"/>
  <c r="H349" i="1"/>
  <c r="W322" i="1"/>
  <c r="J299" i="1" s="1"/>
  <c r="W327" i="1"/>
  <c r="J303" i="1" s="1"/>
  <c r="W332" i="1"/>
  <c r="J307" i="1" s="1"/>
  <c r="W336" i="1"/>
  <c r="J311" i="1" s="1"/>
  <c r="H348" i="1"/>
  <c r="G349" i="1"/>
  <c r="U360" i="1"/>
  <c r="H347" i="1"/>
  <c r="G348" i="1"/>
  <c r="U359" i="1"/>
  <c r="U357" i="1"/>
  <c r="W321" i="1"/>
  <c r="J298" i="1" s="1"/>
  <c r="W323" i="1"/>
  <c r="J300" i="1" s="1"/>
  <c r="W326" i="1"/>
  <c r="J302" i="1" s="1"/>
  <c r="W328" i="1"/>
  <c r="J304" i="1" s="1"/>
  <c r="W330" i="1"/>
  <c r="J306" i="1" s="1"/>
  <c r="W333" i="1"/>
  <c r="J308" i="1" s="1"/>
  <c r="W335" i="1"/>
  <c r="J310" i="1" s="1"/>
  <c r="J296" i="1"/>
  <c r="S244" i="1"/>
  <c r="G243" i="1" s="1"/>
  <c r="R244" i="1"/>
  <c r="F243" i="1" s="1"/>
  <c r="Q244" i="1"/>
  <c r="E243" i="1" s="1"/>
  <c r="P244" i="1"/>
  <c r="D243" i="1" s="1"/>
  <c r="R142" i="1" l="1"/>
  <c r="I148" i="1" s="1"/>
  <c r="F252" i="1" l="1"/>
  <c r="E252" i="1"/>
  <c r="D252" i="1"/>
  <c r="B76" i="4" l="1"/>
  <c r="D79" i="4" s="1"/>
  <c r="C18" i="5"/>
  <c r="C12" i="5"/>
  <c r="M56" i="4"/>
  <c r="L56" i="4"/>
  <c r="M55" i="4"/>
  <c r="L55" i="4"/>
  <c r="M54" i="4"/>
  <c r="L54" i="4"/>
  <c r="M53" i="4"/>
  <c r="L53" i="4"/>
  <c r="U416" i="1"/>
  <c r="I386" i="1" s="1"/>
  <c r="T416" i="1"/>
  <c r="I30" i="8" s="1"/>
  <c r="U415" i="1"/>
  <c r="I385" i="1" s="1"/>
  <c r="T415" i="1"/>
  <c r="G30" i="8" s="1"/>
  <c r="S407" i="1"/>
  <c r="J399" i="1" s="1"/>
  <c r="R407" i="1"/>
  <c r="I399" i="1" s="1"/>
  <c r="Q407" i="1"/>
  <c r="H399" i="1" s="1"/>
  <c r="R391" i="1"/>
  <c r="Q391" i="1"/>
  <c r="E398" i="1" s="1"/>
  <c r="R390" i="1"/>
  <c r="U389" i="1"/>
  <c r="R389" i="1"/>
  <c r="V388" i="1"/>
  <c r="R388" i="1"/>
  <c r="V387" i="1"/>
  <c r="R387" i="1"/>
  <c r="V386" i="1"/>
  <c r="R386" i="1"/>
  <c r="E370" i="1"/>
  <c r="O363"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401" i="1"/>
  <c r="L401" i="1"/>
  <c r="E401" i="1"/>
  <c r="E297" i="1"/>
  <c r="M400" i="1"/>
  <c r="L400" i="1"/>
  <c r="E400" i="1"/>
  <c r="R319" i="1"/>
  <c r="Q319" i="1"/>
  <c r="D296" i="1" s="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E387" i="1"/>
  <c r="T271" i="1"/>
  <c r="G270" i="1" s="1"/>
  <c r="E386" i="1"/>
  <c r="T270" i="1"/>
  <c r="G269" i="1" s="1"/>
  <c r="E385" i="1"/>
  <c r="E384" i="1"/>
  <c r="G271" i="1"/>
  <c r="F271" i="1"/>
  <c r="E271" i="1"/>
  <c r="D271" i="1"/>
  <c r="F270" i="1"/>
  <c r="E270" i="1"/>
  <c r="D270" i="1"/>
  <c r="F269" i="1"/>
  <c r="E269" i="1"/>
  <c r="D269" i="1"/>
  <c r="S259" i="1"/>
  <c r="R259" i="1"/>
  <c r="Q259" i="1"/>
  <c r="F268" i="1"/>
  <c r="E268" i="1"/>
  <c r="D268" i="1"/>
  <c r="U257" i="1"/>
  <c r="H256" i="1" s="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X225" i="1"/>
  <c r="K224" i="1" s="1"/>
  <c r="X224" i="1"/>
  <c r="K223" i="1" s="1"/>
  <c r="M218" i="1"/>
  <c r="M217" i="1"/>
  <c r="D215" i="1"/>
  <c r="D208" i="1"/>
  <c r="D207" i="1"/>
  <c r="D206" i="1"/>
  <c r="R217" i="1"/>
  <c r="Q217" i="1"/>
  <c r="D205" i="1"/>
  <c r="D204" i="1"/>
  <c r="W204" i="1"/>
  <c r="V204" i="1"/>
  <c r="U204" i="1"/>
  <c r="S204" i="1"/>
  <c r="R204" i="1"/>
  <c r="Q204" i="1"/>
  <c r="W203" i="1"/>
  <c r="V203" i="1"/>
  <c r="U203" i="1"/>
  <c r="S203" i="1"/>
  <c r="R203" i="1"/>
  <c r="Q203" i="1"/>
  <c r="G181" i="1"/>
  <c r="F181" i="1"/>
  <c r="E181" i="1"/>
  <c r="D181" i="1"/>
  <c r="W189" i="1"/>
  <c r="V189" i="1"/>
  <c r="U189" i="1"/>
  <c r="S189" i="1"/>
  <c r="R189" i="1"/>
  <c r="Q189" i="1"/>
  <c r="W188" i="1"/>
  <c r="V188" i="1"/>
  <c r="U188" i="1"/>
  <c r="S188" i="1"/>
  <c r="R188" i="1"/>
  <c r="Q188" i="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L39" i="1"/>
  <c r="I39" i="1"/>
  <c r="H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R25" i="1"/>
  <c r="AD30" i="1" s="1"/>
  <c r="AC30" i="1" s="1"/>
  <c r="V24" i="1"/>
  <c r="R23" i="1"/>
  <c r="F22" i="1" s="1"/>
  <c r="V22" i="1"/>
  <c r="K22" i="1" s="1"/>
  <c r="R22" i="1"/>
  <c r="AD28" i="1" s="1"/>
  <c r="AC28" i="1" s="1"/>
  <c r="AD38" i="1"/>
  <c r="AC38" i="1" s="1"/>
  <c r="V19" i="1"/>
  <c r="AD26" i="1" s="1"/>
  <c r="AC26" i="1" s="1"/>
  <c r="R19" i="1"/>
  <c r="V18" i="1"/>
  <c r="K17" i="1" s="1"/>
  <c r="R18" i="1"/>
  <c r="V17" i="1"/>
  <c r="AD24" i="1" s="1"/>
  <c r="AC24" i="1" s="1"/>
  <c r="R17" i="1"/>
  <c r="F16" i="1" s="1"/>
  <c r="V14" i="1"/>
  <c r="AD19" i="1" s="1"/>
  <c r="AC19" i="1" s="1"/>
  <c r="R14" i="1"/>
  <c r="V13" i="1"/>
  <c r="K13" i="1" s="1"/>
  <c r="R13" i="1"/>
  <c r="M432" i="1" s="1"/>
  <c r="V12" i="1"/>
  <c r="R12" i="1"/>
  <c r="F12" i="1" s="1"/>
  <c r="V11" i="1"/>
  <c r="AD16" i="1" s="1"/>
  <c r="AC16" i="1" s="1"/>
  <c r="R11" i="1"/>
  <c r="AD11" i="1" s="1"/>
  <c r="AC11" i="1" s="1"/>
  <c r="V10" i="1"/>
  <c r="AD15" i="1" s="1"/>
  <c r="AC15" i="1" s="1"/>
  <c r="R10" i="1"/>
  <c r="C4" i="8" s="1"/>
  <c r="AD8" i="1"/>
  <c r="AC8" i="1" s="1"/>
  <c r="P8" i="1"/>
  <c r="AD7" i="1"/>
  <c r="AC7" i="1" s="1"/>
  <c r="X7" i="1"/>
  <c r="AA3" i="1"/>
  <c r="AD41" i="1" l="1"/>
  <c r="AC41" i="1" s="1"/>
  <c r="AL88" i="1"/>
  <c r="AL84" i="1"/>
  <c r="AL80" i="1"/>
  <c r="AL76" i="1"/>
  <c r="AL72" i="1"/>
  <c r="AL68" i="1"/>
  <c r="AL64" i="1"/>
  <c r="AL60" i="1"/>
  <c r="AL89" i="1"/>
  <c r="AL77" i="1"/>
  <c r="AL65" i="1"/>
  <c r="AL87" i="1"/>
  <c r="AL83" i="1"/>
  <c r="AL79" i="1"/>
  <c r="AL75" i="1"/>
  <c r="AL71" i="1"/>
  <c r="AL67" i="1"/>
  <c r="AL63" i="1"/>
  <c r="AL59" i="1"/>
  <c r="AL81" i="1"/>
  <c r="AL69" i="1"/>
  <c r="AL57" i="1"/>
  <c r="P326" i="1"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6" i="1"/>
  <c r="H197" i="1"/>
  <c r="E296" i="1"/>
  <c r="B64" i="4"/>
  <c r="C64" i="4" s="1"/>
  <c r="D297" i="1"/>
  <c r="V330" i="1"/>
  <c r="E306" i="1"/>
  <c r="AD74" i="1"/>
  <c r="I63" i="4"/>
  <c r="F70" i="4" s="1"/>
  <c r="C307" i="1"/>
  <c r="E63" i="4"/>
  <c r="E70" i="4" s="1"/>
  <c r="C302" i="1"/>
  <c r="V329" i="1"/>
  <c r="E305" i="1"/>
  <c r="S245" i="1"/>
  <c r="G244" i="1" s="1"/>
  <c r="G242" i="1"/>
  <c r="M215" i="1"/>
  <c r="M359" i="1"/>
  <c r="M287" i="1"/>
  <c r="M71" i="1"/>
  <c r="M143" i="1"/>
  <c r="D360" i="1"/>
  <c r="D288" i="1"/>
  <c r="D72" i="1"/>
  <c r="D144" i="1"/>
  <c r="U256" i="1"/>
  <c r="H255" i="1" s="1"/>
  <c r="D258" i="1"/>
  <c r="K38" i="1"/>
  <c r="K39" i="1"/>
  <c r="AD78" i="1"/>
  <c r="H205" i="1"/>
  <c r="V253" i="1"/>
  <c r="I252" i="1" s="1"/>
  <c r="E258" i="1"/>
  <c r="M360" i="1"/>
  <c r="M72" i="1"/>
  <c r="M144" i="1"/>
  <c r="M288" i="1"/>
  <c r="W253" i="1"/>
  <c r="J252" i="1" s="1"/>
  <c r="F258" i="1"/>
  <c r="J39" i="1"/>
  <c r="X319" i="1"/>
  <c r="K296" i="1" s="1"/>
  <c r="L301" i="1" s="1"/>
  <c r="B63" i="4"/>
  <c r="C63" i="4" s="1"/>
  <c r="X321" i="1"/>
  <c r="K298" i="1" s="1"/>
  <c r="B65" i="4"/>
  <c r="C65" i="4" s="1"/>
  <c r="X322" i="1"/>
  <c r="K299" i="1" s="1"/>
  <c r="B66" i="4"/>
  <c r="C66" i="4" s="1"/>
  <c r="X326" i="1"/>
  <c r="K302" i="1" s="1"/>
  <c r="L306" i="1" s="1"/>
  <c r="F63" i="4"/>
  <c r="G63" i="4" s="1"/>
  <c r="X330" i="1"/>
  <c r="K306" i="1" s="1"/>
  <c r="F67" i="4"/>
  <c r="G67" i="4" s="1"/>
  <c r="X336" i="1"/>
  <c r="K311" i="1" s="1"/>
  <c r="J67" i="4"/>
  <c r="K67" i="4" s="1"/>
  <c r="X329" i="1"/>
  <c r="K305" i="1" s="1"/>
  <c r="F66" i="4"/>
  <c r="G66" i="4" s="1"/>
  <c r="X335" i="1"/>
  <c r="K310" i="1" s="1"/>
  <c r="J66" i="4"/>
  <c r="K66" i="4" s="1"/>
  <c r="X327" i="1"/>
  <c r="K303" i="1" s="1"/>
  <c r="F64" i="4"/>
  <c r="G64" i="4" s="1"/>
  <c r="X328" i="1"/>
  <c r="K304" i="1" s="1"/>
  <c r="F65" i="4"/>
  <c r="G65" i="4" s="1"/>
  <c r="X334" i="1"/>
  <c r="K309" i="1" s="1"/>
  <c r="J65" i="4"/>
  <c r="K65" i="4" s="1"/>
  <c r="X323" i="1"/>
  <c r="K300" i="1" s="1"/>
  <c r="B67" i="4"/>
  <c r="C67" i="4" s="1"/>
  <c r="X324" i="1"/>
  <c r="K301" i="1" s="1"/>
  <c r="B68" i="4"/>
  <c r="C68" i="4" s="1"/>
  <c r="X332" i="1"/>
  <c r="K307" i="1" s="1"/>
  <c r="L311" i="1" s="1"/>
  <c r="J63" i="4"/>
  <c r="K63" i="4" s="1"/>
  <c r="X333" i="1"/>
  <c r="K308" i="1" s="1"/>
  <c r="J64" i="4"/>
  <c r="K64" i="4" s="1"/>
  <c r="D80" i="4"/>
  <c r="F24" i="1"/>
  <c r="AD116" i="1"/>
  <c r="U254" i="1"/>
  <c r="H253" i="1" s="1"/>
  <c r="AD13" i="1"/>
  <c r="AC13" i="1" s="1"/>
  <c r="F13" i="1"/>
  <c r="K21" i="1"/>
  <c r="K23" i="1"/>
  <c r="K24" i="1"/>
  <c r="H41" i="1"/>
  <c r="F40" i="1"/>
  <c r="K40" i="1"/>
  <c r="AD70" i="1"/>
  <c r="G40" i="1"/>
  <c r="AD66" i="1"/>
  <c r="K28" i="1"/>
  <c r="W255" i="1"/>
  <c r="J254" i="1" s="1"/>
  <c r="W256" i="1"/>
  <c r="J255" i="1" s="1"/>
  <c r="F25" i="1"/>
  <c r="V320" i="1"/>
  <c r="V321" i="1"/>
  <c r="V332" i="1"/>
  <c r="C367" i="1"/>
  <c r="T357" i="1"/>
  <c r="F367" i="1" s="1"/>
  <c r="V322" i="1"/>
  <c r="V323" i="1"/>
  <c r="V326" i="1"/>
  <c r="V327" i="1"/>
  <c r="V333" i="1"/>
  <c r="I308" i="1" s="1"/>
  <c r="V334" i="1"/>
  <c r="V335" i="1"/>
  <c r="V336" i="1"/>
  <c r="V415" i="1"/>
  <c r="J385" i="1" s="1"/>
  <c r="F26" i="1"/>
  <c r="V328" i="1"/>
  <c r="C370" i="1"/>
  <c r="T360" i="1"/>
  <c r="F370" i="1" s="1"/>
  <c r="AD9" i="1"/>
  <c r="AC9" i="1" s="1"/>
  <c r="K29" i="1"/>
  <c r="X320" i="1"/>
  <c r="K297" i="1" s="1"/>
  <c r="V324" i="1"/>
  <c r="C369" i="1"/>
  <c r="T359" i="1"/>
  <c r="F369" i="1" s="1"/>
  <c r="V416" i="1"/>
  <c r="J386" i="1" s="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AD117" i="1"/>
  <c r="H385" i="1"/>
  <c r="H386" i="1"/>
  <c r="G268" i="1"/>
  <c r="D272" i="1"/>
  <c r="E158" i="1"/>
  <c r="S156" i="1"/>
  <c r="J156" i="1" s="1"/>
  <c r="W257" i="1"/>
  <c r="J256" i="1" s="1"/>
  <c r="W254" i="1"/>
  <c r="J253" i="1" s="1"/>
  <c r="V257" i="1"/>
  <c r="I256" i="1" s="1"/>
  <c r="V256" i="1"/>
  <c r="I255" i="1" s="1"/>
  <c r="V255" i="1"/>
  <c r="I254" i="1" s="1"/>
  <c r="V254" i="1"/>
  <c r="I253" i="1" s="1"/>
  <c r="U253" i="1"/>
  <c r="H252" i="1" s="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X226" i="1"/>
  <c r="K225" i="1" s="1"/>
  <c r="V231" i="1"/>
  <c r="U224" i="1"/>
  <c r="H223" i="1" s="1"/>
  <c r="U227" i="1"/>
  <c r="H226" i="1" s="1"/>
  <c r="U226" i="1"/>
  <c r="H225" i="1" s="1"/>
  <c r="U225" i="1"/>
  <c r="H224" i="1" s="1"/>
  <c r="U243" i="1"/>
  <c r="I242" i="1" s="1"/>
  <c r="R245" i="1"/>
  <c r="F244" i="1" s="1"/>
  <c r="R274" i="1"/>
  <c r="E273" i="1" s="1"/>
  <c r="E272" i="1"/>
  <c r="G370" i="1"/>
  <c r="AD23" i="1"/>
  <c r="AC23" i="1" s="1"/>
  <c r="F18" i="1"/>
  <c r="E155" i="1"/>
  <c r="E174" i="1"/>
  <c r="E176" i="1"/>
  <c r="K10" i="1"/>
  <c r="F17" i="1"/>
  <c r="L41" i="1"/>
  <c r="F351" i="1"/>
  <c r="A75" i="4" l="1"/>
  <c r="D78" i="4" s="1"/>
  <c r="Q340" i="1"/>
  <c r="E343" i="1" s="1"/>
  <c r="P319" i="1"/>
  <c r="Q355" i="1"/>
  <c r="D364" i="1" s="1"/>
  <c r="J343" i="1"/>
  <c r="D75" i="4"/>
  <c r="E78" i="4" s="1"/>
  <c r="R358" i="1"/>
  <c r="E350" i="1"/>
  <c r="D68" i="4"/>
  <c r="I301" i="1"/>
  <c r="L65" i="4"/>
  <c r="I309" i="1"/>
  <c r="D67" i="4"/>
  <c r="I300" i="1"/>
  <c r="L63" i="4"/>
  <c r="I307" i="1"/>
  <c r="H67" i="4"/>
  <c r="I306" i="1"/>
  <c r="D63" i="4"/>
  <c r="I296" i="1"/>
  <c r="D66" i="4"/>
  <c r="I299" i="1"/>
  <c r="D65" i="4"/>
  <c r="I298" i="1"/>
  <c r="S358"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16" i="1"/>
  <c r="K386" i="1" s="1"/>
  <c r="X415" i="1"/>
  <c r="K385" i="1" s="1"/>
  <c r="D352" i="1"/>
  <c r="T245" i="1"/>
  <c r="H244" i="1" s="1"/>
  <c r="Y238" i="1"/>
  <c r="L237" i="1" s="1"/>
  <c r="P246" i="1"/>
  <c r="D245" i="1" s="1"/>
  <c r="U245" i="1"/>
  <c r="I244" i="1" s="1"/>
  <c r="H351" i="1"/>
  <c r="G351" i="1"/>
  <c r="F352" i="1"/>
  <c r="E71" i="4" l="1"/>
  <c r="C296" i="1"/>
  <c r="A63" i="4"/>
  <c r="D70" i="4" s="1"/>
  <c r="G75" i="4"/>
  <c r="F78" i="4" s="1"/>
  <c r="X268" i="1" s="1"/>
  <c r="E73" i="4"/>
  <c r="D73" i="4"/>
  <c r="D71" i="4"/>
  <c r="F73" i="4"/>
  <c r="E72" i="4"/>
  <c r="F72" i="4"/>
  <c r="D72" i="4"/>
  <c r="U358" i="1"/>
  <c r="G368" i="1" s="1"/>
  <c r="H350" i="1"/>
  <c r="H353" i="1" s="1"/>
  <c r="T358" i="1"/>
  <c r="G350" i="1"/>
  <c r="F260" i="1"/>
  <c r="F259" i="1"/>
  <c r="X244" i="1"/>
  <c r="K243" i="1" s="1"/>
  <c r="K242" i="1"/>
  <c r="E260" i="1"/>
  <c r="E259" i="1"/>
  <c r="D260" i="1"/>
  <c r="D259" i="1"/>
  <c r="F71" i="4"/>
  <c r="U272" i="1" s="1"/>
  <c r="H271" i="1" s="1"/>
  <c r="V244" i="1"/>
  <c r="J243" i="1" s="1"/>
  <c r="V243" i="1"/>
  <c r="J242" i="1" s="1"/>
  <c r="Y243" i="1"/>
  <c r="L242" i="1" s="1"/>
  <c r="G352" i="1"/>
  <c r="AD86" i="1"/>
  <c r="AD87" i="1"/>
  <c r="C84" i="4" l="1"/>
  <c r="A84" i="4"/>
  <c r="E84" i="4"/>
  <c r="F84" i="4"/>
  <c r="X270" i="1" s="1"/>
  <c r="B84" i="4"/>
  <c r="U270" i="1"/>
  <c r="H269" i="1" s="1"/>
  <c r="U269" i="1"/>
  <c r="H268" i="1" s="1"/>
  <c r="U271" i="1"/>
  <c r="H270" i="1" s="1"/>
  <c r="V245" i="1"/>
  <c r="B82" i="4"/>
  <c r="K267" i="1"/>
  <c r="Y244" i="1"/>
  <c r="L243" i="1" s="1"/>
  <c r="T361" i="1"/>
  <c r="F371" i="1" s="1"/>
  <c r="I366" i="1" s="1"/>
  <c r="F368" i="1"/>
  <c r="U273" i="1" l="1"/>
  <c r="H272" i="1" s="1"/>
  <c r="V246" i="1"/>
  <c r="J245" i="1" s="1"/>
  <c r="J244" i="1"/>
  <c r="K269" i="1"/>
  <c r="X269" i="1" l="1"/>
  <c r="D84" i="4" s="1"/>
  <c r="X271" i="1" s="1"/>
  <c r="L38" i="8" s="1"/>
  <c r="U274" i="1"/>
  <c r="H273" i="1" s="1"/>
  <c r="K268" i="1" l="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6"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9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<sst xmlns="http://schemas.openxmlformats.org/spreadsheetml/2006/main" count="1771" uniqueCount="601">
  <si>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</si>
  <si>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</si>
  <si>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</si>
  <si>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</si>
  <si>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</si>
  <si>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</si>
  <si>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</si>
  <si>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</si>
  <si>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</si>
  <si>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</si>
  <si>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</si>
  <si>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</si>
  <si>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</si>
  <si>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</si>
  <si>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</si>
  <si>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</si>
  <si>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</si>
  <si>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</si>
  <si>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</si>
  <si>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</si>
  <si>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</si>
  <si>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</si>
  <si>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</si>
  <si>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</si>
  <si>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</si>
  <si>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</si>
  <si>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</si>
  <si>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</si>
  <si>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</si>
  <si>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</si>
  <si>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</si>
  <si>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</si>
  <si>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</si>
  <si>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</si>
  <si>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</si>
  <si>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</si>
  <si>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</si>
  <si>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</si>
  <si>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</si>
  <si>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</si>
  <si>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</si>
  <si>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</si>
  <si>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</si>
  <si>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</si>
  <si>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</si>
  <si>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</si>
  <si>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</si>
  <si>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</si>
  <si>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</si>
  <si>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</si>
  <si>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</si>
  <si>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</si>
  <si>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</si>
  <si>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</si>
  <si>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</si>
  <si>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</si>
  <si>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</si>
  <si>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</si>
  <si>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</si>
  <si>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</si>
  <si>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</si>
  <si>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</si>
  <si>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</si>
  <si>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</si>
  <si>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</si>
  <si>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</si>
  <si>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</si>
  <si>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</si>
  <si>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</si>
  <si>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</si>
  <si>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</si>
  <si>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</si>
  <si>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</si>
  <si>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</si>
  <si>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</si>
  <si>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</si>
  <si>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</si>
  <si>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</si>
  <si>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</si>
  <si>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</si>
  <si>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</si>
  <si>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</si>
  <si>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</si>
  <si>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</si>
  <si>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</si>
  <si>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</si>
  <si>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</si>
  <si>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</si>
  <si>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</si>
  <si>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</si>
  <si>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</si>
  <si>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</si>
  <si>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</si>
  <si>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</si>
  <si>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</si>
  <si>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</si>
  <si>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</si>
  <si>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</si>
  <si>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</si>
  <si>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</si>
  <si>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</si>
  <si>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</si>
  <si>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</si>
  <si>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</si>
  <si>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</si>
  <si>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</si>
  <si>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</si>
  <si>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</si>
  <si>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</si>
  <si>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</si>
  <si>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</si>
  <si>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</si>
  <si>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</si>
  <si>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</si>
  <si>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</si>
  <si>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</si>
  <si>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</si>
  <si>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</si>
  <si>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</si>
  <si>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</si>
  <si>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</si>
  <si>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</si>
  <si>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</si>
  <si>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</si>
  <si>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</si>
  <si>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</si>
  <si>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</si>
  <si>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</si>
  <si>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</si>
  <si>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</si>
  <si>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</si>
  <si>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</si>
  <si>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</si>
  <si>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</si>
  <si>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</si>
  <si>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</si>
  <si>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</si>
  <si>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</si>
  <si>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</si>
  <si>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</si>
  <si>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</si>
  <si>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</si>
  <si>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</si>
  <si>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</si>
  <si>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</si>
  <si>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</si>
  <si>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</si>
  <si>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</si>
  <si>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</si>
  <si>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</si>
  <si>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</si>
  <si>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</si>
  <si>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</si>
  <si>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</si>
  <si>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</si>
  <si>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</si>
  <si>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</si>
  <si>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</si>
  <si>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</si>
  <si>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</si>
  <si>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</si>
  <si>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</si>
  <si>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</si>
  <si>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</si>
  <si>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</si>
  <si>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</si>
  <si>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</si>
  <si>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</si>
  <si>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</si>
  <si>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</si>
  <si>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</si>
  <si>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</si>
  <si>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</si>
  <si>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</si>
  <si>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</si>
  <si>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</si>
  <si>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</si>
  <si>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</si>
  <si>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</si>
  <si>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</si>
  <si>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</si>
  <si>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</si>
  <si>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</si>
  <si>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</si>
  <si>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</si>
  <si>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</si>
  <si>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</si>
  <si>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</si>
  <si>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</si>
  <si>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</si>
  <si>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</si>
  <si>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</si>
  <si>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</si>
  <si>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</si>
  <si>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</si>
  <si>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</si>
  <si>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</si>
  <si>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</si>
  <si>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</si>
  <si>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</si>
  <si>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</si>
  <si>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</si>
  <si>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</si>
  <si>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</si>
  <si>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</si>
  <si>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</si>
  <si>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</si>
  <si>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</si>
  <si>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</si>
  <si>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</si>
  <si>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</si>
  <si>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</si>
  <si>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</si>
  <si>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</si>
  <si>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</si>
  <si>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</si>
  <si>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</si>
  <si>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</si>
  <si>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</si>
  <si>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</si>
  <si>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</si>
  <si>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</si>
  <si>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</si>
  <si>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</si>
  <si>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</si>
  <si>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</si>
  <si>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</si>
  <si>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</si>
  <si>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</si>
  <si>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</si>
  <si>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</si>
  <si>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</si>
  <si>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</si>
  <si>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</si>
  <si>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</si>
  <si>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</si>
  <si>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</si>
  <si>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</si>
  <si>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</si>
  <si>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</si>
  <si>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</si>
  <si>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</si>
  <si>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</si>
  <si>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</si>
  <si>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</si>
  <si>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</si>
  <si>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</si>
  <si>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</si>
  <si>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</si>
  <si>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</si>
  <si>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</si>
  <si>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</si>
  <si>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</si>
  <si>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</si>
  <si>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</si>
  <si>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</si>
  <si>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</si>
  <si>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</si>
  <si>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</si>
  <si>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</si>
  <si>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</si>
  <si>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</si>
  <si>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</si>
  <si>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</si>
  <si>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</si>
  <si>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</si>
  <si>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</si>
  <si>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</si>
  <si>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</si>
  <si>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</si>
  <si>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</si>
  <si>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</si>
  <si>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</si>
  <si>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</si>
  <si>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</si>
  <si>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</si>
  <si>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</si>
  <si>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</si>
  <si>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</si>
  <si>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</si>
  <si>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</si>
  <si>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</si>
  <si>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</si>
  <si>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</si>
  <si>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</si>
  <si>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</si>
  <si>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</si>
  <si>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</si>
  <si>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</si>
  <si>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</si>
  <si>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</si>
  <si>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</si>
  <si>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</si>
  <si>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</si>
  <si>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</si>
  <si>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</si>
  <si>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</si>
  <si>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Mean Glandular Dose</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</si>
  <si>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</si>
  <si>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</si>
  <si>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</si>
  <si>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</si>
  <si>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</si>
  <si>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</si>
  <si>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</si>
  <si>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</si>
  <si>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</si>
  <si>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</si>
  <si>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</si>
  <si>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</si>
  <si>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</si>
  <si>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</si>
  <si>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</si>
  <si>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</si>
  <si>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</si>
  <si>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</si>
  <si>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</si>
  <si>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</si>
  <si>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</si>
  <si>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</si>
  <si>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</si>
  <si>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</si>
  <si>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</si>
  <si>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</si>
  <si>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</si>
  <si>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</si>
  <si>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</si>
  <si>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</si>
  <si>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</si>
  <si>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</si>
  <si>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</si>
  <si>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</si>
  <si>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</si>
  <si>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</si>
  <si>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</si>
  <si>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</si>
  <si>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</si>
  <si>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</si>
  <si>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</si>
  <si>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</si>
  <si>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</si>
  <si>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</si>
  <si>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</si>
  <si>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</si>
  <si>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</si>
  <si>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</si>
  <si>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</si>
  <si>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</si>
  <si>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</si>
  <si>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</si>
  <si>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</si>
  <si>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</si>
  <si>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</si>
  <si>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</si>
  <si>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</si>
  <si>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</si>
  <si>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</si>
  <si>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</si>
  <si>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</si>
  <si>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</si>
  <si>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Min</t>
  </si>
  <si>
    <t>Max</t>
  </si>
  <si>
    <t>HVL is between the minimum and maximum limits</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</si>
  <si>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</si>
  <si>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</si>
  <si>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</si>
  <si>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</si>
  <si>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</si>
  <si>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</si>
  <si>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</si>
  <si>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</si>
  <si>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</si>
  <si>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</si>
  <si>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</si>
  <si>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</si>
  <si>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</si>
  <si>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</si>
  <si>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</si>
  <si>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</si>
  <si>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</si>
  <si>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</si>
  <si>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</si>
  <si>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</si>
  <si>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</si>
  <si>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</si>
  <si>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</si>
  <si>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</si>
  <si>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</si>
  <si>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</si>
  <si>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</si>
  <si>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</si>
  <si>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</si>
  <si>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</si>
  <si>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</si>
  <si>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</si>
  <si>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</si>
  <si>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</si>
  <si>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</si>
  <si>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</si>
  <si>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</si>
  <si>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</si>
  <si>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</si>
  <si>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</si>
  <si>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</si>
  <si>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</si>
  <si>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</si>
  <si>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</si>
  <si>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</si>
  <si>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</si>
  <si>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</si>
  <si>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</si>
  <si>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</si>
  <si>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</si>
  <si>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</si>
  <si>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</si>
  <si>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</si>
  <si>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</si>
  <si>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</si>
  <si>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</si>
  <si>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</si>
  <si>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</si>
  <si>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</si>
  <si>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</si>
  <si>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</si>
  <si>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</si>
  <si>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</si>
  <si>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</si>
  <si>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</si>
  <si>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</si>
  <si>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</si>
  <si>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</si>
  <si>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</si>
  <si>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</si>
  <si>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</si>
  <si>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</si>
  <si>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</si>
  <si>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</si>
  <si>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</si>
  <si>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</si>
  <si>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</si>
  <si>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</si>
  <si>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</si>
  <si>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</si>
  <si>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</si>
  <si>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</si>
  <si>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</si>
  <si>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</si>
  <si>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</si>
  <si>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</si>
  <si>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</si>
  <si>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</si>
  <si>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</si>
  <si>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</si>
  <si>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</si>
  <si>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</si>
  <si>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</si>
  <si>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</si>
  <si>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</si>
  <si>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</si>
  <si>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</si>
  <si>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</si>
  <si>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</si>
  <si>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</si>
  <si>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</si>
  <si>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</si>
  <si>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</si>
  <si>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</si>
  <si>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</si>
  <si>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</si>
  <si>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</si>
  <si>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</si>
  <si>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</si>
  <si>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</si>
  <si>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</si>
  <si>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</si>
  <si>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</si>
  <si>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</si>
  <si>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</si>
  <si>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</si>
  <si>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</si>
  <si>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</si>
  <si>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</si>
  <si>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</si>
  <si>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</si>
  <si>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</si>
  <si>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</si>
  <si>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</si>
  <si>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</si>
  <si>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</si>
  <si>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</si>
  <si>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</si>
  <si>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</si>
  <si>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</si>
  <si>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</si>
  <si>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</si>
  <si>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</si>
  <si>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</si>
  <si>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</si>
  <si>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</si>
  <si>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</si>
  <si>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</si>
  <si>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</si>
  <si>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</si>
  <si>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</si>
  <si>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</si>
  <si>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</si>
  <si>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</si>
  <si>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</si>
  <si>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</si>
  <si>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</si>
  <si>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</si>
  <si>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</si>
  <si>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</si>
  <si>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</si>
  <si>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</si>
  <si>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</si>
  <si>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</si>
  <si>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</si>
  <si>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</si>
  <si>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</si>
  <si>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</si>
  <si>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</si>
  <si>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</si>
  <si>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</si>
  <si>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</si>
  <si>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</si>
  <si>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</si>
  <si>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</si>
  <si>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</si>
  <si>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</si>
  <si>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</si>
  <si>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</si>
  <si>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</si>
  <si>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</si>
  <si>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</si>
  <si>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</si>
  <si>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</si>
  <si>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</si>
  <si>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</si>
  <si>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</si>
  <si>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</si>
  <si>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</si>
  <si>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</si>
  <si>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</si>
  <si>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</si>
  <si>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</si>
  <si>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</si>
  <si>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</si>
  <si>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</si>
  <si>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</si>
  <si>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</si>
  <si>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</si>
  <si>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</si>
  <si>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</si>
  <si>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</si>
  <si>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</si>
  <si>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</si>
  <si>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</si>
  <si>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</si>
  <si>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</si>
  <si>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</si>
  <si>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</si>
  <si>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</si>
  <si>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</si>
  <si>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</si>
  <si>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</si>
  <si>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</si>
  <si>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</si>
  <si>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</si>
  <si>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</si>
  <si>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</si>
  <si>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</si>
  <si>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</si>
  <si>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</si>
  <si>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</si>
  <si>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</si>
  <si>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</si>
  <si>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</si>
  <si>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</si>
  <si>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</si>
  <si>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</si>
  <si>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</si>
  <si>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</si>
  <si>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</si>
  <si>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</si>
  <si>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</si>
  <si>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</si>
  <si>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</si>
  <si>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</si>
  <si>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Mean Glandular Dose - 3D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</si>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</sst>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3">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FFFFC0"/>
        <bgColor rgb="FFFFFFC0"/>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s>
  <borders count="155">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6" borderId="73">
      <alignment horizontal="left" vertical="center"/>
      <protection locked="0"/>
    </xf>
    <xf numFmtId="0" fontId="23" fillId="0" borderId="0"/>
    <xf numFmtId="0" fontId="28" fillId="0" borderId="0">
      <alignment vertical="top"/>
    </xf>
  </cellStyleXfs>
  <cellXfs count="814">
    <xf numFmtId="0" fontId="0" fillId="0" borderId="0" xfId="0">
      <alignment vertical="top"/>
    </xf>
    <xf numFmtId="0" fontId="7" fillId="8" borderId="20" xfId="0" applyFont="1" applyFill="1" applyBorder="1" applyAlignment="1">
      <alignment horizontal="center"/>
    </xf>
    <xf numFmtId="164" fontId="7" fillId="11" borderId="47" xfId="0" applyNumberFormat="1" applyFont="1" applyFill="1" applyBorder="1" applyAlignment="1" applyProtection="1">
      <alignment horizontal="center" vertical="center"/>
      <protection locked="0"/>
    </xf>
    <xf numFmtId="164" fontId="7" fillId="11" borderId="11" xfId="0" applyNumberFormat="1" applyFont="1" applyFill="1" applyBorder="1" applyAlignment="1" applyProtection="1">
      <alignment horizontal="center" vertical="center"/>
      <protection locked="0"/>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3" borderId="0" xfId="0" applyFill="1" applyProtection="1">
      <alignment vertical="top"/>
      <protection locked="0"/>
    </xf>
    <xf numFmtId="2" fontId="0" fillId="14" borderId="0" xfId="0" applyNumberFormat="1" applyFill="1" applyProtection="1">
      <alignment vertical="top"/>
      <protection hidden="1"/>
    </xf>
    <xf numFmtId="0" fontId="15" fillId="0" borderId="0" xfId="0" applyFont="1" applyBorder="1" applyAlignment="1">
      <alignment horizontal="left" vertical="center"/>
    </xf>
    <xf numFmtId="0" fontId="7" fillId="0" borderId="0" xfId="0" applyFont="1" applyAlignment="1">
      <alignment horizontal="center"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12" fillId="0" borderId="0" xfId="0" applyFont="1" applyAlignment="1">
      <alignment horizontal="center"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67" fontId="9" fillId="8" borderId="53"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7" fontId="9" fillId="8" borderId="38" xfId="0" applyNumberFormat="1" applyFont="1" applyFill="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167" fontId="9" fillId="8" borderId="31"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8" fillId="0" borderId="0" xfId="0" applyFont="1" applyAlignment="1">
      <alignment horizontal="right"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2" borderId="72" xfId="0" applyFont="1" applyFill="1" applyBorder="1" applyAlignment="1" applyProtection="1">
      <alignment horizontal="center" vertical="center"/>
      <protection locked="0"/>
    </xf>
    <xf numFmtId="0" fontId="7" fillId="12" borderId="11" xfId="0" applyFont="1" applyFill="1" applyBorder="1" applyAlignment="1" applyProtection="1">
      <alignment horizontal="center" vertical="center"/>
      <protection locked="0"/>
    </xf>
    <xf numFmtId="0" fontId="7" fillId="12"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2" borderId="12" xfId="0" applyFont="1" applyFill="1" applyBorder="1" applyAlignment="1" applyProtection="1">
      <alignment horizontal="center" vertical="center"/>
      <protection locked="0"/>
    </xf>
    <xf numFmtId="0" fontId="7" fillId="12" borderId="47" xfId="0" applyFont="1" applyFill="1" applyBorder="1" applyAlignment="1" applyProtection="1">
      <alignment horizontal="center" vertical="center"/>
      <protection locked="0"/>
    </xf>
    <xf numFmtId="0" fontId="7" fillId="12"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1" xfId="0" applyFont="1" applyBorder="1" applyAlignment="1">
      <alignment horizontal="right"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3" xfId="9" applyNumberFormat="1"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5" borderId="128" xfId="9" applyNumberFormat="1" applyFont="1" applyFill="1" applyBorder="1" applyAlignment="1">
      <alignment horizontal="center" vertical="center"/>
    </xf>
    <xf numFmtId="10" fontId="7" fillId="15"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5"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8"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8"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8" borderId="0" xfId="12" applyFont="1" applyFill="1" applyBorder="1" applyAlignment="1">
      <alignment horizontal="left" wrapText="1"/>
    </xf>
    <xf numFmtId="0" fontId="43" fillId="18" borderId="0" xfId="12" applyFont="1" applyFill="1" applyBorder="1" applyAlignment="1">
      <alignment horizontal="left"/>
    </xf>
    <xf numFmtId="0" fontId="44" fillId="18" borderId="0" xfId="12" applyFont="1" applyFill="1" applyBorder="1" applyAlignment="1">
      <alignment horizontal="center" wrapText="1"/>
    </xf>
    <xf numFmtId="2" fontId="45" fillId="19" borderId="0" xfId="12" applyNumberFormat="1" applyFont="1" applyFill="1" applyAlignment="1"/>
    <xf numFmtId="0" fontId="44" fillId="18" borderId="0" xfId="12" applyFont="1" applyFill="1" applyBorder="1" applyAlignment="1"/>
    <xf numFmtId="0" fontId="43" fillId="18"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56" xfId="0" applyFont="1" applyFill="1" applyBorder="1" applyAlignment="1">
      <alignment horizontal="center" vertical="center"/>
    </xf>
    <xf numFmtId="0" fontId="7" fillId="20" borderId="42" xfId="0" applyFont="1" applyFill="1" applyBorder="1" applyAlignment="1">
      <alignment horizontal="center" vertical="center"/>
    </xf>
    <xf numFmtId="164" fontId="7" fillId="20" borderId="42" xfId="0" applyNumberFormat="1" applyFont="1" applyFill="1" applyBorder="1" applyAlignment="1">
      <alignment horizontal="center" vertical="center"/>
    </xf>
    <xf numFmtId="2" fontId="7" fillId="20"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2" fontId="7" fillId="21" borderId="38"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2" borderId="54" xfId="0" applyFont="1" applyFill="1" applyBorder="1" applyAlignment="1">
      <alignment horizontal="center" vertical="center"/>
    </xf>
    <xf numFmtId="0" fontId="7" fillId="22" borderId="11" xfId="0" applyFont="1" applyFill="1" applyBorder="1" applyAlignment="1">
      <alignment horizontal="center" vertical="center"/>
    </xf>
    <xf numFmtId="164" fontId="7" fillId="22" borderId="11" xfId="0" applyNumberFormat="1" applyFont="1" applyFill="1" applyBorder="1" applyAlignment="1">
      <alignment horizontal="center" vertical="center"/>
    </xf>
    <xf numFmtId="0" fontId="7" fillId="22" borderId="38" xfId="0" applyFont="1" applyFill="1" applyBorder="1" applyAlignment="1">
      <alignment horizontal="center" vertical="center"/>
    </xf>
    <xf numFmtId="0" fontId="7" fillId="22" borderId="56" xfId="0" applyFont="1" applyFill="1" applyBorder="1" applyAlignment="1">
      <alignment horizontal="center" vertical="center"/>
    </xf>
    <xf numFmtId="0" fontId="7" fillId="22" borderId="42" xfId="0" applyFont="1" applyFill="1" applyBorder="1" applyAlignment="1">
      <alignment horizontal="center" vertical="center"/>
    </xf>
    <xf numFmtId="164" fontId="7" fillId="22" borderId="42" xfId="0" applyNumberFormat="1" applyFont="1" applyFill="1" applyBorder="1" applyAlignment="1">
      <alignment horizontal="center" vertical="center"/>
    </xf>
    <xf numFmtId="0" fontId="7" fillId="22" borderId="43" xfId="0" applyFont="1" applyFill="1" applyBorder="1" applyAlignment="1">
      <alignment horizontal="center" vertical="center"/>
    </xf>
    <xf numFmtId="0" fontId="0" fillId="0" borderId="73" xfId="0" applyBorder="1">
      <alignment vertical="top"/>
    </xf>
    <xf numFmtId="0" fontId="0" fillId="0" borderId="82" xfId="0" applyBorder="1">
      <alignment vertical="top"/>
    </xf>
    <xf numFmtId="0" fontId="0" fillId="0" borderId="80" xfId="0" applyBorder="1">
      <alignment vertical="top"/>
    </xf>
    <xf numFmtId="0" fontId="7" fillId="0" borderId="0" xfId="0" applyFont="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7"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95" xfId="0" applyFont="1" applyBorder="1" applyAlignment="1">
      <alignment horizontal="center" vertical="top"/>
    </xf>
    <xf numFmtId="0" fontId="7" fillId="0" borderId="84" xfId="0" applyFont="1" applyBorder="1" applyAlignment="1">
      <alignment horizontal="center" vertical="top"/>
    </xf>
    <xf numFmtId="0" fontId="7" fillId="0" borderId="73" xfId="0" applyFont="1" applyFill="1" applyBorder="1" applyAlignment="1" applyProtection="1">
      <alignment horizontal="center" vertical="center"/>
      <protection locked="0"/>
    </xf>
    <xf numFmtId="0" fontId="7" fillId="0" borderId="85" xfId="0" applyFont="1" applyFill="1" applyBorder="1" applyAlignment="1" applyProtection="1">
      <alignment horizontal="center" vertical="center"/>
      <protection locked="0"/>
    </xf>
    <xf numFmtId="0" fontId="7" fillId="0" borderId="73" xfId="0" applyFont="1" applyBorder="1" applyAlignment="1">
      <alignment horizontal="center" vertical="top"/>
    </xf>
    <xf numFmtId="167" fontId="7" fillId="0" borderId="73" xfId="0" applyNumberFormat="1" applyFont="1" applyFill="1" applyBorder="1" applyAlignment="1">
      <alignment horizontal="center" vertical="center"/>
    </xf>
    <xf numFmtId="167" fontId="7" fillId="0" borderId="85" xfId="0" applyNumberFormat="1" applyFont="1" applyFill="1" applyBorder="1" applyAlignment="1">
      <alignment horizontal="center" vertical="center"/>
    </xf>
    <xf numFmtId="167" fontId="7" fillId="0" borderId="73" xfId="0" applyNumberFormat="1" applyFont="1" applyFill="1" applyBorder="1" applyAlignment="1" applyProtection="1">
      <alignment horizontal="center" vertical="center"/>
      <protection locked="0"/>
    </xf>
    <xf numFmtId="167" fontId="7" fillId="0" borderId="85" xfId="0" applyNumberFormat="1" applyFont="1" applyFill="1" applyBorder="1" applyAlignment="1" applyProtection="1">
      <alignment horizontal="center" vertical="center"/>
      <protection locked="0"/>
    </xf>
    <xf numFmtId="0" fontId="7" fillId="0" borderId="85"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87" xfId="0" applyFont="1" applyBorder="1" applyAlignment="1">
      <alignment vertical="center"/>
    </xf>
    <xf numFmtId="0" fontId="7" fillId="0" borderId="88" xfId="0" applyFont="1" applyBorder="1" applyAlignment="1">
      <alignment vertical="center"/>
    </xf>
    <xf numFmtId="0" fontId="7" fillId="0" borderId="94" xfId="0" applyFont="1" applyBorder="1" applyAlignment="1">
      <alignment vertical="center"/>
    </xf>
    <xf numFmtId="0" fontId="7" fillId="0" borderId="84" xfId="0" applyFont="1" applyBorder="1" applyAlignment="1" applyProtection="1">
      <alignment horizontal="center" vertical="center"/>
      <protection locked="0"/>
    </xf>
    <xf numFmtId="0" fontId="7" fillId="0" borderId="86" xfId="0" applyFont="1" applyBorder="1" applyAlignment="1">
      <alignment vertic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8" borderId="81" xfId="11" applyFont="1" applyFill="1" applyBorder="1" applyAlignment="1">
      <alignment horizontal="center"/>
    </xf>
    <xf numFmtId="0" fontId="33" fillId="18" borderId="92" xfId="11" applyFont="1" applyFill="1" applyBorder="1" applyAlignment="1">
      <alignment horizontal="center"/>
    </xf>
    <xf numFmtId="0" fontId="33" fillId="18"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38" fillId="0" borderId="0" xfId="11" applyFont="1" applyAlignment="1">
      <alignment horizontal="center"/>
    </xf>
    <xf numFmtId="0" fontId="23" fillId="18" borderId="81" xfId="11" applyFont="1" applyFill="1" applyBorder="1" applyAlignment="1">
      <alignment horizontal="center"/>
    </xf>
    <xf numFmtId="0" fontId="23" fillId="18" borderId="92" xfId="11" applyFont="1" applyFill="1" applyBorder="1" applyAlignment="1">
      <alignment horizontal="center"/>
    </xf>
    <xf numFmtId="0" fontId="23" fillId="18"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8" borderId="81" xfId="11" applyNumberFormat="1" applyFont="1" applyFill="1" applyBorder="1" applyAlignment="1">
      <alignment horizontal="center"/>
    </xf>
    <xf numFmtId="175" fontId="23" fillId="18" borderId="92" xfId="11" applyNumberFormat="1" applyFont="1" applyFill="1" applyBorder="1" applyAlignment="1">
      <alignment horizontal="center"/>
    </xf>
    <xf numFmtId="175" fontId="23" fillId="18"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8" borderId="81" xfId="11" applyNumberFormat="1" applyFont="1" applyFill="1" applyBorder="1" applyAlignment="1">
      <alignment horizontal="center"/>
    </xf>
    <xf numFmtId="173" fontId="23" fillId="18" borderId="92" xfId="11" applyNumberFormat="1" applyFont="1" applyFill="1" applyBorder="1" applyAlignment="1">
      <alignment horizontal="center"/>
    </xf>
    <xf numFmtId="173" fontId="23" fillId="18" borderId="142" xfId="11" applyNumberFormat="1" applyFont="1" applyFill="1" applyBorder="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8"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9" borderId="81" xfId="11" applyNumberFormat="1" applyFont="1" applyFill="1" applyBorder="1" applyAlignment="1">
      <alignment horizontal="center"/>
    </xf>
    <xf numFmtId="0" fontId="26" fillId="19" borderId="142" xfId="11" applyNumberFormat="1" applyFont="1" applyFill="1" applyBorder="1" applyAlignment="1">
      <alignment horizontal="center"/>
    </xf>
    <xf numFmtId="0" fontId="31" fillId="0" borderId="0" xfId="11" applyFont="1" applyAlignment="1">
      <alignment horizont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4" xfId="0" applyFont="1" applyFill="1" applyBorder="1" applyAlignment="1">
      <alignment horizontal="center" vertical="center"/>
    </xf>
    <xf numFmtId="0" fontId="7" fillId="0" borderId="22" xfId="0" applyFont="1" applyFill="1" applyBorder="1" applyAlignment="1">
      <alignment horizontal="center" vertical="center"/>
    </xf>
    <xf numFmtId="166" fontId="7" fillId="0" borderId="20" xfId="0" applyNumberFormat="1" applyFont="1" applyFill="1" applyBorder="1" applyAlignment="1">
      <alignment horizontal="center" vertical="center"/>
    </xf>
    <xf numFmtId="0" fontId="7" fillId="0" borderId="20" xfId="0" applyNumberFormat="1" applyFont="1" applyFill="1" applyBorder="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41"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xf numFmtId="0" fontId="7" fillId="0" borderId="114" xfId="0" applyFont="1" applyBorder="1" applyAlignment="1">
      <alignment vertical="center"/>
    </xf>
    <xf numFmtId="0" fontId="7" fillId="0" borderId="123" xfId="0" applyFont="1" applyBorder="1" applyAlignment="1">
      <alignment vertical="center"/>
    </xf>
    <xf numFmtId="0" fontId="7" fillId="0" borderId="97" xfId="0" applyFont="1" applyBorder="1" applyAlignment="1">
      <alignment vertical="center"/>
    </xf>
    <xf numFmtId="0" fontId="7" fillId="0" borderId="114" xfId="0" applyFont="1" applyFill="1" applyBorder="1" applyAlignment="1">
      <alignment vertical="center"/>
    </xf>
    <xf numFmtId="0" fontId="7" fillId="0" borderId="123" xfId="0" applyFont="1" applyFill="1" applyBorder="1" applyAlignment="1">
      <alignment vertical="center"/>
    </xf>
    <xf numFmtId="0" fontId="7" fillId="0" borderId="97" xfId="0" applyFont="1" applyFill="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Mo/Mo</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Mo/Rh</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Sheet1!$D$302:$D$306</c:f>
              <c:numCache>
                <c:formatCode>General</c:formatCode>
                <c:ptCount val="5"/>
                <c:pt idx="0">
                  <c:v>28</c:v>
                </c:pt>
                <c:pt idx="1">
                  <c:v>30</c:v>
                </c:pt>
                <c:pt idx="2">
                  <c:v>32</c:v>
                </c:pt>
                <c:pt idx="3">
                  <c:v>34</c:v>
                </c:pt>
                <c:pt idx="4">
                  <c:v>36</c:v>
                </c:pt>
              </c:numCache>
            </c:numRef>
          </c:xVal>
          <c:yVal>
            <c:numRef>
              <c:f>Sheet1!$I$302:$I$306</c:f>
              <c:numCache>
                <c:formatCode>0.000</c:formatCode>
                <c:ptCount val="5"/>
                <c:pt idx="0">
                  <c:v>0</c:v>
                </c:pt>
                <c:pt idx="1">
                  <c:v>0</c:v>
                </c:pt>
                <c:pt idx="2">
                  <c:v>0</c:v>
                </c:pt>
                <c:pt idx="3">
                  <c:v>0</c:v>
                </c:pt>
                <c:pt idx="4">
                  <c:v>0</c:v>
                </c:pt>
              </c:numCache>
            </c:numRef>
          </c:yVal>
          <c:smooth val="1"/>
        </c:ser>
        <c:ser>
          <c:idx val="2"/>
          <c:order val="2"/>
          <c:tx>
            <c:strRef>
              <c:f>Sheet1!$C$307</c:f>
              <c:strCache>
                <c:ptCount val="1"/>
                <c:pt idx="0">
                  <c:v>W/Rh</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Sheet1!$D$307:$D$311</c:f>
              <c:numCache>
                <c:formatCode>General</c:formatCode>
                <c:ptCount val="5"/>
                <c:pt idx="0">
                  <c:v>28</c:v>
                </c:pt>
                <c:pt idx="1">
                  <c:v>30</c:v>
                </c:pt>
                <c:pt idx="2">
                  <c:v>32</c:v>
                </c:pt>
                <c:pt idx="3">
                  <c:v>34</c:v>
                </c:pt>
                <c:pt idx="4">
                  <c:v>38</c:v>
                </c:pt>
              </c:numCache>
            </c:numRef>
          </c:xVal>
          <c:yVal>
            <c:numRef>
              <c:f>Sheet1!$I$307:$I$311</c:f>
              <c:numCache>
                <c:formatCode>0.000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186276160"/>
        <c:axId val="186605000"/>
      </c:scatterChart>
      <c:valAx>
        <c:axId val="186276160"/>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05000"/>
        <c:crosses val="autoZero"/>
        <c:crossBetween val="midCat"/>
      </c:valAx>
      <c:valAx>
        <c:axId val="186605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276160"/>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5"/>
  <sheetViews>
    <sheetView workbookViewId="0">
      <selection sqref="A1:N1"/>
    </sheetView>
  </sheetViews>
  <sheetFormatPr defaultRowHeight="12.75"/>
  <cols>
    <col min="1" max="1" width="5" style="514" customWidth="1"/>
    <col min="2" max="2" width="5.375" style="514" customWidth="1"/>
    <col min="3" max="3" width="5.875" style="514" customWidth="1"/>
    <col min="4" max="4" width="7.375" style="514" customWidth="1"/>
    <col min="5" max="5" width="5.875" style="514" customWidth="1"/>
    <col min="6" max="7" width="7.375" style="514" customWidth="1"/>
    <col min="8" max="10" width="7.625" style="514" customWidth="1"/>
    <col min="11" max="12" width="8.375" style="514" customWidth="1"/>
    <col min="13" max="13" width="6.625" style="514" customWidth="1"/>
    <col min="14" max="14" width="15.125" style="514" customWidth="1"/>
    <col min="15" max="16384" width="9" style="514"/>
  </cols>
  <sheetData>
    <row r="1" spans="1:14" ht="26.25">
      <c r="A1" s="740" t="s">
        <v>380</v>
      </c>
      <c r="B1" s="740"/>
      <c r="C1" s="740"/>
      <c r="D1" s="740"/>
      <c r="E1" s="740"/>
      <c r="F1" s="740"/>
      <c r="G1" s="740"/>
      <c r="H1" s="740"/>
      <c r="I1" s="740"/>
      <c r="J1" s="740"/>
      <c r="K1" s="740"/>
      <c r="L1" s="740"/>
      <c r="M1" s="740"/>
      <c r="N1" s="740"/>
    </row>
    <row r="2" spans="1:14" ht="26.25">
      <c r="A2" s="740" t="s">
        <v>381</v>
      </c>
      <c r="B2" s="740"/>
      <c r="C2" s="740"/>
      <c r="D2" s="740"/>
      <c r="E2" s="740"/>
      <c r="F2" s="740"/>
      <c r="G2" s="740"/>
      <c r="H2" s="740"/>
      <c r="I2" s="740"/>
      <c r="J2" s="740"/>
      <c r="K2" s="740"/>
      <c r="L2" s="740"/>
      <c r="M2" s="740"/>
      <c r="N2" s="740"/>
    </row>
    <row r="3" spans="1:14" ht="16.5" customHeight="1">
      <c r="A3" s="552"/>
      <c r="B3" s="552"/>
      <c r="C3" s="552"/>
      <c r="D3" s="552"/>
      <c r="E3" s="552"/>
      <c r="F3" s="552"/>
      <c r="G3" s="552"/>
      <c r="H3" s="552"/>
      <c r="I3" s="552"/>
      <c r="J3" s="552"/>
      <c r="K3" s="552"/>
      <c r="L3" s="552"/>
      <c r="M3" s="552"/>
      <c r="N3" s="552"/>
    </row>
    <row r="4" spans="1:14" ht="16.5" customHeight="1">
      <c r="A4" s="531" t="s">
        <v>382</v>
      </c>
      <c r="B4" s="531"/>
      <c r="C4" s="741" t="str">
        <f>Sheet1!R10</f>
        <v/>
      </c>
      <c r="D4" s="742"/>
      <c r="E4" s="742"/>
      <c r="F4" s="742"/>
      <c r="G4" s="742"/>
      <c r="H4" s="743"/>
      <c r="J4" s="550"/>
      <c r="K4" s="549" t="s">
        <v>383</v>
      </c>
      <c r="L4" s="747"/>
      <c r="M4" s="748"/>
      <c r="N4" s="749"/>
    </row>
    <row r="5" spans="1:14" ht="16.5" customHeight="1">
      <c r="A5" s="531" t="s">
        <v>384</v>
      </c>
      <c r="B5" s="531"/>
      <c r="C5" s="741"/>
      <c r="D5" s="742"/>
      <c r="E5" s="742"/>
      <c r="F5" s="742"/>
      <c r="G5" s="742"/>
      <c r="H5" s="743"/>
      <c r="J5" s="550"/>
      <c r="K5" s="549" t="s">
        <v>385</v>
      </c>
      <c r="L5" s="747">
        <f>Sheet1!P7</f>
        <v>0</v>
      </c>
      <c r="M5" s="748"/>
      <c r="N5" s="749"/>
    </row>
    <row r="6" spans="1:14" ht="16.5" customHeight="1">
      <c r="A6" s="531" t="s">
        <v>386</v>
      </c>
      <c r="B6" s="531"/>
      <c r="C6" s="531"/>
      <c r="D6" s="531"/>
      <c r="E6" s="725" t="s">
        <v>13</v>
      </c>
      <c r="F6" s="725"/>
      <c r="G6" s="725"/>
      <c r="H6" s="725"/>
      <c r="J6" s="550"/>
      <c r="K6" s="549" t="s">
        <v>387</v>
      </c>
      <c r="L6" s="741"/>
      <c r="M6" s="742"/>
      <c r="N6" s="743"/>
    </row>
    <row r="7" spans="1:14" ht="16.5" customHeight="1">
      <c r="A7" s="531" t="s">
        <v>388</v>
      </c>
      <c r="B7" s="531"/>
      <c r="C7" s="531"/>
      <c r="D7" s="531"/>
      <c r="E7" s="726" t="s">
        <v>389</v>
      </c>
      <c r="F7" s="727"/>
      <c r="G7" s="727"/>
      <c r="H7" s="728"/>
      <c r="J7" s="550"/>
      <c r="K7" s="549" t="s">
        <v>390</v>
      </c>
      <c r="L7" s="741" t="str">
        <f>Sheet1!R18</f>
        <v/>
      </c>
      <c r="M7" s="742"/>
      <c r="N7" s="743"/>
    </row>
    <row r="8" spans="1:14" ht="16.5" customHeight="1">
      <c r="A8" s="531" t="s">
        <v>391</v>
      </c>
      <c r="B8" s="531"/>
      <c r="C8" s="531"/>
      <c r="D8" s="531"/>
      <c r="E8" s="753" t="str">
        <f>Sheet1!V12</f>
        <v/>
      </c>
      <c r="F8" s="754"/>
      <c r="G8" s="754"/>
      <c r="H8" s="755"/>
      <c r="J8" s="550"/>
      <c r="K8" s="549" t="s">
        <v>392</v>
      </c>
      <c r="L8" s="741" t="str">
        <f>Sheet1!R14</f>
        <v/>
      </c>
      <c r="M8" s="742"/>
      <c r="N8" s="743"/>
    </row>
    <row r="9" spans="1:14" ht="11.25" customHeight="1">
      <c r="A9" s="531"/>
      <c r="B9" s="531"/>
      <c r="C9" s="531"/>
      <c r="D9" s="531"/>
      <c r="E9" s="551"/>
      <c r="F9" s="548"/>
      <c r="G9" s="548"/>
      <c r="H9" s="548"/>
      <c r="J9" s="550"/>
      <c r="K9" s="549"/>
      <c r="L9" s="548"/>
      <c r="M9" s="548"/>
      <c r="N9" s="548"/>
    </row>
    <row r="10" spans="1:14" ht="16.5" customHeight="1">
      <c r="A10" s="543" t="s">
        <v>575</v>
      </c>
      <c r="E10" s="750"/>
      <c r="F10" s="751"/>
      <c r="G10" s="751"/>
      <c r="H10" s="752"/>
      <c r="I10" s="547" t="s">
        <v>574</v>
      </c>
    </row>
    <row r="11" spans="1:14" ht="11.25" customHeight="1">
      <c r="C11" s="531"/>
      <c r="D11" s="531"/>
      <c r="E11" s="531"/>
      <c r="F11" s="531"/>
      <c r="G11" s="531"/>
      <c r="H11" s="546"/>
      <c r="I11" s="546"/>
      <c r="K11" s="545"/>
      <c r="L11" s="545"/>
      <c r="M11" s="545"/>
      <c r="N11" s="545"/>
    </row>
    <row r="12" spans="1:14" ht="16.5" customHeight="1" thickBot="1">
      <c r="A12" s="531" t="s">
        <v>394</v>
      </c>
      <c r="B12" s="531"/>
      <c r="C12" s="531"/>
      <c r="D12" s="531"/>
      <c r="E12" s="744" t="s">
        <v>395</v>
      </c>
      <c r="F12" s="746"/>
      <c r="G12" s="744" t="s">
        <v>390</v>
      </c>
      <c r="H12" s="746"/>
      <c r="I12" s="744" t="s">
        <v>17</v>
      </c>
      <c r="J12" s="746"/>
      <c r="K12" s="744" t="s">
        <v>393</v>
      </c>
      <c r="L12" s="745"/>
      <c r="M12" s="745"/>
      <c r="N12" s="746"/>
    </row>
    <row r="13" spans="1:14" ht="16.5" customHeight="1" thickTop="1">
      <c r="A13" s="531"/>
      <c r="B13" s="531"/>
      <c r="C13" s="531"/>
      <c r="D13" s="537" t="s">
        <v>396</v>
      </c>
      <c r="E13" s="722"/>
      <c r="F13" s="724"/>
      <c r="G13" s="722"/>
      <c r="H13" s="724"/>
      <c r="I13" s="738"/>
      <c r="J13" s="739"/>
      <c r="K13" s="722"/>
      <c r="L13" s="723"/>
      <c r="M13" s="723"/>
      <c r="N13" s="724"/>
    </row>
    <row r="14" spans="1:14" ht="16.5" customHeight="1">
      <c r="D14" s="537" t="s">
        <v>397</v>
      </c>
      <c r="E14" s="733"/>
      <c r="F14" s="735"/>
      <c r="G14" s="733"/>
      <c r="H14" s="735"/>
      <c r="I14" s="731"/>
      <c r="J14" s="732"/>
      <c r="K14" s="733"/>
      <c r="L14" s="734"/>
      <c r="M14" s="734"/>
      <c r="N14" s="735"/>
    </row>
    <row r="15" spans="1:14" s="544" customFormat="1" ht="36" customHeight="1">
      <c r="A15" s="737" t="s">
        <v>398</v>
      </c>
      <c r="B15" s="737"/>
      <c r="C15" s="737"/>
      <c r="D15" s="737"/>
      <c r="E15" s="737"/>
      <c r="F15" s="737"/>
      <c r="G15" s="737"/>
      <c r="H15" s="737"/>
      <c r="I15" s="737"/>
      <c r="J15" s="737"/>
      <c r="K15" s="737"/>
      <c r="L15" s="737"/>
      <c r="M15" s="737"/>
      <c r="N15" s="737"/>
    </row>
    <row r="16" spans="1:14" ht="16.5" customHeight="1">
      <c r="A16" s="543" t="s">
        <v>399</v>
      </c>
      <c r="B16" s="543"/>
      <c r="C16" s="542"/>
      <c r="D16" s="538" t="s">
        <v>400</v>
      </c>
      <c r="E16" s="538"/>
      <c r="F16" s="538"/>
      <c r="G16" s="539"/>
      <c r="H16" s="541"/>
      <c r="I16" s="540"/>
      <c r="J16" s="539"/>
      <c r="K16" s="538"/>
      <c r="L16" s="538"/>
      <c r="N16" s="537" t="s">
        <v>401</v>
      </c>
    </row>
    <row r="17" spans="1:14" ht="13.5" customHeight="1">
      <c r="A17" s="536"/>
      <c r="B17" s="536"/>
      <c r="C17" s="535"/>
      <c r="D17" s="534"/>
      <c r="E17" s="535"/>
      <c r="F17" s="535"/>
      <c r="G17" s="534"/>
      <c r="H17" s="533"/>
      <c r="I17" s="532"/>
      <c r="J17" s="532"/>
      <c r="K17" s="532"/>
      <c r="L17" s="532"/>
      <c r="M17" s="532"/>
    </row>
    <row r="18" spans="1:14" ht="21" customHeight="1">
      <c r="A18" s="736" t="s">
        <v>402</v>
      </c>
      <c r="B18" s="736"/>
      <c r="C18" s="736"/>
      <c r="D18" s="736"/>
      <c r="E18" s="736"/>
      <c r="F18" s="736"/>
      <c r="G18" s="736"/>
      <c r="H18" s="736"/>
      <c r="I18" s="736"/>
      <c r="J18" s="736"/>
      <c r="K18" s="736"/>
      <c r="L18" s="736"/>
      <c r="M18" s="736"/>
      <c r="N18" s="736"/>
    </row>
    <row r="19" spans="1:14" ht="15" customHeight="1">
      <c r="A19" s="730" t="s">
        <v>573</v>
      </c>
      <c r="B19" s="730"/>
      <c r="C19" s="730"/>
      <c r="D19" s="730"/>
      <c r="E19" s="730"/>
      <c r="F19" s="730"/>
      <c r="G19" s="730"/>
      <c r="H19" s="730"/>
      <c r="I19" s="730"/>
      <c r="J19" s="730"/>
      <c r="K19" s="730"/>
      <c r="L19" s="730"/>
      <c r="M19" s="730"/>
      <c r="N19" s="730"/>
    </row>
    <row r="20" spans="1:14" ht="15" customHeight="1">
      <c r="A20" s="531"/>
      <c r="B20" s="531"/>
      <c r="C20" s="531"/>
      <c r="D20" s="531"/>
      <c r="E20" s="531"/>
      <c r="F20" s="531"/>
      <c r="G20" s="531"/>
      <c r="H20" s="531"/>
      <c r="I20" s="531"/>
      <c r="J20" s="531"/>
      <c r="K20" s="531"/>
      <c r="L20" s="531"/>
      <c r="M20" s="531"/>
      <c r="N20" s="530" t="s">
        <v>403</v>
      </c>
    </row>
    <row r="21" spans="1:14" ht="15.75" customHeight="1">
      <c r="A21" s="516" t="s">
        <v>572</v>
      </c>
      <c r="B21" s="516"/>
      <c r="C21" s="516"/>
      <c r="D21" s="516"/>
      <c r="E21" s="516"/>
      <c r="F21" s="516"/>
      <c r="G21" s="516"/>
      <c r="H21" s="516"/>
      <c r="I21" s="516"/>
      <c r="J21" s="516"/>
      <c r="K21" s="516"/>
      <c r="L21" s="516"/>
      <c r="M21" s="516"/>
      <c r="N21" s="517"/>
    </row>
    <row r="22" spans="1:14" ht="15.75" customHeight="1">
      <c r="A22" s="516" t="s">
        <v>404</v>
      </c>
      <c r="B22" s="516"/>
      <c r="C22" s="516"/>
      <c r="D22" s="516"/>
      <c r="E22" s="516"/>
      <c r="F22" s="516"/>
      <c r="G22" s="516"/>
      <c r="H22" s="516"/>
      <c r="I22" s="516"/>
      <c r="J22" s="516"/>
      <c r="K22" s="516"/>
      <c r="L22" s="516"/>
      <c r="M22" s="516"/>
      <c r="N22" s="517"/>
    </row>
    <row r="23" spans="1:14" ht="15.75" customHeight="1">
      <c r="A23" s="516" t="s">
        <v>405</v>
      </c>
      <c r="B23" s="516"/>
      <c r="C23" s="516"/>
      <c r="D23" s="516"/>
      <c r="E23" s="516"/>
      <c r="F23" s="516"/>
      <c r="G23" s="516"/>
      <c r="H23" s="516"/>
      <c r="I23" s="516"/>
      <c r="J23" s="516"/>
      <c r="K23" s="516"/>
      <c r="L23" s="516"/>
      <c r="M23" s="516"/>
      <c r="N23" s="517"/>
    </row>
    <row r="24" spans="1:14" ht="15.75" customHeight="1">
      <c r="A24" s="516" t="s">
        <v>406</v>
      </c>
      <c r="B24" s="516"/>
      <c r="C24" s="516"/>
      <c r="D24" s="516"/>
      <c r="E24" s="516"/>
      <c r="F24" s="516"/>
      <c r="G24" s="516"/>
      <c r="H24" s="516"/>
      <c r="I24" s="516"/>
      <c r="J24" s="516"/>
      <c r="K24" s="516"/>
      <c r="L24" s="516"/>
      <c r="M24" s="516"/>
      <c r="N24" s="517"/>
    </row>
    <row r="25" spans="1:14" ht="15.75" customHeight="1">
      <c r="A25" s="516" t="s">
        <v>407</v>
      </c>
      <c r="B25" s="516"/>
      <c r="C25" s="516"/>
      <c r="D25" s="516"/>
      <c r="E25" s="516"/>
      <c r="F25" s="516"/>
      <c r="G25" s="516"/>
      <c r="H25" s="516"/>
      <c r="I25" s="516"/>
      <c r="J25" s="516"/>
      <c r="K25" s="516"/>
      <c r="L25" s="516"/>
      <c r="M25" s="516"/>
      <c r="N25" s="517"/>
    </row>
    <row r="26" spans="1:14" ht="15.75" customHeight="1">
      <c r="A26" s="516" t="s">
        <v>408</v>
      </c>
      <c r="B26" s="516"/>
      <c r="C26" s="516"/>
      <c r="D26" s="516"/>
      <c r="E26" s="516"/>
      <c r="F26" s="516"/>
      <c r="G26" s="516"/>
      <c r="H26" s="516"/>
      <c r="I26" s="516"/>
      <c r="J26" s="516"/>
      <c r="K26" s="516"/>
      <c r="L26" s="516"/>
      <c r="M26" s="516"/>
      <c r="N26" s="517"/>
    </row>
    <row r="27" spans="1:14" ht="15.75" customHeight="1">
      <c r="A27" s="516" t="s">
        <v>409</v>
      </c>
      <c r="B27" s="516"/>
      <c r="C27" s="516"/>
      <c r="D27" s="516"/>
      <c r="E27" s="516"/>
      <c r="F27" s="516"/>
      <c r="G27" s="516"/>
      <c r="H27" s="516"/>
      <c r="I27" s="516"/>
      <c r="J27" s="516"/>
      <c r="K27" s="516"/>
      <c r="L27" s="516"/>
      <c r="M27" s="516"/>
      <c r="N27" s="517"/>
    </row>
    <row r="28" spans="1:14" ht="15.75" customHeight="1">
      <c r="A28" s="516" t="s">
        <v>571</v>
      </c>
      <c r="B28" s="516"/>
      <c r="C28" s="516"/>
      <c r="D28" s="516"/>
      <c r="E28" s="516"/>
      <c r="F28" s="516"/>
      <c r="G28" s="516"/>
      <c r="H28" s="516"/>
      <c r="I28" s="516"/>
      <c r="J28" s="516"/>
      <c r="K28" s="516"/>
      <c r="L28" s="516"/>
      <c r="M28" s="516"/>
      <c r="N28" s="517"/>
    </row>
    <row r="29" spans="1:14" ht="15.75" customHeight="1">
      <c r="A29" s="516" t="s">
        <v>410</v>
      </c>
      <c r="B29" s="516"/>
      <c r="C29" s="516"/>
      <c r="D29" s="516"/>
      <c r="E29" s="516"/>
      <c r="F29" s="522"/>
      <c r="G29" s="528"/>
      <c r="H29" s="529"/>
      <c r="I29" s="528"/>
      <c r="J29" s="516"/>
      <c r="K29" s="516"/>
      <c r="L29" s="516"/>
      <c r="M29" s="516"/>
      <c r="N29" s="517"/>
    </row>
    <row r="30" spans="1:14" ht="15.75" customHeight="1">
      <c r="A30" s="516"/>
      <c r="B30" s="516"/>
      <c r="C30" s="519" t="s">
        <v>411</v>
      </c>
      <c r="D30" s="516"/>
      <c r="E30" s="516"/>
      <c r="F30" s="522" t="s">
        <v>286</v>
      </c>
      <c r="G30" s="584" t="str">
        <f>Sheet1!T415</f>
        <v/>
      </c>
      <c r="H30" s="522" t="s">
        <v>287</v>
      </c>
      <c r="I30" s="584" t="str">
        <f>Sheet1!T416</f>
        <v/>
      </c>
      <c r="J30" s="527"/>
      <c r="K30" s="516"/>
      <c r="L30" s="516"/>
      <c r="M30" s="516"/>
      <c r="N30" s="526"/>
    </row>
    <row r="31" spans="1:14" ht="15.75" customHeight="1">
      <c r="A31" s="516"/>
      <c r="B31" s="516"/>
      <c r="C31" s="519" t="s">
        <v>570</v>
      </c>
      <c r="D31" s="516"/>
      <c r="E31" s="516"/>
      <c r="F31" s="516"/>
      <c r="G31" s="516"/>
      <c r="H31" s="516"/>
      <c r="I31" s="516"/>
      <c r="J31" s="516"/>
      <c r="K31" s="516"/>
      <c r="L31" s="516"/>
      <c r="M31" s="516"/>
      <c r="N31" s="517"/>
    </row>
    <row r="32" spans="1:14" ht="15.75" customHeight="1">
      <c r="A32" s="516"/>
      <c r="B32" s="516"/>
      <c r="C32" s="519" t="s">
        <v>412</v>
      </c>
      <c r="D32" s="516"/>
      <c r="E32" s="516"/>
      <c r="F32" s="516"/>
      <c r="G32" s="516"/>
      <c r="H32" s="516"/>
      <c r="I32" s="516"/>
      <c r="J32" s="516"/>
      <c r="K32" s="516"/>
      <c r="L32" s="516"/>
      <c r="M32" s="516"/>
      <c r="N32" s="517"/>
    </row>
    <row r="33" spans="1:14" ht="15.75" customHeight="1">
      <c r="A33" s="516" t="s">
        <v>413</v>
      </c>
      <c r="B33" s="516"/>
      <c r="C33" s="516"/>
      <c r="D33" s="516"/>
      <c r="E33" s="516"/>
      <c r="F33" s="516"/>
      <c r="G33" s="516"/>
      <c r="H33" s="516"/>
      <c r="I33" s="516"/>
      <c r="J33" s="516"/>
      <c r="K33" s="516"/>
      <c r="L33" s="516"/>
      <c r="M33" s="516"/>
      <c r="N33" s="525"/>
    </row>
    <row r="34" spans="1:14" ht="15.75" customHeight="1">
      <c r="A34" s="516"/>
      <c r="B34" s="516"/>
      <c r="C34" s="519" t="s">
        <v>569</v>
      </c>
      <c r="D34" s="516"/>
      <c r="E34" s="516"/>
      <c r="F34" s="516"/>
      <c r="G34" s="516"/>
      <c r="H34" s="516"/>
      <c r="I34" s="516"/>
      <c r="J34" s="516"/>
      <c r="K34" s="516"/>
      <c r="L34" s="516"/>
      <c r="M34" s="516"/>
      <c r="N34" s="517"/>
    </row>
    <row r="35" spans="1:14" ht="15.75" customHeight="1">
      <c r="A35" s="516"/>
      <c r="B35" s="516"/>
      <c r="C35" s="524" t="s">
        <v>568</v>
      </c>
      <c r="D35" s="516"/>
      <c r="E35" s="516"/>
      <c r="F35" s="516"/>
      <c r="G35" s="516"/>
      <c r="H35" s="516"/>
      <c r="I35" s="516"/>
      <c r="J35" s="516"/>
      <c r="K35" s="516"/>
      <c r="L35" s="516"/>
      <c r="M35" s="516"/>
      <c r="N35" s="515"/>
    </row>
    <row r="36" spans="1:14" ht="15.75" customHeight="1">
      <c r="A36" s="518"/>
      <c r="B36" s="518"/>
      <c r="C36" s="523" t="s">
        <v>414</v>
      </c>
      <c r="D36" s="519"/>
      <c r="E36" s="519"/>
      <c r="F36" s="522"/>
      <c r="G36" s="522" t="s">
        <v>368</v>
      </c>
      <c r="H36" s="521"/>
      <c r="I36" s="522" t="s">
        <v>369</v>
      </c>
      <c r="J36" s="521"/>
      <c r="K36" s="522" t="s">
        <v>370</v>
      </c>
      <c r="L36" s="521"/>
      <c r="M36" s="520"/>
      <c r="N36" s="518"/>
    </row>
    <row r="37" spans="1:14" ht="15.75" customHeight="1">
      <c r="A37" s="516" t="s">
        <v>415</v>
      </c>
      <c r="B37" s="516"/>
      <c r="C37" s="516"/>
      <c r="D37" s="516"/>
      <c r="E37" s="516"/>
      <c r="F37" s="516"/>
      <c r="G37" s="516"/>
      <c r="H37" s="516"/>
      <c r="I37" s="516"/>
      <c r="J37" s="516"/>
      <c r="K37" s="516"/>
      <c r="L37" s="516"/>
      <c r="M37" s="516"/>
      <c r="N37" s="517"/>
    </row>
    <row r="38" spans="1:14" ht="15.75" customHeight="1">
      <c r="A38" s="516"/>
      <c r="B38" s="516"/>
      <c r="C38" s="519" t="s">
        <v>567</v>
      </c>
      <c r="D38" s="519"/>
      <c r="E38" s="519"/>
      <c r="F38" s="516"/>
      <c r="G38" s="516"/>
      <c r="H38" s="516"/>
      <c r="I38" s="516"/>
      <c r="J38" s="516"/>
      <c r="K38" s="516"/>
      <c r="L38" s="584" t="str">
        <f>MGD</f>
        <v/>
      </c>
      <c r="M38" s="519" t="s">
        <v>345</v>
      </c>
      <c r="N38" s="518"/>
    </row>
    <row r="39" spans="1:14" ht="15.75" customHeight="1">
      <c r="A39" s="516" t="s">
        <v>566</v>
      </c>
      <c r="B39" s="516"/>
      <c r="C39" s="516"/>
      <c r="D39" s="516"/>
      <c r="E39" s="516"/>
      <c r="F39" s="516"/>
      <c r="G39" s="516"/>
      <c r="H39" s="516"/>
      <c r="I39" s="516"/>
      <c r="J39" s="516"/>
      <c r="K39" s="516"/>
      <c r="L39" s="516"/>
      <c r="M39" s="516"/>
      <c r="N39" s="517"/>
    </row>
    <row r="40" spans="1:14" ht="15.75" customHeight="1">
      <c r="A40" s="516" t="s">
        <v>416</v>
      </c>
      <c r="B40" s="516"/>
      <c r="C40" s="516"/>
      <c r="D40" s="516"/>
      <c r="E40" s="516"/>
      <c r="F40" s="516"/>
      <c r="G40" s="516"/>
      <c r="H40" s="516"/>
      <c r="I40" s="516"/>
      <c r="J40" s="516"/>
      <c r="K40" s="516"/>
      <c r="L40" s="516"/>
      <c r="M40" s="516"/>
      <c r="N40" s="517"/>
    </row>
    <row r="41" spans="1:14" ht="15.75" customHeight="1">
      <c r="A41" s="516" t="s">
        <v>417</v>
      </c>
      <c r="B41" s="516"/>
      <c r="C41" s="516"/>
      <c r="D41" s="516"/>
      <c r="E41" s="516"/>
      <c r="F41" s="516"/>
      <c r="G41" s="516"/>
      <c r="H41" s="516"/>
      <c r="I41" s="516"/>
      <c r="J41" s="516"/>
      <c r="K41" s="516"/>
      <c r="L41" s="516"/>
      <c r="M41" s="516"/>
      <c r="N41" s="517"/>
    </row>
    <row r="42" spans="1:14" ht="15.75" customHeight="1">
      <c r="A42" s="516" t="s">
        <v>565</v>
      </c>
      <c r="B42" s="516"/>
      <c r="C42" s="516"/>
      <c r="D42" s="516"/>
      <c r="E42" s="516"/>
      <c r="F42" s="516"/>
      <c r="G42" s="516"/>
      <c r="H42" s="516"/>
      <c r="I42" s="516"/>
      <c r="J42" s="516"/>
      <c r="K42" s="516"/>
      <c r="L42" s="516"/>
      <c r="M42" s="516"/>
      <c r="N42" s="517"/>
    </row>
    <row r="43" spans="1:14" ht="15.75" customHeight="1">
      <c r="A43" s="516"/>
      <c r="B43" s="516"/>
      <c r="C43" s="516"/>
      <c r="D43" s="516"/>
      <c r="E43" s="516"/>
      <c r="F43" s="516"/>
      <c r="G43" s="516"/>
      <c r="H43" s="516"/>
      <c r="I43" s="516"/>
      <c r="J43" s="516"/>
      <c r="K43" s="516"/>
      <c r="L43" s="516"/>
      <c r="M43" s="516"/>
      <c r="N43" s="515"/>
    </row>
    <row r="44" spans="1:14" ht="15.75" customHeight="1">
      <c r="A44" s="516"/>
      <c r="B44" s="516"/>
      <c r="C44" s="516"/>
      <c r="D44" s="516"/>
      <c r="E44" s="516"/>
      <c r="F44" s="516"/>
      <c r="G44" s="516"/>
      <c r="H44" s="516"/>
      <c r="I44" s="516"/>
      <c r="J44" s="516"/>
      <c r="K44" s="516"/>
      <c r="L44" s="516"/>
      <c r="M44" s="516"/>
      <c r="N44" s="515"/>
    </row>
    <row r="45" spans="1:14" ht="15.75" customHeight="1">
      <c r="A45" s="516"/>
      <c r="B45" s="516"/>
      <c r="C45" s="516"/>
      <c r="D45" s="516"/>
      <c r="E45" s="516"/>
      <c r="F45" s="516"/>
      <c r="G45" s="516"/>
      <c r="H45" s="516"/>
      <c r="I45" s="516"/>
      <c r="J45" s="516"/>
      <c r="K45" s="516"/>
      <c r="L45" s="516"/>
      <c r="M45" s="516"/>
      <c r="N45" s="515"/>
    </row>
    <row r="46" spans="1:14" ht="15.75" customHeight="1">
      <c r="A46" s="516"/>
      <c r="B46" s="516"/>
      <c r="C46" s="516"/>
      <c r="D46" s="516"/>
      <c r="E46" s="516"/>
      <c r="F46" s="516"/>
      <c r="G46" s="516"/>
      <c r="H46" s="516"/>
      <c r="I46" s="516"/>
      <c r="J46" s="516"/>
      <c r="K46" s="516"/>
      <c r="L46" s="516"/>
      <c r="M46" s="516"/>
      <c r="N46" s="515"/>
    </row>
    <row r="47" spans="1:14" ht="15.75" customHeight="1">
      <c r="A47" s="516"/>
      <c r="B47" s="516"/>
      <c r="C47" s="516"/>
      <c r="D47" s="516"/>
      <c r="E47" s="516"/>
      <c r="F47" s="516"/>
      <c r="G47" s="516"/>
      <c r="H47" s="516"/>
      <c r="I47" s="516"/>
      <c r="J47" s="516"/>
      <c r="K47" s="516"/>
      <c r="L47" s="516"/>
      <c r="M47" s="516"/>
      <c r="N47" s="515"/>
    </row>
    <row r="48" spans="1:14" ht="15.75" customHeight="1">
      <c r="A48" s="516"/>
      <c r="B48" s="516"/>
      <c r="C48" s="516"/>
      <c r="D48" s="516"/>
      <c r="E48" s="516"/>
      <c r="F48" s="516"/>
      <c r="G48" s="516"/>
      <c r="H48" s="516"/>
      <c r="I48" s="516"/>
      <c r="J48" s="516"/>
      <c r="K48" s="516"/>
      <c r="L48" s="516"/>
      <c r="M48" s="516"/>
      <c r="N48" s="515"/>
    </row>
    <row r="49" spans="1:14" ht="15.75" customHeight="1">
      <c r="A49" s="516"/>
      <c r="B49" s="516"/>
      <c r="C49" s="516"/>
      <c r="D49" s="516"/>
      <c r="E49" s="516"/>
      <c r="F49" s="516"/>
      <c r="G49" s="516"/>
      <c r="H49" s="516"/>
      <c r="I49" s="516"/>
      <c r="J49" s="516"/>
      <c r="K49" s="516"/>
      <c r="L49" s="516"/>
      <c r="M49" s="516"/>
      <c r="N49" s="515"/>
    </row>
    <row r="50" spans="1:14" ht="15.75" customHeight="1">
      <c r="A50" s="516"/>
      <c r="B50" s="516"/>
      <c r="C50" s="516"/>
      <c r="D50" s="516"/>
      <c r="E50" s="516"/>
      <c r="F50" s="516"/>
      <c r="G50" s="516"/>
      <c r="H50" s="516"/>
      <c r="I50" s="516"/>
      <c r="J50" s="516"/>
      <c r="K50" s="516"/>
      <c r="L50" s="516"/>
      <c r="M50" s="516"/>
      <c r="N50" s="515"/>
    </row>
    <row r="51" spans="1:14" ht="15.75" customHeight="1">
      <c r="A51" s="516"/>
      <c r="B51" s="516"/>
      <c r="C51" s="516"/>
      <c r="D51" s="516"/>
      <c r="E51" s="516"/>
      <c r="F51" s="516"/>
      <c r="G51" s="516"/>
      <c r="H51" s="516"/>
      <c r="I51" s="516"/>
      <c r="J51" s="516"/>
      <c r="K51" s="516"/>
      <c r="L51" s="516"/>
      <c r="M51" s="516"/>
      <c r="N51" s="515"/>
    </row>
    <row r="52" spans="1:14" ht="15.75" customHeight="1">
      <c r="A52" s="516"/>
      <c r="B52" s="516"/>
      <c r="C52" s="516"/>
      <c r="D52" s="516"/>
      <c r="E52" s="516"/>
      <c r="F52" s="516"/>
      <c r="G52" s="516"/>
      <c r="H52" s="516"/>
      <c r="I52" s="516"/>
      <c r="J52" s="516"/>
      <c r="K52" s="516"/>
      <c r="L52" s="516"/>
      <c r="M52" s="516"/>
      <c r="N52" s="515"/>
    </row>
    <row r="53" spans="1:14" ht="15.75" customHeight="1">
      <c r="A53" s="516"/>
      <c r="B53" s="516"/>
      <c r="C53" s="516"/>
      <c r="D53" s="516"/>
      <c r="E53" s="516"/>
      <c r="F53" s="516"/>
      <c r="G53" s="516"/>
      <c r="H53" s="516"/>
      <c r="I53" s="516"/>
      <c r="J53" s="516"/>
      <c r="K53" s="516"/>
      <c r="L53" s="516"/>
      <c r="M53" s="516"/>
      <c r="N53" s="515"/>
    </row>
    <row r="54" spans="1:14" ht="15.75" customHeight="1">
      <c r="A54" s="516"/>
      <c r="B54" s="516"/>
      <c r="C54" s="516"/>
      <c r="D54" s="516"/>
      <c r="E54" s="516"/>
      <c r="F54" s="516"/>
      <c r="G54" s="516"/>
      <c r="H54" s="516"/>
      <c r="I54" s="516"/>
      <c r="J54" s="516"/>
      <c r="K54" s="516"/>
      <c r="L54" s="516"/>
      <c r="M54" s="516"/>
      <c r="N54" s="515"/>
    </row>
    <row r="55" spans="1:14" ht="15.75" customHeight="1">
      <c r="A55" s="729" t="s">
        <v>564</v>
      </c>
      <c r="B55" s="729"/>
      <c r="C55" s="729"/>
      <c r="D55" s="729"/>
      <c r="E55" s="729"/>
      <c r="F55" s="729"/>
      <c r="G55" s="729"/>
      <c r="H55" s="729"/>
      <c r="I55" s="729"/>
      <c r="J55" s="729"/>
      <c r="K55" s="729"/>
      <c r="L55" s="729"/>
      <c r="M55" s="729"/>
      <c r="N55" s="729"/>
    </row>
  </sheetData>
  <mergeCells count="29">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 ref="K13:N13"/>
    <mergeCell ref="E6:H6"/>
    <mergeCell ref="E7:H7"/>
    <mergeCell ref="A55:N55"/>
    <mergeCell ref="G13:H13"/>
    <mergeCell ref="A19:N19"/>
    <mergeCell ref="I14:J14"/>
    <mergeCell ref="K14:N14"/>
    <mergeCell ref="A18:N18"/>
    <mergeCell ref="E14:F14"/>
    <mergeCell ref="G14:H14"/>
    <mergeCell ref="A15:N15"/>
    <mergeCell ref="E13:F13"/>
    <mergeCell ref="I13:J13"/>
  </mergeCells>
  <conditionalFormatting sqref="N21:N24 N28:N30 N32:N54">
    <cfRule type="cellIs" dxfId="61" priority="5" stopIfTrue="1" operator="equal">
      <formula>"Fail"</formula>
    </cfRule>
  </conditionalFormatting>
  <conditionalFormatting sqref="N25">
    <cfRule type="cellIs" dxfId="60" priority="4" stopIfTrue="1" operator="equal">
      <formula>"Fail"</formula>
    </cfRule>
  </conditionalFormatting>
  <conditionalFormatting sqref="N26">
    <cfRule type="cellIs" dxfId="59" priority="3" stopIfTrue="1" operator="equal">
      <formula>"Fail"</formula>
    </cfRule>
  </conditionalFormatting>
  <conditionalFormatting sqref="N27">
    <cfRule type="cellIs" dxfId="58" priority="2" stopIfTrue="1" operator="equal">
      <formula>"Fail"</formula>
    </cfRule>
  </conditionalFormatting>
  <conditionalFormatting sqref="N31">
    <cfRule type="cellIs" dxfId="57"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L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L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L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L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L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L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L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L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L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L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L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L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L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L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WVT983076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2 JF65572 TB65572 ACX65572 AMT65572 AWP65572 BGL65572 BQH65572 CAD65572 CJZ65572 CTV65572 DDR65572 DNN65572 DXJ65572 EHF65572 ERB65572 FAX65572 FKT65572 FUP65572 GEL65572 GOH65572 GYD65572 HHZ65572 HRV65572 IBR65572 ILN65572 IVJ65572 JFF65572 JPB65572 JYX65572 KIT65572 KSP65572 LCL65572 LMH65572 LWD65572 MFZ65572 MPV65572 MZR65572 NJN65572 NTJ65572 ODF65572 ONB65572 OWX65572 PGT65572 PQP65572 QAL65572 QKH65572 QUD65572 RDZ65572 RNV65572 RXR65572 SHN65572 SRJ65572 TBF65572 TLB65572 TUX65572 UET65572 UOP65572 UYL65572 VIH65572 VSD65572 WBZ65572 WLV65572 WVR65572 J131108 JF131108 TB131108 ACX131108 AMT131108 AWP131108 BGL131108 BQH131108 CAD131108 CJZ131108 CTV131108 DDR131108 DNN131108 DXJ131108 EHF131108 ERB131108 FAX131108 FKT131108 FUP131108 GEL131108 GOH131108 GYD131108 HHZ131108 HRV131108 IBR131108 ILN131108 IVJ131108 JFF131108 JPB131108 JYX131108 KIT131108 KSP131108 LCL131108 LMH131108 LWD131108 MFZ131108 MPV131108 MZR131108 NJN131108 NTJ131108 ODF131108 ONB131108 OWX131108 PGT131108 PQP131108 QAL131108 QKH131108 QUD131108 RDZ131108 RNV131108 RXR131108 SHN131108 SRJ131108 TBF131108 TLB131108 TUX131108 UET131108 UOP131108 UYL131108 VIH131108 VSD131108 WBZ131108 WLV131108 WVR131108 J196644 JF196644 TB196644 ACX196644 AMT196644 AWP196644 BGL196644 BQH196644 CAD196644 CJZ196644 CTV196644 DDR196644 DNN196644 DXJ196644 EHF196644 ERB196644 FAX196644 FKT196644 FUP196644 GEL196644 GOH196644 GYD196644 HHZ196644 HRV196644 IBR196644 ILN196644 IVJ196644 JFF196644 JPB196644 JYX196644 KIT196644 KSP196644 LCL196644 LMH196644 LWD196644 MFZ196644 MPV196644 MZR196644 NJN196644 NTJ196644 ODF196644 ONB196644 OWX196644 PGT196644 PQP196644 QAL196644 QKH196644 QUD196644 RDZ196644 RNV196644 RXR196644 SHN196644 SRJ196644 TBF196644 TLB196644 TUX196644 UET196644 UOP196644 UYL196644 VIH196644 VSD196644 WBZ196644 WLV196644 WVR196644 J262180 JF262180 TB262180 ACX262180 AMT262180 AWP262180 BGL262180 BQH262180 CAD262180 CJZ262180 CTV262180 DDR262180 DNN262180 DXJ262180 EHF262180 ERB262180 FAX262180 FKT262180 FUP262180 GEL262180 GOH262180 GYD262180 HHZ262180 HRV262180 IBR262180 ILN262180 IVJ262180 JFF262180 JPB262180 JYX262180 KIT262180 KSP262180 LCL262180 LMH262180 LWD262180 MFZ262180 MPV262180 MZR262180 NJN262180 NTJ262180 ODF262180 ONB262180 OWX262180 PGT262180 PQP262180 QAL262180 QKH262180 QUD262180 RDZ262180 RNV262180 RXR262180 SHN262180 SRJ262180 TBF262180 TLB262180 TUX262180 UET262180 UOP262180 UYL262180 VIH262180 VSD262180 WBZ262180 WLV262180 WVR262180 J327716 JF327716 TB327716 ACX327716 AMT327716 AWP327716 BGL327716 BQH327716 CAD327716 CJZ327716 CTV327716 DDR327716 DNN327716 DXJ327716 EHF327716 ERB327716 FAX327716 FKT327716 FUP327716 GEL327716 GOH327716 GYD327716 HHZ327716 HRV327716 IBR327716 ILN327716 IVJ327716 JFF327716 JPB327716 JYX327716 KIT327716 KSP327716 LCL327716 LMH327716 LWD327716 MFZ327716 MPV327716 MZR327716 NJN327716 NTJ327716 ODF327716 ONB327716 OWX327716 PGT327716 PQP327716 QAL327716 QKH327716 QUD327716 RDZ327716 RNV327716 RXR327716 SHN327716 SRJ327716 TBF327716 TLB327716 TUX327716 UET327716 UOP327716 UYL327716 VIH327716 VSD327716 WBZ327716 WLV327716 WVR327716 J393252 JF393252 TB393252 ACX393252 AMT393252 AWP393252 BGL393252 BQH393252 CAD393252 CJZ393252 CTV393252 DDR393252 DNN393252 DXJ393252 EHF393252 ERB393252 FAX393252 FKT393252 FUP393252 GEL393252 GOH393252 GYD393252 HHZ393252 HRV393252 IBR393252 ILN393252 IVJ393252 JFF393252 JPB393252 JYX393252 KIT393252 KSP393252 LCL393252 LMH393252 LWD393252 MFZ393252 MPV393252 MZR393252 NJN393252 NTJ393252 ODF393252 ONB393252 OWX393252 PGT393252 PQP393252 QAL393252 QKH393252 QUD393252 RDZ393252 RNV393252 RXR393252 SHN393252 SRJ393252 TBF393252 TLB393252 TUX393252 UET393252 UOP393252 UYL393252 VIH393252 VSD393252 WBZ393252 WLV393252 WVR393252 J458788 JF458788 TB458788 ACX458788 AMT458788 AWP458788 BGL458788 BQH458788 CAD458788 CJZ458788 CTV458788 DDR458788 DNN458788 DXJ458788 EHF458788 ERB458788 FAX458788 FKT458788 FUP458788 GEL458788 GOH458788 GYD458788 HHZ458788 HRV458788 IBR458788 ILN458788 IVJ458788 JFF458788 JPB458788 JYX458788 KIT458788 KSP458788 LCL458788 LMH458788 LWD458788 MFZ458788 MPV458788 MZR458788 NJN458788 NTJ458788 ODF458788 ONB458788 OWX458788 PGT458788 PQP458788 QAL458788 QKH458788 QUD458788 RDZ458788 RNV458788 RXR458788 SHN458788 SRJ458788 TBF458788 TLB458788 TUX458788 UET458788 UOP458788 UYL458788 VIH458788 VSD458788 WBZ458788 WLV458788 WVR458788 J524324 JF524324 TB524324 ACX524324 AMT524324 AWP524324 BGL524324 BQH524324 CAD524324 CJZ524324 CTV524324 DDR524324 DNN524324 DXJ524324 EHF524324 ERB524324 FAX524324 FKT524324 FUP524324 GEL524324 GOH524324 GYD524324 HHZ524324 HRV524324 IBR524324 ILN524324 IVJ524324 JFF524324 JPB524324 JYX524324 KIT524324 KSP524324 LCL524324 LMH524324 LWD524324 MFZ524324 MPV524324 MZR524324 NJN524324 NTJ524324 ODF524324 ONB524324 OWX524324 PGT524324 PQP524324 QAL524324 QKH524324 QUD524324 RDZ524324 RNV524324 RXR524324 SHN524324 SRJ524324 TBF524324 TLB524324 TUX524324 UET524324 UOP524324 UYL524324 VIH524324 VSD524324 WBZ524324 WLV524324 WVR524324 J589860 JF589860 TB589860 ACX589860 AMT589860 AWP589860 BGL589860 BQH589860 CAD589860 CJZ589860 CTV589860 DDR589860 DNN589860 DXJ589860 EHF589860 ERB589860 FAX589860 FKT589860 FUP589860 GEL589860 GOH589860 GYD589860 HHZ589860 HRV589860 IBR589860 ILN589860 IVJ589860 JFF589860 JPB589860 JYX589860 KIT589860 KSP589860 LCL589860 LMH589860 LWD589860 MFZ589860 MPV589860 MZR589860 NJN589860 NTJ589860 ODF589860 ONB589860 OWX589860 PGT589860 PQP589860 QAL589860 QKH589860 QUD589860 RDZ589860 RNV589860 RXR589860 SHN589860 SRJ589860 TBF589860 TLB589860 TUX589860 UET589860 UOP589860 UYL589860 VIH589860 VSD589860 WBZ589860 WLV589860 WVR589860 J655396 JF655396 TB655396 ACX655396 AMT655396 AWP655396 BGL655396 BQH655396 CAD655396 CJZ655396 CTV655396 DDR655396 DNN655396 DXJ655396 EHF655396 ERB655396 FAX655396 FKT655396 FUP655396 GEL655396 GOH655396 GYD655396 HHZ655396 HRV655396 IBR655396 ILN655396 IVJ655396 JFF655396 JPB655396 JYX655396 KIT655396 KSP655396 LCL655396 LMH655396 LWD655396 MFZ655396 MPV655396 MZR655396 NJN655396 NTJ655396 ODF655396 ONB655396 OWX655396 PGT655396 PQP655396 QAL655396 QKH655396 QUD655396 RDZ655396 RNV655396 RXR655396 SHN655396 SRJ655396 TBF655396 TLB655396 TUX655396 UET655396 UOP655396 UYL655396 VIH655396 VSD655396 WBZ655396 WLV655396 WVR655396 J720932 JF720932 TB720932 ACX720932 AMT720932 AWP720932 BGL720932 BQH720932 CAD720932 CJZ720932 CTV720932 DDR720932 DNN720932 DXJ720932 EHF720932 ERB720932 FAX720932 FKT720932 FUP720932 GEL720932 GOH720932 GYD720932 HHZ720932 HRV720932 IBR720932 ILN720932 IVJ720932 JFF720932 JPB720932 JYX720932 KIT720932 KSP720932 LCL720932 LMH720932 LWD720932 MFZ720932 MPV720932 MZR720932 NJN720932 NTJ720932 ODF720932 ONB720932 OWX720932 PGT720932 PQP720932 QAL720932 QKH720932 QUD720932 RDZ720932 RNV720932 RXR720932 SHN720932 SRJ720932 TBF720932 TLB720932 TUX720932 UET720932 UOP720932 UYL720932 VIH720932 VSD720932 WBZ720932 WLV720932 WVR720932 J786468 JF786468 TB786468 ACX786468 AMT786468 AWP786468 BGL786468 BQH786468 CAD786468 CJZ786468 CTV786468 DDR786468 DNN786468 DXJ786468 EHF786468 ERB786468 FAX786468 FKT786468 FUP786468 GEL786468 GOH786468 GYD786468 HHZ786468 HRV786468 IBR786468 ILN786468 IVJ786468 JFF786468 JPB786468 JYX786468 KIT786468 KSP786468 LCL786468 LMH786468 LWD786468 MFZ786468 MPV786468 MZR786468 NJN786468 NTJ786468 ODF786468 ONB786468 OWX786468 PGT786468 PQP786468 QAL786468 QKH786468 QUD786468 RDZ786468 RNV786468 RXR786468 SHN786468 SRJ786468 TBF786468 TLB786468 TUX786468 UET786468 UOP786468 UYL786468 VIH786468 VSD786468 WBZ786468 WLV786468 WVR786468 J852004 JF852004 TB852004 ACX852004 AMT852004 AWP852004 BGL852004 BQH852004 CAD852004 CJZ852004 CTV852004 DDR852004 DNN852004 DXJ852004 EHF852004 ERB852004 FAX852004 FKT852004 FUP852004 GEL852004 GOH852004 GYD852004 HHZ852004 HRV852004 IBR852004 ILN852004 IVJ852004 JFF852004 JPB852004 JYX852004 KIT852004 KSP852004 LCL852004 LMH852004 LWD852004 MFZ852004 MPV852004 MZR852004 NJN852004 NTJ852004 ODF852004 ONB852004 OWX852004 PGT852004 PQP852004 QAL852004 QKH852004 QUD852004 RDZ852004 RNV852004 RXR852004 SHN852004 SRJ852004 TBF852004 TLB852004 TUX852004 UET852004 UOP852004 UYL852004 VIH852004 VSD852004 WBZ852004 WLV852004 WVR852004 J917540 JF917540 TB917540 ACX917540 AMT917540 AWP917540 BGL917540 BQH917540 CAD917540 CJZ917540 CTV917540 DDR917540 DNN917540 DXJ917540 EHF917540 ERB917540 FAX917540 FKT917540 FUP917540 GEL917540 GOH917540 GYD917540 HHZ917540 HRV917540 IBR917540 ILN917540 IVJ917540 JFF917540 JPB917540 JYX917540 KIT917540 KSP917540 LCL917540 LMH917540 LWD917540 MFZ917540 MPV917540 MZR917540 NJN917540 NTJ917540 ODF917540 ONB917540 OWX917540 PGT917540 PQP917540 QAL917540 QKH917540 QUD917540 RDZ917540 RNV917540 RXR917540 SHN917540 SRJ917540 TBF917540 TLB917540 TUX917540 UET917540 UOP917540 UYL917540 VIH917540 VSD917540 WBZ917540 WLV917540 WVR917540 J983076 JF983076 TB983076 ACX983076 AMT983076 AWP983076 BGL983076 BQH983076 CAD983076 CJZ983076 CTV983076 DDR983076 DNN983076 DXJ983076 EHF983076 ERB983076 FAX983076 FKT983076 FUP983076 GEL983076 GOH983076 GYD983076 HHZ983076 HRV983076 IBR983076 ILN983076 IVJ983076 JFF983076 JPB983076 JYX983076 KIT983076 KSP983076 LCL983076 LMH983076 LWD983076 MFZ983076 MPV983076 MZR983076 NJN983076 NTJ983076 ODF983076 ONB983076 OWX983076 PGT983076 PQP983076 QAL983076 QKH983076 QUD983076 RDZ983076 RNV983076 RXR983076 SHN983076 SRJ983076 TBF983076 TLB983076 TUX983076 UET983076 UOP983076 UYL983076 VIH983076 VSD983076 WBZ983076 WLV983076 WVR983076">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2 JD65572 SZ65572 ACV65572 AMR65572 AWN65572 BGJ65572 BQF65572 CAB65572 CJX65572 CTT65572 DDP65572 DNL65572 DXH65572 EHD65572 EQZ65572 FAV65572 FKR65572 FUN65572 GEJ65572 GOF65572 GYB65572 HHX65572 HRT65572 IBP65572 ILL65572 IVH65572 JFD65572 JOZ65572 JYV65572 KIR65572 KSN65572 LCJ65572 LMF65572 LWB65572 MFX65572 MPT65572 MZP65572 NJL65572 NTH65572 ODD65572 OMZ65572 OWV65572 PGR65572 PQN65572 QAJ65572 QKF65572 QUB65572 RDX65572 RNT65572 RXP65572 SHL65572 SRH65572 TBD65572 TKZ65572 TUV65572 UER65572 UON65572 UYJ65572 VIF65572 VSB65572 WBX65572 WLT65572 WVP65572 H131108 JD131108 SZ131108 ACV131108 AMR131108 AWN131108 BGJ131108 BQF131108 CAB131108 CJX131108 CTT131108 DDP131108 DNL131108 DXH131108 EHD131108 EQZ131108 FAV131108 FKR131108 FUN131108 GEJ131108 GOF131108 GYB131108 HHX131108 HRT131108 IBP131108 ILL131108 IVH131108 JFD131108 JOZ131108 JYV131108 KIR131108 KSN131108 LCJ131108 LMF131108 LWB131108 MFX131108 MPT131108 MZP131108 NJL131108 NTH131108 ODD131108 OMZ131108 OWV131108 PGR131108 PQN131108 QAJ131108 QKF131108 QUB131108 RDX131108 RNT131108 RXP131108 SHL131108 SRH131108 TBD131108 TKZ131108 TUV131108 UER131108 UON131108 UYJ131108 VIF131108 VSB131108 WBX131108 WLT131108 WVP131108 H196644 JD196644 SZ196644 ACV196644 AMR196644 AWN196644 BGJ196644 BQF196644 CAB196644 CJX196644 CTT196644 DDP196644 DNL196644 DXH196644 EHD196644 EQZ196644 FAV196644 FKR196644 FUN196644 GEJ196644 GOF196644 GYB196644 HHX196644 HRT196644 IBP196644 ILL196644 IVH196644 JFD196644 JOZ196644 JYV196644 KIR196644 KSN196644 LCJ196644 LMF196644 LWB196644 MFX196644 MPT196644 MZP196644 NJL196644 NTH196644 ODD196644 OMZ196644 OWV196644 PGR196644 PQN196644 QAJ196644 QKF196644 QUB196644 RDX196644 RNT196644 RXP196644 SHL196644 SRH196644 TBD196644 TKZ196644 TUV196644 UER196644 UON196644 UYJ196644 VIF196644 VSB196644 WBX196644 WLT196644 WVP196644 H262180 JD262180 SZ262180 ACV262180 AMR262180 AWN262180 BGJ262180 BQF262180 CAB262180 CJX262180 CTT262180 DDP262180 DNL262180 DXH262180 EHD262180 EQZ262180 FAV262180 FKR262180 FUN262180 GEJ262180 GOF262180 GYB262180 HHX262180 HRT262180 IBP262180 ILL262180 IVH262180 JFD262180 JOZ262180 JYV262180 KIR262180 KSN262180 LCJ262180 LMF262180 LWB262180 MFX262180 MPT262180 MZP262180 NJL262180 NTH262180 ODD262180 OMZ262180 OWV262180 PGR262180 PQN262180 QAJ262180 QKF262180 QUB262180 RDX262180 RNT262180 RXP262180 SHL262180 SRH262180 TBD262180 TKZ262180 TUV262180 UER262180 UON262180 UYJ262180 VIF262180 VSB262180 WBX262180 WLT262180 WVP262180 H327716 JD327716 SZ327716 ACV327716 AMR327716 AWN327716 BGJ327716 BQF327716 CAB327716 CJX327716 CTT327716 DDP327716 DNL327716 DXH327716 EHD327716 EQZ327716 FAV327716 FKR327716 FUN327716 GEJ327716 GOF327716 GYB327716 HHX327716 HRT327716 IBP327716 ILL327716 IVH327716 JFD327716 JOZ327716 JYV327716 KIR327716 KSN327716 LCJ327716 LMF327716 LWB327716 MFX327716 MPT327716 MZP327716 NJL327716 NTH327716 ODD327716 OMZ327716 OWV327716 PGR327716 PQN327716 QAJ327716 QKF327716 QUB327716 RDX327716 RNT327716 RXP327716 SHL327716 SRH327716 TBD327716 TKZ327716 TUV327716 UER327716 UON327716 UYJ327716 VIF327716 VSB327716 WBX327716 WLT327716 WVP327716 H393252 JD393252 SZ393252 ACV393252 AMR393252 AWN393252 BGJ393252 BQF393252 CAB393252 CJX393252 CTT393252 DDP393252 DNL393252 DXH393252 EHD393252 EQZ393252 FAV393252 FKR393252 FUN393252 GEJ393252 GOF393252 GYB393252 HHX393252 HRT393252 IBP393252 ILL393252 IVH393252 JFD393252 JOZ393252 JYV393252 KIR393252 KSN393252 LCJ393252 LMF393252 LWB393252 MFX393252 MPT393252 MZP393252 NJL393252 NTH393252 ODD393252 OMZ393252 OWV393252 PGR393252 PQN393252 QAJ393252 QKF393252 QUB393252 RDX393252 RNT393252 RXP393252 SHL393252 SRH393252 TBD393252 TKZ393252 TUV393252 UER393252 UON393252 UYJ393252 VIF393252 VSB393252 WBX393252 WLT393252 WVP393252 H458788 JD458788 SZ458788 ACV458788 AMR458788 AWN458788 BGJ458788 BQF458788 CAB458788 CJX458788 CTT458788 DDP458788 DNL458788 DXH458788 EHD458788 EQZ458788 FAV458788 FKR458788 FUN458788 GEJ458788 GOF458788 GYB458788 HHX458788 HRT458788 IBP458788 ILL458788 IVH458788 JFD458788 JOZ458788 JYV458788 KIR458788 KSN458788 LCJ458788 LMF458788 LWB458788 MFX458788 MPT458788 MZP458788 NJL458788 NTH458788 ODD458788 OMZ458788 OWV458788 PGR458788 PQN458788 QAJ458788 QKF458788 QUB458788 RDX458788 RNT458788 RXP458788 SHL458788 SRH458788 TBD458788 TKZ458788 TUV458788 UER458788 UON458788 UYJ458788 VIF458788 VSB458788 WBX458788 WLT458788 WVP458788 H524324 JD524324 SZ524324 ACV524324 AMR524324 AWN524324 BGJ524324 BQF524324 CAB524324 CJX524324 CTT524324 DDP524324 DNL524324 DXH524324 EHD524324 EQZ524324 FAV524324 FKR524324 FUN524324 GEJ524324 GOF524324 GYB524324 HHX524324 HRT524324 IBP524324 ILL524324 IVH524324 JFD524324 JOZ524324 JYV524324 KIR524324 KSN524324 LCJ524324 LMF524324 LWB524324 MFX524324 MPT524324 MZP524324 NJL524324 NTH524324 ODD524324 OMZ524324 OWV524324 PGR524324 PQN524324 QAJ524324 QKF524324 QUB524324 RDX524324 RNT524324 RXP524324 SHL524324 SRH524324 TBD524324 TKZ524324 TUV524324 UER524324 UON524324 UYJ524324 VIF524324 VSB524324 WBX524324 WLT524324 WVP524324 H589860 JD589860 SZ589860 ACV589860 AMR589860 AWN589860 BGJ589860 BQF589860 CAB589860 CJX589860 CTT589860 DDP589860 DNL589860 DXH589860 EHD589860 EQZ589860 FAV589860 FKR589860 FUN589860 GEJ589860 GOF589860 GYB589860 HHX589860 HRT589860 IBP589860 ILL589860 IVH589860 JFD589860 JOZ589860 JYV589860 KIR589860 KSN589860 LCJ589860 LMF589860 LWB589860 MFX589860 MPT589860 MZP589860 NJL589860 NTH589860 ODD589860 OMZ589860 OWV589860 PGR589860 PQN589860 QAJ589860 QKF589860 QUB589860 RDX589860 RNT589860 RXP589860 SHL589860 SRH589860 TBD589860 TKZ589860 TUV589860 UER589860 UON589860 UYJ589860 VIF589860 VSB589860 WBX589860 WLT589860 WVP589860 H655396 JD655396 SZ655396 ACV655396 AMR655396 AWN655396 BGJ655396 BQF655396 CAB655396 CJX655396 CTT655396 DDP655396 DNL655396 DXH655396 EHD655396 EQZ655396 FAV655396 FKR655396 FUN655396 GEJ655396 GOF655396 GYB655396 HHX655396 HRT655396 IBP655396 ILL655396 IVH655396 JFD655396 JOZ655396 JYV655396 KIR655396 KSN655396 LCJ655396 LMF655396 LWB655396 MFX655396 MPT655396 MZP655396 NJL655396 NTH655396 ODD655396 OMZ655396 OWV655396 PGR655396 PQN655396 QAJ655396 QKF655396 QUB655396 RDX655396 RNT655396 RXP655396 SHL655396 SRH655396 TBD655396 TKZ655396 TUV655396 UER655396 UON655396 UYJ655396 VIF655396 VSB655396 WBX655396 WLT655396 WVP655396 H720932 JD720932 SZ720932 ACV720932 AMR720932 AWN720932 BGJ720932 BQF720932 CAB720932 CJX720932 CTT720932 DDP720932 DNL720932 DXH720932 EHD720932 EQZ720932 FAV720932 FKR720932 FUN720932 GEJ720932 GOF720932 GYB720932 HHX720932 HRT720932 IBP720932 ILL720932 IVH720932 JFD720932 JOZ720932 JYV720932 KIR720932 KSN720932 LCJ720932 LMF720932 LWB720932 MFX720932 MPT720932 MZP720932 NJL720932 NTH720932 ODD720932 OMZ720932 OWV720932 PGR720932 PQN720932 QAJ720932 QKF720932 QUB720932 RDX720932 RNT720932 RXP720932 SHL720932 SRH720932 TBD720932 TKZ720932 TUV720932 UER720932 UON720932 UYJ720932 VIF720932 VSB720932 WBX720932 WLT720932 WVP720932 H786468 JD786468 SZ786468 ACV786468 AMR786468 AWN786468 BGJ786468 BQF786468 CAB786468 CJX786468 CTT786468 DDP786468 DNL786468 DXH786468 EHD786468 EQZ786468 FAV786468 FKR786468 FUN786468 GEJ786468 GOF786468 GYB786468 HHX786468 HRT786468 IBP786468 ILL786468 IVH786468 JFD786468 JOZ786468 JYV786468 KIR786468 KSN786468 LCJ786468 LMF786468 LWB786468 MFX786468 MPT786468 MZP786468 NJL786468 NTH786468 ODD786468 OMZ786468 OWV786468 PGR786468 PQN786468 QAJ786468 QKF786468 QUB786468 RDX786468 RNT786468 RXP786468 SHL786468 SRH786468 TBD786468 TKZ786468 TUV786468 UER786468 UON786468 UYJ786468 VIF786468 VSB786468 WBX786468 WLT786468 WVP786468 H852004 JD852004 SZ852004 ACV852004 AMR852004 AWN852004 BGJ852004 BQF852004 CAB852004 CJX852004 CTT852004 DDP852004 DNL852004 DXH852004 EHD852004 EQZ852004 FAV852004 FKR852004 FUN852004 GEJ852004 GOF852004 GYB852004 HHX852004 HRT852004 IBP852004 ILL852004 IVH852004 JFD852004 JOZ852004 JYV852004 KIR852004 KSN852004 LCJ852004 LMF852004 LWB852004 MFX852004 MPT852004 MZP852004 NJL852004 NTH852004 ODD852004 OMZ852004 OWV852004 PGR852004 PQN852004 QAJ852004 QKF852004 QUB852004 RDX852004 RNT852004 RXP852004 SHL852004 SRH852004 TBD852004 TKZ852004 TUV852004 UER852004 UON852004 UYJ852004 VIF852004 VSB852004 WBX852004 WLT852004 WVP852004 H917540 JD917540 SZ917540 ACV917540 AMR917540 AWN917540 BGJ917540 BQF917540 CAB917540 CJX917540 CTT917540 DDP917540 DNL917540 DXH917540 EHD917540 EQZ917540 FAV917540 FKR917540 FUN917540 GEJ917540 GOF917540 GYB917540 HHX917540 HRT917540 IBP917540 ILL917540 IVH917540 JFD917540 JOZ917540 JYV917540 KIR917540 KSN917540 LCJ917540 LMF917540 LWB917540 MFX917540 MPT917540 MZP917540 NJL917540 NTH917540 ODD917540 OMZ917540 OWV917540 PGR917540 PQN917540 QAJ917540 QKF917540 QUB917540 RDX917540 RNT917540 RXP917540 SHL917540 SRH917540 TBD917540 TKZ917540 TUV917540 UER917540 UON917540 UYJ917540 VIF917540 VSB917540 WBX917540 WLT917540 WVP917540 H983076 JD983076 SZ983076 ACV983076 AMR983076 AWN983076 BGJ983076 BQF983076 CAB983076 CJX983076 CTT983076 DDP983076 DNL983076 DXH983076 EHD983076 EQZ983076 FAV983076 FKR983076 FUN983076 GEJ983076 GOF983076 GYB983076 HHX983076 HRT983076 IBP983076 ILL983076 IVH983076 JFD983076 JOZ983076 JYV983076 KIR983076 KSN983076 LCJ983076 LMF983076 LWB983076 MFX983076 MPT983076 MZP983076 NJL983076 NTH983076 ODD983076 OMZ983076 OWV983076 PGR983076 PQN983076 QAJ983076 QKF983076 QUB983076 RDX983076 RNT983076 RXP983076 SHL983076 SRH983076 TBD983076 TKZ983076 TUV983076 UER983076 UON983076 UYJ983076 VIF983076 VSB983076 WBX983076 WLT983076 WVP983076">
      <formula1>FiberLst</formula1>
    </dataValidation>
    <dataValidation type="list" allowBlank="1" showInputMessage="1" showErrorMessage="1" sqref="N39:N41 JJ39:JJ41 TF39:TF41 ADB39:ADB41 AMX39:AMX41 AWT39:AWT41 BGP39:BGP41 BQL39:BQL41 CAH39:CAH41 CKD39:CKD41 CTZ39:CTZ41 DDV39:DDV41 DNR39:DNR41 DXN39:DXN41 EHJ39:EHJ41 ERF39:ERF41 FBB39:FBB41 FKX39:FKX41 FUT39:FUT41 GEP39:GEP41 GOL39:GOL41 GYH39:GYH41 HID39:HID41 HRZ39:HRZ41 IBV39:IBV41 ILR39:ILR41 IVN39:IVN41 JFJ39:JFJ41 JPF39:JPF41 JZB39:JZB41 KIX39:KIX41 KST39:KST41 LCP39:LCP41 LML39:LML41 LWH39:LWH41 MGD39:MGD41 MPZ39:MPZ41 MZV39:MZV41 NJR39:NJR41 NTN39:NTN41 ODJ39:ODJ41 ONF39:ONF41 OXB39:OXB41 PGX39:PGX41 PQT39:PQT41 QAP39:QAP41 QKL39:QKL41 QUH39:QUH41 RED39:RED41 RNZ39:RNZ41 RXV39:RXV41 SHR39:SHR41 SRN39:SRN41 TBJ39:TBJ41 TLF39:TLF41 TVB39:TVB41 UEX39:UEX41 UOT39:UOT41 UYP39:UYP41 VIL39:VIL41 VSH39:VSH41 WCD39:WCD41 WLZ39:WLZ41 WVV39:WVV41 N65575:N65577 JJ65575:JJ65577 TF65575:TF65577 ADB65575:ADB65577 AMX65575:AMX65577 AWT65575:AWT65577 BGP65575:BGP65577 BQL65575:BQL65577 CAH65575:CAH65577 CKD65575:CKD65577 CTZ65575:CTZ65577 DDV65575:DDV65577 DNR65575:DNR65577 DXN65575:DXN65577 EHJ65575:EHJ65577 ERF65575:ERF65577 FBB65575:FBB65577 FKX65575:FKX65577 FUT65575:FUT65577 GEP65575:GEP65577 GOL65575:GOL65577 GYH65575:GYH65577 HID65575:HID65577 HRZ65575:HRZ65577 IBV65575:IBV65577 ILR65575:ILR65577 IVN65575:IVN65577 JFJ65575:JFJ65577 JPF65575:JPF65577 JZB65575:JZB65577 KIX65575:KIX65577 KST65575:KST65577 LCP65575:LCP65577 LML65575:LML65577 LWH65575:LWH65577 MGD65575:MGD65577 MPZ65575:MPZ65577 MZV65575:MZV65577 NJR65575:NJR65577 NTN65575:NTN65577 ODJ65575:ODJ65577 ONF65575:ONF65577 OXB65575:OXB65577 PGX65575:PGX65577 PQT65575:PQT65577 QAP65575:QAP65577 QKL65575:QKL65577 QUH65575:QUH65577 RED65575:RED65577 RNZ65575:RNZ65577 RXV65575:RXV65577 SHR65575:SHR65577 SRN65575:SRN65577 TBJ65575:TBJ65577 TLF65575:TLF65577 TVB65575:TVB65577 UEX65575:UEX65577 UOT65575:UOT65577 UYP65575:UYP65577 VIL65575:VIL65577 VSH65575:VSH65577 WCD65575:WCD65577 WLZ65575:WLZ65577 WVV65575:WVV65577 N131111:N131113 JJ131111:JJ131113 TF131111:TF131113 ADB131111:ADB131113 AMX131111:AMX131113 AWT131111:AWT131113 BGP131111:BGP131113 BQL131111:BQL131113 CAH131111:CAH131113 CKD131111:CKD131113 CTZ131111:CTZ131113 DDV131111:DDV131113 DNR131111:DNR131113 DXN131111:DXN131113 EHJ131111:EHJ131113 ERF131111:ERF131113 FBB131111:FBB131113 FKX131111:FKX131113 FUT131111:FUT131113 GEP131111:GEP131113 GOL131111:GOL131113 GYH131111:GYH131113 HID131111:HID131113 HRZ131111:HRZ131113 IBV131111:IBV131113 ILR131111:ILR131113 IVN131111:IVN131113 JFJ131111:JFJ131113 JPF131111:JPF131113 JZB131111:JZB131113 KIX131111:KIX131113 KST131111:KST131113 LCP131111:LCP131113 LML131111:LML131113 LWH131111:LWH131113 MGD131111:MGD131113 MPZ131111:MPZ131113 MZV131111:MZV131113 NJR131111:NJR131113 NTN131111:NTN131113 ODJ131111:ODJ131113 ONF131111:ONF131113 OXB131111:OXB131113 PGX131111:PGX131113 PQT131111:PQT131113 QAP131111:QAP131113 QKL131111:QKL131113 QUH131111:QUH131113 RED131111:RED131113 RNZ131111:RNZ131113 RXV131111:RXV131113 SHR131111:SHR131113 SRN131111:SRN131113 TBJ131111:TBJ131113 TLF131111:TLF131113 TVB131111:TVB131113 UEX131111:UEX131113 UOT131111:UOT131113 UYP131111:UYP131113 VIL131111:VIL131113 VSH131111:VSH131113 WCD131111:WCD131113 WLZ131111:WLZ131113 WVV131111:WVV131113 N196647:N196649 JJ196647:JJ196649 TF196647:TF196649 ADB196647:ADB196649 AMX196647:AMX196649 AWT196647:AWT196649 BGP196647:BGP196649 BQL196647:BQL196649 CAH196647:CAH196649 CKD196647:CKD196649 CTZ196647:CTZ196649 DDV196647:DDV196649 DNR196647:DNR196649 DXN196647:DXN196649 EHJ196647:EHJ196649 ERF196647:ERF196649 FBB196647:FBB196649 FKX196647:FKX196649 FUT196647:FUT196649 GEP196647:GEP196649 GOL196647:GOL196649 GYH196647:GYH196649 HID196647:HID196649 HRZ196647:HRZ196649 IBV196647:IBV196649 ILR196647:ILR196649 IVN196647:IVN196649 JFJ196647:JFJ196649 JPF196647:JPF196649 JZB196647:JZB196649 KIX196647:KIX196649 KST196647:KST196649 LCP196647:LCP196649 LML196647:LML196649 LWH196647:LWH196649 MGD196647:MGD196649 MPZ196647:MPZ196649 MZV196647:MZV196649 NJR196647:NJR196649 NTN196647:NTN196649 ODJ196647:ODJ196649 ONF196647:ONF196649 OXB196647:OXB196649 PGX196647:PGX196649 PQT196647:PQT196649 QAP196647:QAP196649 QKL196647:QKL196649 QUH196647:QUH196649 RED196647:RED196649 RNZ196647:RNZ196649 RXV196647:RXV196649 SHR196647:SHR196649 SRN196647:SRN196649 TBJ196647:TBJ196649 TLF196647:TLF196649 TVB196647:TVB196649 UEX196647:UEX196649 UOT196647:UOT196649 UYP196647:UYP196649 VIL196647:VIL196649 VSH196647:VSH196649 WCD196647:WCD196649 WLZ196647:WLZ196649 WVV196647:WVV196649 N262183:N262185 JJ262183:JJ262185 TF262183:TF262185 ADB262183:ADB262185 AMX262183:AMX262185 AWT262183:AWT262185 BGP262183:BGP262185 BQL262183:BQL262185 CAH262183:CAH262185 CKD262183:CKD262185 CTZ262183:CTZ262185 DDV262183:DDV262185 DNR262183:DNR262185 DXN262183:DXN262185 EHJ262183:EHJ262185 ERF262183:ERF262185 FBB262183:FBB262185 FKX262183:FKX262185 FUT262183:FUT262185 GEP262183:GEP262185 GOL262183:GOL262185 GYH262183:GYH262185 HID262183:HID262185 HRZ262183:HRZ262185 IBV262183:IBV262185 ILR262183:ILR262185 IVN262183:IVN262185 JFJ262183:JFJ262185 JPF262183:JPF262185 JZB262183:JZB262185 KIX262183:KIX262185 KST262183:KST262185 LCP262183:LCP262185 LML262183:LML262185 LWH262183:LWH262185 MGD262183:MGD262185 MPZ262183:MPZ262185 MZV262183:MZV262185 NJR262183:NJR262185 NTN262183:NTN262185 ODJ262183:ODJ262185 ONF262183:ONF262185 OXB262183:OXB262185 PGX262183:PGX262185 PQT262183:PQT262185 QAP262183:QAP262185 QKL262183:QKL262185 QUH262183:QUH262185 RED262183:RED262185 RNZ262183:RNZ262185 RXV262183:RXV262185 SHR262183:SHR262185 SRN262183:SRN262185 TBJ262183:TBJ262185 TLF262183:TLF262185 TVB262183:TVB262185 UEX262183:UEX262185 UOT262183:UOT262185 UYP262183:UYP262185 VIL262183:VIL262185 VSH262183:VSH262185 WCD262183:WCD262185 WLZ262183:WLZ262185 WVV262183:WVV262185 N327719:N327721 JJ327719:JJ327721 TF327719:TF327721 ADB327719:ADB327721 AMX327719:AMX327721 AWT327719:AWT327721 BGP327719:BGP327721 BQL327719:BQL327721 CAH327719:CAH327721 CKD327719:CKD327721 CTZ327719:CTZ327721 DDV327719:DDV327721 DNR327719:DNR327721 DXN327719:DXN327721 EHJ327719:EHJ327721 ERF327719:ERF327721 FBB327719:FBB327721 FKX327719:FKX327721 FUT327719:FUT327721 GEP327719:GEP327721 GOL327719:GOL327721 GYH327719:GYH327721 HID327719:HID327721 HRZ327719:HRZ327721 IBV327719:IBV327721 ILR327719:ILR327721 IVN327719:IVN327721 JFJ327719:JFJ327721 JPF327719:JPF327721 JZB327719:JZB327721 KIX327719:KIX327721 KST327719:KST327721 LCP327719:LCP327721 LML327719:LML327721 LWH327719:LWH327721 MGD327719:MGD327721 MPZ327719:MPZ327721 MZV327719:MZV327721 NJR327719:NJR327721 NTN327719:NTN327721 ODJ327719:ODJ327721 ONF327719:ONF327721 OXB327719:OXB327721 PGX327719:PGX327721 PQT327719:PQT327721 QAP327719:QAP327721 QKL327719:QKL327721 QUH327719:QUH327721 RED327719:RED327721 RNZ327719:RNZ327721 RXV327719:RXV327721 SHR327719:SHR327721 SRN327719:SRN327721 TBJ327719:TBJ327721 TLF327719:TLF327721 TVB327719:TVB327721 UEX327719:UEX327721 UOT327719:UOT327721 UYP327719:UYP327721 VIL327719:VIL327721 VSH327719:VSH327721 WCD327719:WCD327721 WLZ327719:WLZ327721 WVV327719:WVV327721 N393255:N393257 JJ393255:JJ393257 TF393255:TF393257 ADB393255:ADB393257 AMX393255:AMX393257 AWT393255:AWT393257 BGP393255:BGP393257 BQL393255:BQL393257 CAH393255:CAH393257 CKD393255:CKD393257 CTZ393255:CTZ393257 DDV393255:DDV393257 DNR393255:DNR393257 DXN393255:DXN393257 EHJ393255:EHJ393257 ERF393255:ERF393257 FBB393255:FBB393257 FKX393255:FKX393257 FUT393255:FUT393257 GEP393255:GEP393257 GOL393255:GOL393257 GYH393255:GYH393257 HID393255:HID393257 HRZ393255:HRZ393257 IBV393255:IBV393257 ILR393255:ILR393257 IVN393255:IVN393257 JFJ393255:JFJ393257 JPF393255:JPF393257 JZB393255:JZB393257 KIX393255:KIX393257 KST393255:KST393257 LCP393255:LCP393257 LML393255:LML393257 LWH393255:LWH393257 MGD393255:MGD393257 MPZ393255:MPZ393257 MZV393255:MZV393257 NJR393255:NJR393257 NTN393255:NTN393257 ODJ393255:ODJ393257 ONF393255:ONF393257 OXB393255:OXB393257 PGX393255:PGX393257 PQT393255:PQT393257 QAP393255:QAP393257 QKL393255:QKL393257 QUH393255:QUH393257 RED393255:RED393257 RNZ393255:RNZ393257 RXV393255:RXV393257 SHR393255:SHR393257 SRN393255:SRN393257 TBJ393255:TBJ393257 TLF393255:TLF393257 TVB393255:TVB393257 UEX393255:UEX393257 UOT393255:UOT393257 UYP393255:UYP393257 VIL393255:VIL393257 VSH393255:VSH393257 WCD393255:WCD393257 WLZ393255:WLZ393257 WVV393255:WVV393257 N458791:N458793 JJ458791:JJ458793 TF458791:TF458793 ADB458791:ADB458793 AMX458791:AMX458793 AWT458791:AWT458793 BGP458791:BGP458793 BQL458791:BQL458793 CAH458791:CAH458793 CKD458791:CKD458793 CTZ458791:CTZ458793 DDV458791:DDV458793 DNR458791:DNR458793 DXN458791:DXN458793 EHJ458791:EHJ458793 ERF458791:ERF458793 FBB458791:FBB458793 FKX458791:FKX458793 FUT458791:FUT458793 GEP458791:GEP458793 GOL458791:GOL458793 GYH458791:GYH458793 HID458791:HID458793 HRZ458791:HRZ458793 IBV458791:IBV458793 ILR458791:ILR458793 IVN458791:IVN458793 JFJ458791:JFJ458793 JPF458791:JPF458793 JZB458791:JZB458793 KIX458791:KIX458793 KST458791:KST458793 LCP458791:LCP458793 LML458791:LML458793 LWH458791:LWH458793 MGD458791:MGD458793 MPZ458791:MPZ458793 MZV458791:MZV458793 NJR458791:NJR458793 NTN458791:NTN458793 ODJ458791:ODJ458793 ONF458791:ONF458793 OXB458791:OXB458793 PGX458791:PGX458793 PQT458791:PQT458793 QAP458791:QAP458793 QKL458791:QKL458793 QUH458791:QUH458793 RED458791:RED458793 RNZ458791:RNZ458793 RXV458791:RXV458793 SHR458791:SHR458793 SRN458791:SRN458793 TBJ458791:TBJ458793 TLF458791:TLF458793 TVB458791:TVB458793 UEX458791:UEX458793 UOT458791:UOT458793 UYP458791:UYP458793 VIL458791:VIL458793 VSH458791:VSH458793 WCD458791:WCD458793 WLZ458791:WLZ458793 WVV458791:WVV458793 N524327:N524329 JJ524327:JJ524329 TF524327:TF524329 ADB524327:ADB524329 AMX524327:AMX524329 AWT524327:AWT524329 BGP524327:BGP524329 BQL524327:BQL524329 CAH524327:CAH524329 CKD524327:CKD524329 CTZ524327:CTZ524329 DDV524327:DDV524329 DNR524327:DNR524329 DXN524327:DXN524329 EHJ524327:EHJ524329 ERF524327:ERF524329 FBB524327:FBB524329 FKX524327:FKX524329 FUT524327:FUT524329 GEP524327:GEP524329 GOL524327:GOL524329 GYH524327:GYH524329 HID524327:HID524329 HRZ524327:HRZ524329 IBV524327:IBV524329 ILR524327:ILR524329 IVN524327:IVN524329 JFJ524327:JFJ524329 JPF524327:JPF524329 JZB524327:JZB524329 KIX524327:KIX524329 KST524327:KST524329 LCP524327:LCP524329 LML524327:LML524329 LWH524327:LWH524329 MGD524327:MGD524329 MPZ524327:MPZ524329 MZV524327:MZV524329 NJR524327:NJR524329 NTN524327:NTN524329 ODJ524327:ODJ524329 ONF524327:ONF524329 OXB524327:OXB524329 PGX524327:PGX524329 PQT524327:PQT524329 QAP524327:QAP524329 QKL524327:QKL524329 QUH524327:QUH524329 RED524327:RED524329 RNZ524327:RNZ524329 RXV524327:RXV524329 SHR524327:SHR524329 SRN524327:SRN524329 TBJ524327:TBJ524329 TLF524327:TLF524329 TVB524327:TVB524329 UEX524327:UEX524329 UOT524327:UOT524329 UYP524327:UYP524329 VIL524327:VIL524329 VSH524327:VSH524329 WCD524327:WCD524329 WLZ524327:WLZ524329 WVV524327:WVV524329 N589863:N589865 JJ589863:JJ589865 TF589863:TF589865 ADB589863:ADB589865 AMX589863:AMX589865 AWT589863:AWT589865 BGP589863:BGP589865 BQL589863:BQL589865 CAH589863:CAH589865 CKD589863:CKD589865 CTZ589863:CTZ589865 DDV589863:DDV589865 DNR589863:DNR589865 DXN589863:DXN589865 EHJ589863:EHJ589865 ERF589863:ERF589865 FBB589863:FBB589865 FKX589863:FKX589865 FUT589863:FUT589865 GEP589863:GEP589865 GOL589863:GOL589865 GYH589863:GYH589865 HID589863:HID589865 HRZ589863:HRZ589865 IBV589863:IBV589865 ILR589863:ILR589865 IVN589863:IVN589865 JFJ589863:JFJ589865 JPF589863:JPF589865 JZB589863:JZB589865 KIX589863:KIX589865 KST589863:KST589865 LCP589863:LCP589865 LML589863:LML589865 LWH589863:LWH589865 MGD589863:MGD589865 MPZ589863:MPZ589865 MZV589863:MZV589865 NJR589863:NJR589865 NTN589863:NTN589865 ODJ589863:ODJ589865 ONF589863:ONF589865 OXB589863:OXB589865 PGX589863:PGX589865 PQT589863:PQT589865 QAP589863:QAP589865 QKL589863:QKL589865 QUH589863:QUH589865 RED589863:RED589865 RNZ589863:RNZ589865 RXV589863:RXV589865 SHR589863:SHR589865 SRN589863:SRN589865 TBJ589863:TBJ589865 TLF589863:TLF589865 TVB589863:TVB589865 UEX589863:UEX589865 UOT589863:UOT589865 UYP589863:UYP589865 VIL589863:VIL589865 VSH589863:VSH589865 WCD589863:WCD589865 WLZ589863:WLZ589865 WVV589863:WVV589865 N655399:N655401 JJ655399:JJ655401 TF655399:TF655401 ADB655399:ADB655401 AMX655399:AMX655401 AWT655399:AWT655401 BGP655399:BGP655401 BQL655399:BQL655401 CAH655399:CAH655401 CKD655399:CKD655401 CTZ655399:CTZ655401 DDV655399:DDV655401 DNR655399:DNR655401 DXN655399:DXN655401 EHJ655399:EHJ655401 ERF655399:ERF655401 FBB655399:FBB655401 FKX655399:FKX655401 FUT655399:FUT655401 GEP655399:GEP655401 GOL655399:GOL655401 GYH655399:GYH655401 HID655399:HID655401 HRZ655399:HRZ655401 IBV655399:IBV655401 ILR655399:ILR655401 IVN655399:IVN655401 JFJ655399:JFJ655401 JPF655399:JPF655401 JZB655399:JZB655401 KIX655399:KIX655401 KST655399:KST655401 LCP655399:LCP655401 LML655399:LML655401 LWH655399:LWH655401 MGD655399:MGD655401 MPZ655399:MPZ655401 MZV655399:MZV655401 NJR655399:NJR655401 NTN655399:NTN655401 ODJ655399:ODJ655401 ONF655399:ONF655401 OXB655399:OXB655401 PGX655399:PGX655401 PQT655399:PQT655401 QAP655399:QAP655401 QKL655399:QKL655401 QUH655399:QUH655401 RED655399:RED655401 RNZ655399:RNZ655401 RXV655399:RXV655401 SHR655399:SHR655401 SRN655399:SRN655401 TBJ655399:TBJ655401 TLF655399:TLF655401 TVB655399:TVB655401 UEX655399:UEX655401 UOT655399:UOT655401 UYP655399:UYP655401 VIL655399:VIL655401 VSH655399:VSH655401 WCD655399:WCD655401 WLZ655399:WLZ655401 WVV655399:WVV655401 N720935:N720937 JJ720935:JJ720937 TF720935:TF720937 ADB720935:ADB720937 AMX720935:AMX720937 AWT720935:AWT720937 BGP720935:BGP720937 BQL720935:BQL720937 CAH720935:CAH720937 CKD720935:CKD720937 CTZ720935:CTZ720937 DDV720935:DDV720937 DNR720935:DNR720937 DXN720935:DXN720937 EHJ720935:EHJ720937 ERF720935:ERF720937 FBB720935:FBB720937 FKX720935:FKX720937 FUT720935:FUT720937 GEP720935:GEP720937 GOL720935:GOL720937 GYH720935:GYH720937 HID720935:HID720937 HRZ720935:HRZ720937 IBV720935:IBV720937 ILR720935:ILR720937 IVN720935:IVN720937 JFJ720935:JFJ720937 JPF720935:JPF720937 JZB720935:JZB720937 KIX720935:KIX720937 KST720935:KST720937 LCP720935:LCP720937 LML720935:LML720937 LWH720935:LWH720937 MGD720935:MGD720937 MPZ720935:MPZ720937 MZV720935:MZV720937 NJR720935:NJR720937 NTN720935:NTN720937 ODJ720935:ODJ720937 ONF720935:ONF720937 OXB720935:OXB720937 PGX720935:PGX720937 PQT720935:PQT720937 QAP720935:QAP720937 QKL720935:QKL720937 QUH720935:QUH720937 RED720935:RED720937 RNZ720935:RNZ720937 RXV720935:RXV720937 SHR720935:SHR720937 SRN720935:SRN720937 TBJ720935:TBJ720937 TLF720935:TLF720937 TVB720935:TVB720937 UEX720935:UEX720937 UOT720935:UOT720937 UYP720935:UYP720937 VIL720935:VIL720937 VSH720935:VSH720937 WCD720935:WCD720937 WLZ720935:WLZ720937 WVV720935:WVV720937 N786471:N786473 JJ786471:JJ786473 TF786471:TF786473 ADB786471:ADB786473 AMX786471:AMX786473 AWT786471:AWT786473 BGP786471:BGP786473 BQL786471:BQL786473 CAH786471:CAH786473 CKD786471:CKD786473 CTZ786471:CTZ786473 DDV786471:DDV786473 DNR786471:DNR786473 DXN786471:DXN786473 EHJ786471:EHJ786473 ERF786471:ERF786473 FBB786471:FBB786473 FKX786471:FKX786473 FUT786471:FUT786473 GEP786471:GEP786473 GOL786471:GOL786473 GYH786471:GYH786473 HID786471:HID786473 HRZ786471:HRZ786473 IBV786471:IBV786473 ILR786471:ILR786473 IVN786471:IVN786473 JFJ786471:JFJ786473 JPF786471:JPF786473 JZB786471:JZB786473 KIX786471:KIX786473 KST786471:KST786473 LCP786471:LCP786473 LML786471:LML786473 LWH786471:LWH786473 MGD786471:MGD786473 MPZ786471:MPZ786473 MZV786471:MZV786473 NJR786471:NJR786473 NTN786471:NTN786473 ODJ786471:ODJ786473 ONF786471:ONF786473 OXB786471:OXB786473 PGX786471:PGX786473 PQT786471:PQT786473 QAP786471:QAP786473 QKL786471:QKL786473 QUH786471:QUH786473 RED786471:RED786473 RNZ786471:RNZ786473 RXV786471:RXV786473 SHR786471:SHR786473 SRN786471:SRN786473 TBJ786471:TBJ786473 TLF786471:TLF786473 TVB786471:TVB786473 UEX786471:UEX786473 UOT786471:UOT786473 UYP786471:UYP786473 VIL786471:VIL786473 VSH786471:VSH786473 WCD786471:WCD786473 WLZ786471:WLZ786473 WVV786471:WVV786473 N852007:N852009 JJ852007:JJ852009 TF852007:TF852009 ADB852007:ADB852009 AMX852007:AMX852009 AWT852007:AWT852009 BGP852007:BGP852009 BQL852007:BQL852009 CAH852007:CAH852009 CKD852007:CKD852009 CTZ852007:CTZ852009 DDV852007:DDV852009 DNR852007:DNR852009 DXN852007:DXN852009 EHJ852007:EHJ852009 ERF852007:ERF852009 FBB852007:FBB852009 FKX852007:FKX852009 FUT852007:FUT852009 GEP852007:GEP852009 GOL852007:GOL852009 GYH852007:GYH852009 HID852007:HID852009 HRZ852007:HRZ852009 IBV852007:IBV852009 ILR852007:ILR852009 IVN852007:IVN852009 JFJ852007:JFJ852009 JPF852007:JPF852009 JZB852007:JZB852009 KIX852007:KIX852009 KST852007:KST852009 LCP852007:LCP852009 LML852007:LML852009 LWH852007:LWH852009 MGD852007:MGD852009 MPZ852007:MPZ852009 MZV852007:MZV852009 NJR852007:NJR852009 NTN852007:NTN852009 ODJ852007:ODJ852009 ONF852007:ONF852009 OXB852007:OXB852009 PGX852007:PGX852009 PQT852007:PQT852009 QAP852007:QAP852009 QKL852007:QKL852009 QUH852007:QUH852009 RED852007:RED852009 RNZ852007:RNZ852009 RXV852007:RXV852009 SHR852007:SHR852009 SRN852007:SRN852009 TBJ852007:TBJ852009 TLF852007:TLF852009 TVB852007:TVB852009 UEX852007:UEX852009 UOT852007:UOT852009 UYP852007:UYP852009 VIL852007:VIL852009 VSH852007:VSH852009 WCD852007:WCD852009 WLZ852007:WLZ852009 WVV852007:WVV852009 N917543:N917545 JJ917543:JJ917545 TF917543:TF917545 ADB917543:ADB917545 AMX917543:AMX917545 AWT917543:AWT917545 BGP917543:BGP917545 BQL917543:BQL917545 CAH917543:CAH917545 CKD917543:CKD917545 CTZ917543:CTZ917545 DDV917543:DDV917545 DNR917543:DNR917545 DXN917543:DXN917545 EHJ917543:EHJ917545 ERF917543:ERF917545 FBB917543:FBB917545 FKX917543:FKX917545 FUT917543:FUT917545 GEP917543:GEP917545 GOL917543:GOL917545 GYH917543:GYH917545 HID917543:HID917545 HRZ917543:HRZ917545 IBV917543:IBV917545 ILR917543:ILR917545 IVN917543:IVN917545 JFJ917543:JFJ917545 JPF917543:JPF917545 JZB917543:JZB917545 KIX917543:KIX917545 KST917543:KST917545 LCP917543:LCP917545 LML917543:LML917545 LWH917543:LWH917545 MGD917543:MGD917545 MPZ917543:MPZ917545 MZV917543:MZV917545 NJR917543:NJR917545 NTN917543:NTN917545 ODJ917543:ODJ917545 ONF917543:ONF917545 OXB917543:OXB917545 PGX917543:PGX917545 PQT917543:PQT917545 QAP917543:QAP917545 QKL917543:QKL917545 QUH917543:QUH917545 RED917543:RED917545 RNZ917543:RNZ917545 RXV917543:RXV917545 SHR917543:SHR917545 SRN917543:SRN917545 TBJ917543:TBJ917545 TLF917543:TLF917545 TVB917543:TVB917545 UEX917543:UEX917545 UOT917543:UOT917545 UYP917543:UYP917545 VIL917543:VIL917545 VSH917543:VSH917545 WCD917543:WCD917545 WLZ917543:WLZ917545 WVV917543:WVV917545 N983079:N983081 JJ983079:JJ983081 TF983079:TF983081 ADB983079:ADB983081 AMX983079:AMX983081 AWT983079:AWT983081 BGP983079:BGP983081 BQL983079:BQL983081 CAH983079:CAH983081 CKD983079:CKD983081 CTZ983079:CTZ983081 DDV983079:DDV983081 DNR983079:DNR983081 DXN983079:DXN983081 EHJ983079:EHJ983081 ERF983079:ERF983081 FBB983079:FBB983081 FKX983079:FKX983081 FUT983079:FUT983081 GEP983079:GEP983081 GOL983079:GOL983081 GYH983079:GYH983081 HID983079:HID983081 HRZ983079:HRZ983081 IBV983079:IBV983081 ILR983079:ILR983081 IVN983079:IVN983081 JFJ983079:JFJ983081 JPF983079:JPF983081 JZB983079:JZB983081 KIX983079:KIX983081 KST983079:KST983081 LCP983079:LCP983081 LML983079:LML983081 LWH983079:LWH983081 MGD983079:MGD983081 MPZ983079:MPZ983081 MZV983079:MZV983081 NJR983079:NJR983081 NTN983079:NTN983081 ODJ983079:ODJ983081 ONF983079:ONF983081 OXB983079:OXB983081 PGX983079:PGX983081 PQT983079:PQT983081 QAP983079:QAP983081 QKL983079:QKL983081 QUH983079:QUH983081 RED983079:RED983081 RNZ983079:RNZ983081 RXV983079:RXV983081 SHR983079:SHR983081 SRN983079:SRN983081 TBJ983079:TBJ983081 TLF983079:TLF983081 TVB983079:TVB983081 UEX983079:UEX983081 UOT983079:UOT983081 UYP983079:UYP983081 VIL983079:VIL983081 VSH983079:VSH983081 WCD983079:WCD983081 WLZ983079:WLZ983081 WVV983079:WVV983081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3 JJ65573 TF65573 ADB65573 AMX65573 AWT65573 BGP65573 BQL65573 CAH65573 CKD65573 CTZ65573 DDV65573 DNR65573 DXN65573 EHJ65573 ERF65573 FBB65573 FKX65573 FUT65573 GEP65573 GOL65573 GYH65573 HID65573 HRZ65573 IBV65573 ILR65573 IVN65573 JFJ65573 JPF65573 JZB65573 KIX65573 KST65573 LCP65573 LML65573 LWH65573 MGD65573 MPZ65573 MZV65573 NJR65573 NTN65573 ODJ65573 ONF65573 OXB65573 PGX65573 PQT65573 QAP65573 QKL65573 QUH65573 RED65573 RNZ65573 RXV65573 SHR65573 SRN65573 TBJ65573 TLF65573 TVB65573 UEX65573 UOT65573 UYP65573 VIL65573 VSH65573 WCD65573 WLZ65573 WVV65573 N131109 JJ131109 TF131109 ADB131109 AMX131109 AWT131109 BGP131109 BQL131109 CAH131109 CKD131109 CTZ131109 DDV131109 DNR131109 DXN131109 EHJ131109 ERF131109 FBB131109 FKX131109 FUT131109 GEP131109 GOL131109 GYH131109 HID131109 HRZ131109 IBV131109 ILR131109 IVN131109 JFJ131109 JPF131109 JZB131109 KIX131109 KST131109 LCP131109 LML131109 LWH131109 MGD131109 MPZ131109 MZV131109 NJR131109 NTN131109 ODJ131109 ONF131109 OXB131109 PGX131109 PQT131109 QAP131109 QKL131109 QUH131109 RED131109 RNZ131109 RXV131109 SHR131109 SRN131109 TBJ131109 TLF131109 TVB131109 UEX131109 UOT131109 UYP131109 VIL131109 VSH131109 WCD131109 WLZ131109 WVV131109 N196645 JJ196645 TF196645 ADB196645 AMX196645 AWT196645 BGP196645 BQL196645 CAH196645 CKD196645 CTZ196645 DDV196645 DNR196645 DXN196645 EHJ196645 ERF196645 FBB196645 FKX196645 FUT196645 GEP196645 GOL196645 GYH196645 HID196645 HRZ196645 IBV196645 ILR196645 IVN196645 JFJ196645 JPF196645 JZB196645 KIX196645 KST196645 LCP196645 LML196645 LWH196645 MGD196645 MPZ196645 MZV196645 NJR196645 NTN196645 ODJ196645 ONF196645 OXB196645 PGX196645 PQT196645 QAP196645 QKL196645 QUH196645 RED196645 RNZ196645 RXV196645 SHR196645 SRN196645 TBJ196645 TLF196645 TVB196645 UEX196645 UOT196645 UYP196645 VIL196645 VSH196645 WCD196645 WLZ196645 WVV196645 N262181 JJ262181 TF262181 ADB262181 AMX262181 AWT262181 BGP262181 BQL262181 CAH262181 CKD262181 CTZ262181 DDV262181 DNR262181 DXN262181 EHJ262181 ERF262181 FBB262181 FKX262181 FUT262181 GEP262181 GOL262181 GYH262181 HID262181 HRZ262181 IBV262181 ILR262181 IVN262181 JFJ262181 JPF262181 JZB262181 KIX262181 KST262181 LCP262181 LML262181 LWH262181 MGD262181 MPZ262181 MZV262181 NJR262181 NTN262181 ODJ262181 ONF262181 OXB262181 PGX262181 PQT262181 QAP262181 QKL262181 QUH262181 RED262181 RNZ262181 RXV262181 SHR262181 SRN262181 TBJ262181 TLF262181 TVB262181 UEX262181 UOT262181 UYP262181 VIL262181 VSH262181 WCD262181 WLZ262181 WVV262181 N327717 JJ327717 TF327717 ADB327717 AMX327717 AWT327717 BGP327717 BQL327717 CAH327717 CKD327717 CTZ327717 DDV327717 DNR327717 DXN327717 EHJ327717 ERF327717 FBB327717 FKX327717 FUT327717 GEP327717 GOL327717 GYH327717 HID327717 HRZ327717 IBV327717 ILR327717 IVN327717 JFJ327717 JPF327717 JZB327717 KIX327717 KST327717 LCP327717 LML327717 LWH327717 MGD327717 MPZ327717 MZV327717 NJR327717 NTN327717 ODJ327717 ONF327717 OXB327717 PGX327717 PQT327717 QAP327717 QKL327717 QUH327717 RED327717 RNZ327717 RXV327717 SHR327717 SRN327717 TBJ327717 TLF327717 TVB327717 UEX327717 UOT327717 UYP327717 VIL327717 VSH327717 WCD327717 WLZ327717 WVV327717 N393253 JJ393253 TF393253 ADB393253 AMX393253 AWT393253 BGP393253 BQL393253 CAH393253 CKD393253 CTZ393253 DDV393253 DNR393253 DXN393253 EHJ393253 ERF393253 FBB393253 FKX393253 FUT393253 GEP393253 GOL393253 GYH393253 HID393253 HRZ393253 IBV393253 ILR393253 IVN393253 JFJ393253 JPF393253 JZB393253 KIX393253 KST393253 LCP393253 LML393253 LWH393253 MGD393253 MPZ393253 MZV393253 NJR393253 NTN393253 ODJ393253 ONF393253 OXB393253 PGX393253 PQT393253 QAP393253 QKL393253 QUH393253 RED393253 RNZ393253 RXV393253 SHR393253 SRN393253 TBJ393253 TLF393253 TVB393253 UEX393253 UOT393253 UYP393253 VIL393253 VSH393253 WCD393253 WLZ393253 WVV393253 N458789 JJ458789 TF458789 ADB458789 AMX458789 AWT458789 BGP458789 BQL458789 CAH458789 CKD458789 CTZ458789 DDV458789 DNR458789 DXN458789 EHJ458789 ERF458789 FBB458789 FKX458789 FUT458789 GEP458789 GOL458789 GYH458789 HID458789 HRZ458789 IBV458789 ILR458789 IVN458789 JFJ458789 JPF458789 JZB458789 KIX458789 KST458789 LCP458789 LML458789 LWH458789 MGD458789 MPZ458789 MZV458789 NJR458789 NTN458789 ODJ458789 ONF458789 OXB458789 PGX458789 PQT458789 QAP458789 QKL458789 QUH458789 RED458789 RNZ458789 RXV458789 SHR458789 SRN458789 TBJ458789 TLF458789 TVB458789 UEX458789 UOT458789 UYP458789 VIL458789 VSH458789 WCD458789 WLZ458789 WVV458789 N524325 JJ524325 TF524325 ADB524325 AMX524325 AWT524325 BGP524325 BQL524325 CAH524325 CKD524325 CTZ524325 DDV524325 DNR524325 DXN524325 EHJ524325 ERF524325 FBB524325 FKX524325 FUT524325 GEP524325 GOL524325 GYH524325 HID524325 HRZ524325 IBV524325 ILR524325 IVN524325 JFJ524325 JPF524325 JZB524325 KIX524325 KST524325 LCP524325 LML524325 LWH524325 MGD524325 MPZ524325 MZV524325 NJR524325 NTN524325 ODJ524325 ONF524325 OXB524325 PGX524325 PQT524325 QAP524325 QKL524325 QUH524325 RED524325 RNZ524325 RXV524325 SHR524325 SRN524325 TBJ524325 TLF524325 TVB524325 UEX524325 UOT524325 UYP524325 VIL524325 VSH524325 WCD524325 WLZ524325 WVV524325 N589861 JJ589861 TF589861 ADB589861 AMX589861 AWT589861 BGP589861 BQL589861 CAH589861 CKD589861 CTZ589861 DDV589861 DNR589861 DXN589861 EHJ589861 ERF589861 FBB589861 FKX589861 FUT589861 GEP589861 GOL589861 GYH589861 HID589861 HRZ589861 IBV589861 ILR589861 IVN589861 JFJ589861 JPF589861 JZB589861 KIX589861 KST589861 LCP589861 LML589861 LWH589861 MGD589861 MPZ589861 MZV589861 NJR589861 NTN589861 ODJ589861 ONF589861 OXB589861 PGX589861 PQT589861 QAP589861 QKL589861 QUH589861 RED589861 RNZ589861 RXV589861 SHR589861 SRN589861 TBJ589861 TLF589861 TVB589861 UEX589861 UOT589861 UYP589861 VIL589861 VSH589861 WCD589861 WLZ589861 WVV589861 N655397 JJ655397 TF655397 ADB655397 AMX655397 AWT655397 BGP655397 BQL655397 CAH655397 CKD655397 CTZ655397 DDV655397 DNR655397 DXN655397 EHJ655397 ERF655397 FBB655397 FKX655397 FUT655397 GEP655397 GOL655397 GYH655397 HID655397 HRZ655397 IBV655397 ILR655397 IVN655397 JFJ655397 JPF655397 JZB655397 KIX655397 KST655397 LCP655397 LML655397 LWH655397 MGD655397 MPZ655397 MZV655397 NJR655397 NTN655397 ODJ655397 ONF655397 OXB655397 PGX655397 PQT655397 QAP655397 QKL655397 QUH655397 RED655397 RNZ655397 RXV655397 SHR655397 SRN655397 TBJ655397 TLF655397 TVB655397 UEX655397 UOT655397 UYP655397 VIL655397 VSH655397 WCD655397 WLZ655397 WVV655397 N720933 JJ720933 TF720933 ADB720933 AMX720933 AWT720933 BGP720933 BQL720933 CAH720933 CKD720933 CTZ720933 DDV720933 DNR720933 DXN720933 EHJ720933 ERF720933 FBB720933 FKX720933 FUT720933 GEP720933 GOL720933 GYH720933 HID720933 HRZ720933 IBV720933 ILR720933 IVN720933 JFJ720933 JPF720933 JZB720933 KIX720933 KST720933 LCP720933 LML720933 LWH720933 MGD720933 MPZ720933 MZV720933 NJR720933 NTN720933 ODJ720933 ONF720933 OXB720933 PGX720933 PQT720933 QAP720933 QKL720933 QUH720933 RED720933 RNZ720933 RXV720933 SHR720933 SRN720933 TBJ720933 TLF720933 TVB720933 UEX720933 UOT720933 UYP720933 VIL720933 VSH720933 WCD720933 WLZ720933 WVV720933 N786469 JJ786469 TF786469 ADB786469 AMX786469 AWT786469 BGP786469 BQL786469 CAH786469 CKD786469 CTZ786469 DDV786469 DNR786469 DXN786469 EHJ786469 ERF786469 FBB786469 FKX786469 FUT786469 GEP786469 GOL786469 GYH786469 HID786469 HRZ786469 IBV786469 ILR786469 IVN786469 JFJ786469 JPF786469 JZB786469 KIX786469 KST786469 LCP786469 LML786469 LWH786469 MGD786469 MPZ786469 MZV786469 NJR786469 NTN786469 ODJ786469 ONF786469 OXB786469 PGX786469 PQT786469 QAP786469 QKL786469 QUH786469 RED786469 RNZ786469 RXV786469 SHR786469 SRN786469 TBJ786469 TLF786469 TVB786469 UEX786469 UOT786469 UYP786469 VIL786469 VSH786469 WCD786469 WLZ786469 WVV786469 N852005 JJ852005 TF852005 ADB852005 AMX852005 AWT852005 BGP852005 BQL852005 CAH852005 CKD852005 CTZ852005 DDV852005 DNR852005 DXN852005 EHJ852005 ERF852005 FBB852005 FKX852005 FUT852005 GEP852005 GOL852005 GYH852005 HID852005 HRZ852005 IBV852005 ILR852005 IVN852005 JFJ852005 JPF852005 JZB852005 KIX852005 KST852005 LCP852005 LML852005 LWH852005 MGD852005 MPZ852005 MZV852005 NJR852005 NTN852005 ODJ852005 ONF852005 OXB852005 PGX852005 PQT852005 QAP852005 QKL852005 QUH852005 RED852005 RNZ852005 RXV852005 SHR852005 SRN852005 TBJ852005 TLF852005 TVB852005 UEX852005 UOT852005 UYP852005 VIL852005 VSH852005 WCD852005 WLZ852005 WVV852005 N917541 JJ917541 TF917541 ADB917541 AMX917541 AWT917541 BGP917541 BQL917541 CAH917541 CKD917541 CTZ917541 DDV917541 DNR917541 DXN917541 EHJ917541 ERF917541 FBB917541 FKX917541 FUT917541 GEP917541 GOL917541 GYH917541 HID917541 HRZ917541 IBV917541 ILR917541 IVN917541 JFJ917541 JPF917541 JZB917541 KIX917541 KST917541 LCP917541 LML917541 LWH917541 MGD917541 MPZ917541 MZV917541 NJR917541 NTN917541 ODJ917541 ONF917541 OXB917541 PGX917541 PQT917541 QAP917541 QKL917541 QUH917541 RED917541 RNZ917541 RXV917541 SHR917541 SRN917541 TBJ917541 TLF917541 TVB917541 UEX917541 UOT917541 UYP917541 VIL917541 VSH917541 WCD917541 WLZ917541 WVV917541 N983077 JJ983077 TF983077 ADB983077 AMX983077 AWT983077 BGP983077 BQL983077 CAH983077 CKD983077 CTZ983077 DDV983077 DNR983077 DXN983077 EHJ983077 ERF983077 FBB983077 FKX983077 FUT983077 GEP983077 GOL983077 GYH983077 HID983077 HRZ983077 IBV983077 ILR983077 IVN983077 JFJ983077 JPF983077 JZB983077 KIX983077 KST983077 LCP983077 LML983077 LWH983077 MGD983077 MPZ983077 MZV983077 NJR983077 NTN983077 ODJ983077 ONF983077 OXB983077 PGX983077 PQT983077 QAP983077 QKL983077 QUH983077 RED983077 RNZ983077 RXV983077 SHR983077 SRN983077 TBJ983077 TLF983077 TVB983077 UEX983077 UOT983077 UYP983077 VIL983077 VSH983077 WCD983077 WLZ983077 WVV983077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57:N65565 JJ65557:JJ65565 TF65557:TF65565 ADB65557:ADB65565 AMX65557:AMX65565 AWT65557:AWT65565 BGP65557:BGP65565 BQL65557:BQL65565 CAH65557:CAH65565 CKD65557:CKD65565 CTZ65557:CTZ65565 DDV65557:DDV65565 DNR65557:DNR65565 DXN65557:DXN65565 EHJ65557:EHJ65565 ERF65557:ERF65565 FBB65557:FBB65565 FKX65557:FKX65565 FUT65557:FUT65565 GEP65557:GEP65565 GOL65557:GOL65565 GYH65557:GYH65565 HID65557:HID65565 HRZ65557:HRZ65565 IBV65557:IBV65565 ILR65557:ILR65565 IVN65557:IVN65565 JFJ65557:JFJ65565 JPF65557:JPF65565 JZB65557:JZB65565 KIX65557:KIX65565 KST65557:KST65565 LCP65557:LCP65565 LML65557:LML65565 LWH65557:LWH65565 MGD65557:MGD65565 MPZ65557:MPZ65565 MZV65557:MZV65565 NJR65557:NJR65565 NTN65557:NTN65565 ODJ65557:ODJ65565 ONF65557:ONF65565 OXB65557:OXB65565 PGX65557:PGX65565 PQT65557:PQT65565 QAP65557:QAP65565 QKL65557:QKL65565 QUH65557:QUH65565 RED65557:RED65565 RNZ65557:RNZ65565 RXV65557:RXV65565 SHR65557:SHR65565 SRN65557:SRN65565 TBJ65557:TBJ65565 TLF65557:TLF65565 TVB65557:TVB65565 UEX65557:UEX65565 UOT65557:UOT65565 UYP65557:UYP65565 VIL65557:VIL65565 VSH65557:VSH65565 WCD65557:WCD65565 WLZ65557:WLZ65565 WVV65557:WVV65565 N131093:N131101 JJ131093:JJ131101 TF131093:TF131101 ADB131093:ADB131101 AMX131093:AMX131101 AWT131093:AWT131101 BGP131093:BGP131101 BQL131093:BQL131101 CAH131093:CAH131101 CKD131093:CKD131101 CTZ131093:CTZ131101 DDV131093:DDV131101 DNR131093:DNR131101 DXN131093:DXN131101 EHJ131093:EHJ131101 ERF131093:ERF131101 FBB131093:FBB131101 FKX131093:FKX131101 FUT131093:FUT131101 GEP131093:GEP131101 GOL131093:GOL131101 GYH131093:GYH131101 HID131093:HID131101 HRZ131093:HRZ131101 IBV131093:IBV131101 ILR131093:ILR131101 IVN131093:IVN131101 JFJ131093:JFJ131101 JPF131093:JPF131101 JZB131093:JZB131101 KIX131093:KIX131101 KST131093:KST131101 LCP131093:LCP131101 LML131093:LML131101 LWH131093:LWH131101 MGD131093:MGD131101 MPZ131093:MPZ131101 MZV131093:MZV131101 NJR131093:NJR131101 NTN131093:NTN131101 ODJ131093:ODJ131101 ONF131093:ONF131101 OXB131093:OXB131101 PGX131093:PGX131101 PQT131093:PQT131101 QAP131093:QAP131101 QKL131093:QKL131101 QUH131093:QUH131101 RED131093:RED131101 RNZ131093:RNZ131101 RXV131093:RXV131101 SHR131093:SHR131101 SRN131093:SRN131101 TBJ131093:TBJ131101 TLF131093:TLF131101 TVB131093:TVB131101 UEX131093:UEX131101 UOT131093:UOT131101 UYP131093:UYP131101 VIL131093:VIL131101 VSH131093:VSH131101 WCD131093:WCD131101 WLZ131093:WLZ131101 WVV131093:WVV131101 N196629:N196637 JJ196629:JJ196637 TF196629:TF196637 ADB196629:ADB196637 AMX196629:AMX196637 AWT196629:AWT196637 BGP196629:BGP196637 BQL196629:BQL196637 CAH196629:CAH196637 CKD196629:CKD196637 CTZ196629:CTZ196637 DDV196629:DDV196637 DNR196629:DNR196637 DXN196629:DXN196637 EHJ196629:EHJ196637 ERF196629:ERF196637 FBB196629:FBB196637 FKX196629:FKX196637 FUT196629:FUT196637 GEP196629:GEP196637 GOL196629:GOL196637 GYH196629:GYH196637 HID196629:HID196637 HRZ196629:HRZ196637 IBV196629:IBV196637 ILR196629:ILR196637 IVN196629:IVN196637 JFJ196629:JFJ196637 JPF196629:JPF196637 JZB196629:JZB196637 KIX196629:KIX196637 KST196629:KST196637 LCP196629:LCP196637 LML196629:LML196637 LWH196629:LWH196637 MGD196629:MGD196637 MPZ196629:MPZ196637 MZV196629:MZV196637 NJR196629:NJR196637 NTN196629:NTN196637 ODJ196629:ODJ196637 ONF196629:ONF196637 OXB196629:OXB196637 PGX196629:PGX196637 PQT196629:PQT196637 QAP196629:QAP196637 QKL196629:QKL196637 QUH196629:QUH196637 RED196629:RED196637 RNZ196629:RNZ196637 RXV196629:RXV196637 SHR196629:SHR196637 SRN196629:SRN196637 TBJ196629:TBJ196637 TLF196629:TLF196637 TVB196629:TVB196637 UEX196629:UEX196637 UOT196629:UOT196637 UYP196629:UYP196637 VIL196629:VIL196637 VSH196629:VSH196637 WCD196629:WCD196637 WLZ196629:WLZ196637 WVV196629:WVV196637 N262165:N262173 JJ262165:JJ262173 TF262165:TF262173 ADB262165:ADB262173 AMX262165:AMX262173 AWT262165:AWT262173 BGP262165:BGP262173 BQL262165:BQL262173 CAH262165:CAH262173 CKD262165:CKD262173 CTZ262165:CTZ262173 DDV262165:DDV262173 DNR262165:DNR262173 DXN262165:DXN262173 EHJ262165:EHJ262173 ERF262165:ERF262173 FBB262165:FBB262173 FKX262165:FKX262173 FUT262165:FUT262173 GEP262165:GEP262173 GOL262165:GOL262173 GYH262165:GYH262173 HID262165:HID262173 HRZ262165:HRZ262173 IBV262165:IBV262173 ILR262165:ILR262173 IVN262165:IVN262173 JFJ262165:JFJ262173 JPF262165:JPF262173 JZB262165:JZB262173 KIX262165:KIX262173 KST262165:KST262173 LCP262165:LCP262173 LML262165:LML262173 LWH262165:LWH262173 MGD262165:MGD262173 MPZ262165:MPZ262173 MZV262165:MZV262173 NJR262165:NJR262173 NTN262165:NTN262173 ODJ262165:ODJ262173 ONF262165:ONF262173 OXB262165:OXB262173 PGX262165:PGX262173 PQT262165:PQT262173 QAP262165:QAP262173 QKL262165:QKL262173 QUH262165:QUH262173 RED262165:RED262173 RNZ262165:RNZ262173 RXV262165:RXV262173 SHR262165:SHR262173 SRN262165:SRN262173 TBJ262165:TBJ262173 TLF262165:TLF262173 TVB262165:TVB262173 UEX262165:UEX262173 UOT262165:UOT262173 UYP262165:UYP262173 VIL262165:VIL262173 VSH262165:VSH262173 WCD262165:WCD262173 WLZ262165:WLZ262173 WVV262165:WVV262173 N327701:N327709 JJ327701:JJ327709 TF327701:TF327709 ADB327701:ADB327709 AMX327701:AMX327709 AWT327701:AWT327709 BGP327701:BGP327709 BQL327701:BQL327709 CAH327701:CAH327709 CKD327701:CKD327709 CTZ327701:CTZ327709 DDV327701:DDV327709 DNR327701:DNR327709 DXN327701:DXN327709 EHJ327701:EHJ327709 ERF327701:ERF327709 FBB327701:FBB327709 FKX327701:FKX327709 FUT327701:FUT327709 GEP327701:GEP327709 GOL327701:GOL327709 GYH327701:GYH327709 HID327701:HID327709 HRZ327701:HRZ327709 IBV327701:IBV327709 ILR327701:ILR327709 IVN327701:IVN327709 JFJ327701:JFJ327709 JPF327701:JPF327709 JZB327701:JZB327709 KIX327701:KIX327709 KST327701:KST327709 LCP327701:LCP327709 LML327701:LML327709 LWH327701:LWH327709 MGD327701:MGD327709 MPZ327701:MPZ327709 MZV327701:MZV327709 NJR327701:NJR327709 NTN327701:NTN327709 ODJ327701:ODJ327709 ONF327701:ONF327709 OXB327701:OXB327709 PGX327701:PGX327709 PQT327701:PQT327709 QAP327701:QAP327709 QKL327701:QKL327709 QUH327701:QUH327709 RED327701:RED327709 RNZ327701:RNZ327709 RXV327701:RXV327709 SHR327701:SHR327709 SRN327701:SRN327709 TBJ327701:TBJ327709 TLF327701:TLF327709 TVB327701:TVB327709 UEX327701:UEX327709 UOT327701:UOT327709 UYP327701:UYP327709 VIL327701:VIL327709 VSH327701:VSH327709 WCD327701:WCD327709 WLZ327701:WLZ327709 WVV327701:WVV327709 N393237:N393245 JJ393237:JJ393245 TF393237:TF393245 ADB393237:ADB393245 AMX393237:AMX393245 AWT393237:AWT393245 BGP393237:BGP393245 BQL393237:BQL393245 CAH393237:CAH393245 CKD393237:CKD393245 CTZ393237:CTZ393245 DDV393237:DDV393245 DNR393237:DNR393245 DXN393237:DXN393245 EHJ393237:EHJ393245 ERF393237:ERF393245 FBB393237:FBB393245 FKX393237:FKX393245 FUT393237:FUT393245 GEP393237:GEP393245 GOL393237:GOL393245 GYH393237:GYH393245 HID393237:HID393245 HRZ393237:HRZ393245 IBV393237:IBV393245 ILR393237:ILR393245 IVN393237:IVN393245 JFJ393237:JFJ393245 JPF393237:JPF393245 JZB393237:JZB393245 KIX393237:KIX393245 KST393237:KST393245 LCP393237:LCP393245 LML393237:LML393245 LWH393237:LWH393245 MGD393237:MGD393245 MPZ393237:MPZ393245 MZV393237:MZV393245 NJR393237:NJR393245 NTN393237:NTN393245 ODJ393237:ODJ393245 ONF393237:ONF393245 OXB393237:OXB393245 PGX393237:PGX393245 PQT393237:PQT393245 QAP393237:QAP393245 QKL393237:QKL393245 QUH393237:QUH393245 RED393237:RED393245 RNZ393237:RNZ393245 RXV393237:RXV393245 SHR393237:SHR393245 SRN393237:SRN393245 TBJ393237:TBJ393245 TLF393237:TLF393245 TVB393237:TVB393245 UEX393237:UEX393245 UOT393237:UOT393245 UYP393237:UYP393245 VIL393237:VIL393245 VSH393237:VSH393245 WCD393237:WCD393245 WLZ393237:WLZ393245 WVV393237:WVV393245 N458773:N458781 JJ458773:JJ458781 TF458773:TF458781 ADB458773:ADB458781 AMX458773:AMX458781 AWT458773:AWT458781 BGP458773:BGP458781 BQL458773:BQL458781 CAH458773:CAH458781 CKD458773:CKD458781 CTZ458773:CTZ458781 DDV458773:DDV458781 DNR458773:DNR458781 DXN458773:DXN458781 EHJ458773:EHJ458781 ERF458773:ERF458781 FBB458773:FBB458781 FKX458773:FKX458781 FUT458773:FUT458781 GEP458773:GEP458781 GOL458773:GOL458781 GYH458773:GYH458781 HID458773:HID458781 HRZ458773:HRZ458781 IBV458773:IBV458781 ILR458773:ILR458781 IVN458773:IVN458781 JFJ458773:JFJ458781 JPF458773:JPF458781 JZB458773:JZB458781 KIX458773:KIX458781 KST458773:KST458781 LCP458773:LCP458781 LML458773:LML458781 LWH458773:LWH458781 MGD458773:MGD458781 MPZ458773:MPZ458781 MZV458773:MZV458781 NJR458773:NJR458781 NTN458773:NTN458781 ODJ458773:ODJ458781 ONF458773:ONF458781 OXB458773:OXB458781 PGX458773:PGX458781 PQT458773:PQT458781 QAP458773:QAP458781 QKL458773:QKL458781 QUH458773:QUH458781 RED458773:RED458781 RNZ458773:RNZ458781 RXV458773:RXV458781 SHR458773:SHR458781 SRN458773:SRN458781 TBJ458773:TBJ458781 TLF458773:TLF458781 TVB458773:TVB458781 UEX458773:UEX458781 UOT458773:UOT458781 UYP458773:UYP458781 VIL458773:VIL458781 VSH458773:VSH458781 WCD458773:WCD458781 WLZ458773:WLZ458781 WVV458773:WVV458781 N524309:N524317 JJ524309:JJ524317 TF524309:TF524317 ADB524309:ADB524317 AMX524309:AMX524317 AWT524309:AWT524317 BGP524309:BGP524317 BQL524309:BQL524317 CAH524309:CAH524317 CKD524309:CKD524317 CTZ524309:CTZ524317 DDV524309:DDV524317 DNR524309:DNR524317 DXN524309:DXN524317 EHJ524309:EHJ524317 ERF524309:ERF524317 FBB524309:FBB524317 FKX524309:FKX524317 FUT524309:FUT524317 GEP524309:GEP524317 GOL524309:GOL524317 GYH524309:GYH524317 HID524309:HID524317 HRZ524309:HRZ524317 IBV524309:IBV524317 ILR524309:ILR524317 IVN524309:IVN524317 JFJ524309:JFJ524317 JPF524309:JPF524317 JZB524309:JZB524317 KIX524309:KIX524317 KST524309:KST524317 LCP524309:LCP524317 LML524309:LML524317 LWH524309:LWH524317 MGD524309:MGD524317 MPZ524309:MPZ524317 MZV524309:MZV524317 NJR524309:NJR524317 NTN524309:NTN524317 ODJ524309:ODJ524317 ONF524309:ONF524317 OXB524309:OXB524317 PGX524309:PGX524317 PQT524309:PQT524317 QAP524309:QAP524317 QKL524309:QKL524317 QUH524309:QUH524317 RED524309:RED524317 RNZ524309:RNZ524317 RXV524309:RXV524317 SHR524309:SHR524317 SRN524309:SRN524317 TBJ524309:TBJ524317 TLF524309:TLF524317 TVB524309:TVB524317 UEX524309:UEX524317 UOT524309:UOT524317 UYP524309:UYP524317 VIL524309:VIL524317 VSH524309:VSH524317 WCD524309:WCD524317 WLZ524309:WLZ524317 WVV524309:WVV524317 N589845:N589853 JJ589845:JJ589853 TF589845:TF589853 ADB589845:ADB589853 AMX589845:AMX589853 AWT589845:AWT589853 BGP589845:BGP589853 BQL589845:BQL589853 CAH589845:CAH589853 CKD589845:CKD589853 CTZ589845:CTZ589853 DDV589845:DDV589853 DNR589845:DNR589853 DXN589845:DXN589853 EHJ589845:EHJ589853 ERF589845:ERF589853 FBB589845:FBB589853 FKX589845:FKX589853 FUT589845:FUT589853 GEP589845:GEP589853 GOL589845:GOL589853 GYH589845:GYH589853 HID589845:HID589853 HRZ589845:HRZ589853 IBV589845:IBV589853 ILR589845:ILR589853 IVN589845:IVN589853 JFJ589845:JFJ589853 JPF589845:JPF589853 JZB589845:JZB589853 KIX589845:KIX589853 KST589845:KST589853 LCP589845:LCP589853 LML589845:LML589853 LWH589845:LWH589853 MGD589845:MGD589853 MPZ589845:MPZ589853 MZV589845:MZV589853 NJR589845:NJR589853 NTN589845:NTN589853 ODJ589845:ODJ589853 ONF589845:ONF589853 OXB589845:OXB589853 PGX589845:PGX589853 PQT589845:PQT589853 QAP589845:QAP589853 QKL589845:QKL589853 QUH589845:QUH589853 RED589845:RED589853 RNZ589845:RNZ589853 RXV589845:RXV589853 SHR589845:SHR589853 SRN589845:SRN589853 TBJ589845:TBJ589853 TLF589845:TLF589853 TVB589845:TVB589853 UEX589845:UEX589853 UOT589845:UOT589853 UYP589845:UYP589853 VIL589845:VIL589853 VSH589845:VSH589853 WCD589845:WCD589853 WLZ589845:WLZ589853 WVV589845:WVV589853 N655381:N655389 JJ655381:JJ655389 TF655381:TF655389 ADB655381:ADB655389 AMX655381:AMX655389 AWT655381:AWT655389 BGP655381:BGP655389 BQL655381:BQL655389 CAH655381:CAH655389 CKD655381:CKD655389 CTZ655381:CTZ655389 DDV655381:DDV655389 DNR655381:DNR655389 DXN655381:DXN655389 EHJ655381:EHJ655389 ERF655381:ERF655389 FBB655381:FBB655389 FKX655381:FKX655389 FUT655381:FUT655389 GEP655381:GEP655389 GOL655381:GOL655389 GYH655381:GYH655389 HID655381:HID655389 HRZ655381:HRZ655389 IBV655381:IBV655389 ILR655381:ILR655389 IVN655381:IVN655389 JFJ655381:JFJ655389 JPF655381:JPF655389 JZB655381:JZB655389 KIX655381:KIX655389 KST655381:KST655389 LCP655381:LCP655389 LML655381:LML655389 LWH655381:LWH655389 MGD655381:MGD655389 MPZ655381:MPZ655389 MZV655381:MZV655389 NJR655381:NJR655389 NTN655381:NTN655389 ODJ655381:ODJ655389 ONF655381:ONF655389 OXB655381:OXB655389 PGX655381:PGX655389 PQT655381:PQT655389 QAP655381:QAP655389 QKL655381:QKL655389 QUH655381:QUH655389 RED655381:RED655389 RNZ655381:RNZ655389 RXV655381:RXV655389 SHR655381:SHR655389 SRN655381:SRN655389 TBJ655381:TBJ655389 TLF655381:TLF655389 TVB655381:TVB655389 UEX655381:UEX655389 UOT655381:UOT655389 UYP655381:UYP655389 VIL655381:VIL655389 VSH655381:VSH655389 WCD655381:WCD655389 WLZ655381:WLZ655389 WVV655381:WVV655389 N720917:N720925 JJ720917:JJ720925 TF720917:TF720925 ADB720917:ADB720925 AMX720917:AMX720925 AWT720917:AWT720925 BGP720917:BGP720925 BQL720917:BQL720925 CAH720917:CAH720925 CKD720917:CKD720925 CTZ720917:CTZ720925 DDV720917:DDV720925 DNR720917:DNR720925 DXN720917:DXN720925 EHJ720917:EHJ720925 ERF720917:ERF720925 FBB720917:FBB720925 FKX720917:FKX720925 FUT720917:FUT720925 GEP720917:GEP720925 GOL720917:GOL720925 GYH720917:GYH720925 HID720917:HID720925 HRZ720917:HRZ720925 IBV720917:IBV720925 ILR720917:ILR720925 IVN720917:IVN720925 JFJ720917:JFJ720925 JPF720917:JPF720925 JZB720917:JZB720925 KIX720917:KIX720925 KST720917:KST720925 LCP720917:LCP720925 LML720917:LML720925 LWH720917:LWH720925 MGD720917:MGD720925 MPZ720917:MPZ720925 MZV720917:MZV720925 NJR720917:NJR720925 NTN720917:NTN720925 ODJ720917:ODJ720925 ONF720917:ONF720925 OXB720917:OXB720925 PGX720917:PGX720925 PQT720917:PQT720925 QAP720917:QAP720925 QKL720917:QKL720925 QUH720917:QUH720925 RED720917:RED720925 RNZ720917:RNZ720925 RXV720917:RXV720925 SHR720917:SHR720925 SRN720917:SRN720925 TBJ720917:TBJ720925 TLF720917:TLF720925 TVB720917:TVB720925 UEX720917:UEX720925 UOT720917:UOT720925 UYP720917:UYP720925 VIL720917:VIL720925 VSH720917:VSH720925 WCD720917:WCD720925 WLZ720917:WLZ720925 WVV720917:WVV720925 N786453:N786461 JJ786453:JJ786461 TF786453:TF786461 ADB786453:ADB786461 AMX786453:AMX786461 AWT786453:AWT786461 BGP786453:BGP786461 BQL786453:BQL786461 CAH786453:CAH786461 CKD786453:CKD786461 CTZ786453:CTZ786461 DDV786453:DDV786461 DNR786453:DNR786461 DXN786453:DXN786461 EHJ786453:EHJ786461 ERF786453:ERF786461 FBB786453:FBB786461 FKX786453:FKX786461 FUT786453:FUT786461 GEP786453:GEP786461 GOL786453:GOL786461 GYH786453:GYH786461 HID786453:HID786461 HRZ786453:HRZ786461 IBV786453:IBV786461 ILR786453:ILR786461 IVN786453:IVN786461 JFJ786453:JFJ786461 JPF786453:JPF786461 JZB786453:JZB786461 KIX786453:KIX786461 KST786453:KST786461 LCP786453:LCP786461 LML786453:LML786461 LWH786453:LWH786461 MGD786453:MGD786461 MPZ786453:MPZ786461 MZV786453:MZV786461 NJR786453:NJR786461 NTN786453:NTN786461 ODJ786453:ODJ786461 ONF786453:ONF786461 OXB786453:OXB786461 PGX786453:PGX786461 PQT786453:PQT786461 QAP786453:QAP786461 QKL786453:QKL786461 QUH786453:QUH786461 RED786453:RED786461 RNZ786453:RNZ786461 RXV786453:RXV786461 SHR786453:SHR786461 SRN786453:SRN786461 TBJ786453:TBJ786461 TLF786453:TLF786461 TVB786453:TVB786461 UEX786453:UEX786461 UOT786453:UOT786461 UYP786453:UYP786461 VIL786453:VIL786461 VSH786453:VSH786461 WCD786453:WCD786461 WLZ786453:WLZ786461 WVV786453:WVV786461 N851989:N851997 JJ851989:JJ851997 TF851989:TF851997 ADB851989:ADB851997 AMX851989:AMX851997 AWT851989:AWT851997 BGP851989:BGP851997 BQL851989:BQL851997 CAH851989:CAH851997 CKD851989:CKD851997 CTZ851989:CTZ851997 DDV851989:DDV851997 DNR851989:DNR851997 DXN851989:DXN851997 EHJ851989:EHJ851997 ERF851989:ERF851997 FBB851989:FBB851997 FKX851989:FKX851997 FUT851989:FUT851997 GEP851989:GEP851997 GOL851989:GOL851997 GYH851989:GYH851997 HID851989:HID851997 HRZ851989:HRZ851997 IBV851989:IBV851997 ILR851989:ILR851997 IVN851989:IVN851997 JFJ851989:JFJ851997 JPF851989:JPF851997 JZB851989:JZB851997 KIX851989:KIX851997 KST851989:KST851997 LCP851989:LCP851997 LML851989:LML851997 LWH851989:LWH851997 MGD851989:MGD851997 MPZ851989:MPZ851997 MZV851989:MZV851997 NJR851989:NJR851997 NTN851989:NTN851997 ODJ851989:ODJ851997 ONF851989:ONF851997 OXB851989:OXB851997 PGX851989:PGX851997 PQT851989:PQT851997 QAP851989:QAP851997 QKL851989:QKL851997 QUH851989:QUH851997 RED851989:RED851997 RNZ851989:RNZ851997 RXV851989:RXV851997 SHR851989:SHR851997 SRN851989:SRN851997 TBJ851989:TBJ851997 TLF851989:TLF851997 TVB851989:TVB851997 UEX851989:UEX851997 UOT851989:UOT851997 UYP851989:UYP851997 VIL851989:VIL851997 VSH851989:VSH851997 WCD851989:WCD851997 WLZ851989:WLZ851997 WVV851989:WVV851997 N917525:N917533 JJ917525:JJ917533 TF917525:TF917533 ADB917525:ADB917533 AMX917525:AMX917533 AWT917525:AWT917533 BGP917525:BGP917533 BQL917525:BQL917533 CAH917525:CAH917533 CKD917525:CKD917533 CTZ917525:CTZ917533 DDV917525:DDV917533 DNR917525:DNR917533 DXN917525:DXN917533 EHJ917525:EHJ917533 ERF917525:ERF917533 FBB917525:FBB917533 FKX917525:FKX917533 FUT917525:FUT917533 GEP917525:GEP917533 GOL917525:GOL917533 GYH917525:GYH917533 HID917525:HID917533 HRZ917525:HRZ917533 IBV917525:IBV917533 ILR917525:ILR917533 IVN917525:IVN917533 JFJ917525:JFJ917533 JPF917525:JPF917533 JZB917525:JZB917533 KIX917525:KIX917533 KST917525:KST917533 LCP917525:LCP917533 LML917525:LML917533 LWH917525:LWH917533 MGD917525:MGD917533 MPZ917525:MPZ917533 MZV917525:MZV917533 NJR917525:NJR917533 NTN917525:NTN917533 ODJ917525:ODJ917533 ONF917525:ONF917533 OXB917525:OXB917533 PGX917525:PGX917533 PQT917525:PQT917533 QAP917525:QAP917533 QKL917525:QKL917533 QUH917525:QUH917533 RED917525:RED917533 RNZ917525:RNZ917533 RXV917525:RXV917533 SHR917525:SHR917533 SRN917525:SRN917533 TBJ917525:TBJ917533 TLF917525:TLF917533 TVB917525:TVB917533 UEX917525:UEX917533 UOT917525:UOT917533 UYP917525:UYP917533 VIL917525:VIL917533 VSH917525:VSH917533 WCD917525:WCD917533 WLZ917525:WLZ917533 WVV917525:WVV917533 N983061:N983069 JJ983061:JJ983069 TF983061:TF983069 ADB983061:ADB983069 AMX983061:AMX983069 AWT983061:AWT983069 BGP983061:BGP983069 BQL983061:BQL983069 CAH983061:CAH983069 CKD983061:CKD983069 CTZ983061:CTZ983069 DDV983061:DDV983069 DNR983061:DNR983069 DXN983061:DXN983069 EHJ983061:EHJ983069 ERF983061:ERF983069 FBB983061:FBB983069 FKX983061:FKX983069 FUT983061:FUT983069 GEP983061:GEP983069 GOL983061:GOL983069 GYH983061:GYH983069 HID983061:HID983069 HRZ983061:HRZ983069 IBV983061:IBV983069 ILR983061:ILR983069 IVN983061:IVN983069 JFJ983061:JFJ983069 JPF983061:JPF983069 JZB983061:JZB983069 KIX983061:KIX983069 KST983061:KST983069 LCP983061:LCP983069 LML983061:LML983069 LWH983061:LWH983069 MGD983061:MGD983069 MPZ983061:MPZ983069 MZV983061:MZV983069 NJR983061:NJR983069 NTN983061:NTN983069 ODJ983061:ODJ983069 ONF983061:ONF983069 OXB983061:OXB983069 PGX983061:PGX983069 PQT983061:PQT983069 QAP983061:QAP983069 QKL983061:QKL983069 QUH983061:QUH983069 RED983061:RED983069 RNZ983061:RNZ983069 RXV983061:RXV983069 SHR983061:SHR983069 SRN983061:SRN983069 TBJ983061:TBJ983069 TLF983061:TLF983069 TVB983061:TVB983069 UEX983061:UEX983069 UOT983061:UOT983069 UYP983061:UYP983069 VIL983061:VIL983069 VSH983061:VSH983069 WCD983061:WCD983069 WLZ983061:WLZ983069 WVV983061:WVV983069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67:N65571 JJ65567:JJ65571 TF65567:TF65571 ADB65567:ADB65571 AMX65567:AMX65571 AWT65567:AWT65571 BGP65567:BGP65571 BQL65567:BQL65571 CAH65567:CAH65571 CKD65567:CKD65571 CTZ65567:CTZ65571 DDV65567:DDV65571 DNR65567:DNR65571 DXN65567:DXN65571 EHJ65567:EHJ65571 ERF65567:ERF65571 FBB65567:FBB65571 FKX65567:FKX65571 FUT65567:FUT65571 GEP65567:GEP65571 GOL65567:GOL65571 GYH65567:GYH65571 HID65567:HID65571 HRZ65567:HRZ65571 IBV65567:IBV65571 ILR65567:ILR65571 IVN65567:IVN65571 JFJ65567:JFJ65571 JPF65567:JPF65571 JZB65567:JZB65571 KIX65567:KIX65571 KST65567:KST65571 LCP65567:LCP65571 LML65567:LML65571 LWH65567:LWH65571 MGD65567:MGD65571 MPZ65567:MPZ65571 MZV65567:MZV65571 NJR65567:NJR65571 NTN65567:NTN65571 ODJ65567:ODJ65571 ONF65567:ONF65571 OXB65567:OXB65571 PGX65567:PGX65571 PQT65567:PQT65571 QAP65567:QAP65571 QKL65567:QKL65571 QUH65567:QUH65571 RED65567:RED65571 RNZ65567:RNZ65571 RXV65567:RXV65571 SHR65567:SHR65571 SRN65567:SRN65571 TBJ65567:TBJ65571 TLF65567:TLF65571 TVB65567:TVB65571 UEX65567:UEX65571 UOT65567:UOT65571 UYP65567:UYP65571 VIL65567:VIL65571 VSH65567:VSH65571 WCD65567:WCD65571 WLZ65567:WLZ65571 WVV65567:WVV65571 N131103:N131107 JJ131103:JJ131107 TF131103:TF131107 ADB131103:ADB131107 AMX131103:AMX131107 AWT131103:AWT131107 BGP131103:BGP131107 BQL131103:BQL131107 CAH131103:CAH131107 CKD131103:CKD131107 CTZ131103:CTZ131107 DDV131103:DDV131107 DNR131103:DNR131107 DXN131103:DXN131107 EHJ131103:EHJ131107 ERF131103:ERF131107 FBB131103:FBB131107 FKX131103:FKX131107 FUT131103:FUT131107 GEP131103:GEP131107 GOL131103:GOL131107 GYH131103:GYH131107 HID131103:HID131107 HRZ131103:HRZ131107 IBV131103:IBV131107 ILR131103:ILR131107 IVN131103:IVN131107 JFJ131103:JFJ131107 JPF131103:JPF131107 JZB131103:JZB131107 KIX131103:KIX131107 KST131103:KST131107 LCP131103:LCP131107 LML131103:LML131107 LWH131103:LWH131107 MGD131103:MGD131107 MPZ131103:MPZ131107 MZV131103:MZV131107 NJR131103:NJR131107 NTN131103:NTN131107 ODJ131103:ODJ131107 ONF131103:ONF131107 OXB131103:OXB131107 PGX131103:PGX131107 PQT131103:PQT131107 QAP131103:QAP131107 QKL131103:QKL131107 QUH131103:QUH131107 RED131103:RED131107 RNZ131103:RNZ131107 RXV131103:RXV131107 SHR131103:SHR131107 SRN131103:SRN131107 TBJ131103:TBJ131107 TLF131103:TLF131107 TVB131103:TVB131107 UEX131103:UEX131107 UOT131103:UOT131107 UYP131103:UYP131107 VIL131103:VIL131107 VSH131103:VSH131107 WCD131103:WCD131107 WLZ131103:WLZ131107 WVV131103:WVV131107 N196639:N196643 JJ196639:JJ196643 TF196639:TF196643 ADB196639:ADB196643 AMX196639:AMX196643 AWT196639:AWT196643 BGP196639:BGP196643 BQL196639:BQL196643 CAH196639:CAH196643 CKD196639:CKD196643 CTZ196639:CTZ196643 DDV196639:DDV196643 DNR196639:DNR196643 DXN196639:DXN196643 EHJ196639:EHJ196643 ERF196639:ERF196643 FBB196639:FBB196643 FKX196639:FKX196643 FUT196639:FUT196643 GEP196639:GEP196643 GOL196639:GOL196643 GYH196639:GYH196643 HID196639:HID196643 HRZ196639:HRZ196643 IBV196639:IBV196643 ILR196639:ILR196643 IVN196639:IVN196643 JFJ196639:JFJ196643 JPF196639:JPF196643 JZB196639:JZB196643 KIX196639:KIX196643 KST196639:KST196643 LCP196639:LCP196643 LML196639:LML196643 LWH196639:LWH196643 MGD196639:MGD196643 MPZ196639:MPZ196643 MZV196639:MZV196643 NJR196639:NJR196643 NTN196639:NTN196643 ODJ196639:ODJ196643 ONF196639:ONF196643 OXB196639:OXB196643 PGX196639:PGX196643 PQT196639:PQT196643 QAP196639:QAP196643 QKL196639:QKL196643 QUH196639:QUH196643 RED196639:RED196643 RNZ196639:RNZ196643 RXV196639:RXV196643 SHR196639:SHR196643 SRN196639:SRN196643 TBJ196639:TBJ196643 TLF196639:TLF196643 TVB196639:TVB196643 UEX196639:UEX196643 UOT196639:UOT196643 UYP196639:UYP196643 VIL196639:VIL196643 VSH196639:VSH196643 WCD196639:WCD196643 WLZ196639:WLZ196643 WVV196639:WVV196643 N262175:N262179 JJ262175:JJ262179 TF262175:TF262179 ADB262175:ADB262179 AMX262175:AMX262179 AWT262175:AWT262179 BGP262175:BGP262179 BQL262175:BQL262179 CAH262175:CAH262179 CKD262175:CKD262179 CTZ262175:CTZ262179 DDV262175:DDV262179 DNR262175:DNR262179 DXN262175:DXN262179 EHJ262175:EHJ262179 ERF262175:ERF262179 FBB262175:FBB262179 FKX262175:FKX262179 FUT262175:FUT262179 GEP262175:GEP262179 GOL262175:GOL262179 GYH262175:GYH262179 HID262175:HID262179 HRZ262175:HRZ262179 IBV262175:IBV262179 ILR262175:ILR262179 IVN262175:IVN262179 JFJ262175:JFJ262179 JPF262175:JPF262179 JZB262175:JZB262179 KIX262175:KIX262179 KST262175:KST262179 LCP262175:LCP262179 LML262175:LML262179 LWH262175:LWH262179 MGD262175:MGD262179 MPZ262175:MPZ262179 MZV262175:MZV262179 NJR262175:NJR262179 NTN262175:NTN262179 ODJ262175:ODJ262179 ONF262175:ONF262179 OXB262175:OXB262179 PGX262175:PGX262179 PQT262175:PQT262179 QAP262175:QAP262179 QKL262175:QKL262179 QUH262175:QUH262179 RED262175:RED262179 RNZ262175:RNZ262179 RXV262175:RXV262179 SHR262175:SHR262179 SRN262175:SRN262179 TBJ262175:TBJ262179 TLF262175:TLF262179 TVB262175:TVB262179 UEX262175:UEX262179 UOT262175:UOT262179 UYP262175:UYP262179 VIL262175:VIL262179 VSH262175:VSH262179 WCD262175:WCD262179 WLZ262175:WLZ262179 WVV262175:WVV262179 N327711:N327715 JJ327711:JJ327715 TF327711:TF327715 ADB327711:ADB327715 AMX327711:AMX327715 AWT327711:AWT327715 BGP327711:BGP327715 BQL327711:BQL327715 CAH327711:CAH327715 CKD327711:CKD327715 CTZ327711:CTZ327715 DDV327711:DDV327715 DNR327711:DNR327715 DXN327711:DXN327715 EHJ327711:EHJ327715 ERF327711:ERF327715 FBB327711:FBB327715 FKX327711:FKX327715 FUT327711:FUT327715 GEP327711:GEP327715 GOL327711:GOL327715 GYH327711:GYH327715 HID327711:HID327715 HRZ327711:HRZ327715 IBV327711:IBV327715 ILR327711:ILR327715 IVN327711:IVN327715 JFJ327711:JFJ327715 JPF327711:JPF327715 JZB327711:JZB327715 KIX327711:KIX327715 KST327711:KST327715 LCP327711:LCP327715 LML327711:LML327715 LWH327711:LWH327715 MGD327711:MGD327715 MPZ327711:MPZ327715 MZV327711:MZV327715 NJR327711:NJR327715 NTN327711:NTN327715 ODJ327711:ODJ327715 ONF327711:ONF327715 OXB327711:OXB327715 PGX327711:PGX327715 PQT327711:PQT327715 QAP327711:QAP327715 QKL327711:QKL327715 QUH327711:QUH327715 RED327711:RED327715 RNZ327711:RNZ327715 RXV327711:RXV327715 SHR327711:SHR327715 SRN327711:SRN327715 TBJ327711:TBJ327715 TLF327711:TLF327715 TVB327711:TVB327715 UEX327711:UEX327715 UOT327711:UOT327715 UYP327711:UYP327715 VIL327711:VIL327715 VSH327711:VSH327715 WCD327711:WCD327715 WLZ327711:WLZ327715 WVV327711:WVV327715 N393247:N393251 JJ393247:JJ393251 TF393247:TF393251 ADB393247:ADB393251 AMX393247:AMX393251 AWT393247:AWT393251 BGP393247:BGP393251 BQL393247:BQL393251 CAH393247:CAH393251 CKD393247:CKD393251 CTZ393247:CTZ393251 DDV393247:DDV393251 DNR393247:DNR393251 DXN393247:DXN393251 EHJ393247:EHJ393251 ERF393247:ERF393251 FBB393247:FBB393251 FKX393247:FKX393251 FUT393247:FUT393251 GEP393247:GEP393251 GOL393247:GOL393251 GYH393247:GYH393251 HID393247:HID393251 HRZ393247:HRZ393251 IBV393247:IBV393251 ILR393247:ILR393251 IVN393247:IVN393251 JFJ393247:JFJ393251 JPF393247:JPF393251 JZB393247:JZB393251 KIX393247:KIX393251 KST393247:KST393251 LCP393247:LCP393251 LML393247:LML393251 LWH393247:LWH393251 MGD393247:MGD393251 MPZ393247:MPZ393251 MZV393247:MZV393251 NJR393247:NJR393251 NTN393247:NTN393251 ODJ393247:ODJ393251 ONF393247:ONF393251 OXB393247:OXB393251 PGX393247:PGX393251 PQT393247:PQT393251 QAP393247:QAP393251 QKL393247:QKL393251 QUH393247:QUH393251 RED393247:RED393251 RNZ393247:RNZ393251 RXV393247:RXV393251 SHR393247:SHR393251 SRN393247:SRN393251 TBJ393247:TBJ393251 TLF393247:TLF393251 TVB393247:TVB393251 UEX393247:UEX393251 UOT393247:UOT393251 UYP393247:UYP393251 VIL393247:VIL393251 VSH393247:VSH393251 WCD393247:WCD393251 WLZ393247:WLZ393251 WVV393247:WVV393251 N458783:N458787 JJ458783:JJ458787 TF458783:TF458787 ADB458783:ADB458787 AMX458783:AMX458787 AWT458783:AWT458787 BGP458783:BGP458787 BQL458783:BQL458787 CAH458783:CAH458787 CKD458783:CKD458787 CTZ458783:CTZ458787 DDV458783:DDV458787 DNR458783:DNR458787 DXN458783:DXN458787 EHJ458783:EHJ458787 ERF458783:ERF458787 FBB458783:FBB458787 FKX458783:FKX458787 FUT458783:FUT458787 GEP458783:GEP458787 GOL458783:GOL458787 GYH458783:GYH458787 HID458783:HID458787 HRZ458783:HRZ458787 IBV458783:IBV458787 ILR458783:ILR458787 IVN458783:IVN458787 JFJ458783:JFJ458787 JPF458783:JPF458787 JZB458783:JZB458787 KIX458783:KIX458787 KST458783:KST458787 LCP458783:LCP458787 LML458783:LML458787 LWH458783:LWH458787 MGD458783:MGD458787 MPZ458783:MPZ458787 MZV458783:MZV458787 NJR458783:NJR458787 NTN458783:NTN458787 ODJ458783:ODJ458787 ONF458783:ONF458787 OXB458783:OXB458787 PGX458783:PGX458787 PQT458783:PQT458787 QAP458783:QAP458787 QKL458783:QKL458787 QUH458783:QUH458787 RED458783:RED458787 RNZ458783:RNZ458787 RXV458783:RXV458787 SHR458783:SHR458787 SRN458783:SRN458787 TBJ458783:TBJ458787 TLF458783:TLF458787 TVB458783:TVB458787 UEX458783:UEX458787 UOT458783:UOT458787 UYP458783:UYP458787 VIL458783:VIL458787 VSH458783:VSH458787 WCD458783:WCD458787 WLZ458783:WLZ458787 WVV458783:WVV458787 N524319:N524323 JJ524319:JJ524323 TF524319:TF524323 ADB524319:ADB524323 AMX524319:AMX524323 AWT524319:AWT524323 BGP524319:BGP524323 BQL524319:BQL524323 CAH524319:CAH524323 CKD524319:CKD524323 CTZ524319:CTZ524323 DDV524319:DDV524323 DNR524319:DNR524323 DXN524319:DXN524323 EHJ524319:EHJ524323 ERF524319:ERF524323 FBB524319:FBB524323 FKX524319:FKX524323 FUT524319:FUT524323 GEP524319:GEP524323 GOL524319:GOL524323 GYH524319:GYH524323 HID524319:HID524323 HRZ524319:HRZ524323 IBV524319:IBV524323 ILR524319:ILR524323 IVN524319:IVN524323 JFJ524319:JFJ524323 JPF524319:JPF524323 JZB524319:JZB524323 KIX524319:KIX524323 KST524319:KST524323 LCP524319:LCP524323 LML524319:LML524323 LWH524319:LWH524323 MGD524319:MGD524323 MPZ524319:MPZ524323 MZV524319:MZV524323 NJR524319:NJR524323 NTN524319:NTN524323 ODJ524319:ODJ524323 ONF524319:ONF524323 OXB524319:OXB524323 PGX524319:PGX524323 PQT524319:PQT524323 QAP524319:QAP524323 QKL524319:QKL524323 QUH524319:QUH524323 RED524319:RED524323 RNZ524319:RNZ524323 RXV524319:RXV524323 SHR524319:SHR524323 SRN524319:SRN524323 TBJ524319:TBJ524323 TLF524319:TLF524323 TVB524319:TVB524323 UEX524319:UEX524323 UOT524319:UOT524323 UYP524319:UYP524323 VIL524319:VIL524323 VSH524319:VSH524323 WCD524319:WCD524323 WLZ524319:WLZ524323 WVV524319:WVV524323 N589855:N589859 JJ589855:JJ589859 TF589855:TF589859 ADB589855:ADB589859 AMX589855:AMX589859 AWT589855:AWT589859 BGP589855:BGP589859 BQL589855:BQL589859 CAH589855:CAH589859 CKD589855:CKD589859 CTZ589855:CTZ589859 DDV589855:DDV589859 DNR589855:DNR589859 DXN589855:DXN589859 EHJ589855:EHJ589859 ERF589855:ERF589859 FBB589855:FBB589859 FKX589855:FKX589859 FUT589855:FUT589859 GEP589855:GEP589859 GOL589855:GOL589859 GYH589855:GYH589859 HID589855:HID589859 HRZ589855:HRZ589859 IBV589855:IBV589859 ILR589855:ILR589859 IVN589855:IVN589859 JFJ589855:JFJ589859 JPF589855:JPF589859 JZB589855:JZB589859 KIX589855:KIX589859 KST589855:KST589859 LCP589855:LCP589859 LML589855:LML589859 LWH589855:LWH589859 MGD589855:MGD589859 MPZ589855:MPZ589859 MZV589855:MZV589859 NJR589855:NJR589859 NTN589855:NTN589859 ODJ589855:ODJ589859 ONF589855:ONF589859 OXB589855:OXB589859 PGX589855:PGX589859 PQT589855:PQT589859 QAP589855:QAP589859 QKL589855:QKL589859 QUH589855:QUH589859 RED589855:RED589859 RNZ589855:RNZ589859 RXV589855:RXV589859 SHR589855:SHR589859 SRN589855:SRN589859 TBJ589855:TBJ589859 TLF589855:TLF589859 TVB589855:TVB589859 UEX589855:UEX589859 UOT589855:UOT589859 UYP589855:UYP589859 VIL589855:VIL589859 VSH589855:VSH589859 WCD589855:WCD589859 WLZ589855:WLZ589859 WVV589855:WVV589859 N655391:N655395 JJ655391:JJ655395 TF655391:TF655395 ADB655391:ADB655395 AMX655391:AMX655395 AWT655391:AWT655395 BGP655391:BGP655395 BQL655391:BQL655395 CAH655391:CAH655395 CKD655391:CKD655395 CTZ655391:CTZ655395 DDV655391:DDV655395 DNR655391:DNR655395 DXN655391:DXN655395 EHJ655391:EHJ655395 ERF655391:ERF655395 FBB655391:FBB655395 FKX655391:FKX655395 FUT655391:FUT655395 GEP655391:GEP655395 GOL655391:GOL655395 GYH655391:GYH655395 HID655391:HID655395 HRZ655391:HRZ655395 IBV655391:IBV655395 ILR655391:ILR655395 IVN655391:IVN655395 JFJ655391:JFJ655395 JPF655391:JPF655395 JZB655391:JZB655395 KIX655391:KIX655395 KST655391:KST655395 LCP655391:LCP655395 LML655391:LML655395 LWH655391:LWH655395 MGD655391:MGD655395 MPZ655391:MPZ655395 MZV655391:MZV655395 NJR655391:NJR655395 NTN655391:NTN655395 ODJ655391:ODJ655395 ONF655391:ONF655395 OXB655391:OXB655395 PGX655391:PGX655395 PQT655391:PQT655395 QAP655391:QAP655395 QKL655391:QKL655395 QUH655391:QUH655395 RED655391:RED655395 RNZ655391:RNZ655395 RXV655391:RXV655395 SHR655391:SHR655395 SRN655391:SRN655395 TBJ655391:TBJ655395 TLF655391:TLF655395 TVB655391:TVB655395 UEX655391:UEX655395 UOT655391:UOT655395 UYP655391:UYP655395 VIL655391:VIL655395 VSH655391:VSH655395 WCD655391:WCD655395 WLZ655391:WLZ655395 WVV655391:WVV655395 N720927:N720931 JJ720927:JJ720931 TF720927:TF720931 ADB720927:ADB720931 AMX720927:AMX720931 AWT720927:AWT720931 BGP720927:BGP720931 BQL720927:BQL720931 CAH720927:CAH720931 CKD720927:CKD720931 CTZ720927:CTZ720931 DDV720927:DDV720931 DNR720927:DNR720931 DXN720927:DXN720931 EHJ720927:EHJ720931 ERF720927:ERF720931 FBB720927:FBB720931 FKX720927:FKX720931 FUT720927:FUT720931 GEP720927:GEP720931 GOL720927:GOL720931 GYH720927:GYH720931 HID720927:HID720931 HRZ720927:HRZ720931 IBV720927:IBV720931 ILR720927:ILR720931 IVN720927:IVN720931 JFJ720927:JFJ720931 JPF720927:JPF720931 JZB720927:JZB720931 KIX720927:KIX720931 KST720927:KST720931 LCP720927:LCP720931 LML720927:LML720931 LWH720927:LWH720931 MGD720927:MGD720931 MPZ720927:MPZ720931 MZV720927:MZV720931 NJR720927:NJR720931 NTN720927:NTN720931 ODJ720927:ODJ720931 ONF720927:ONF720931 OXB720927:OXB720931 PGX720927:PGX720931 PQT720927:PQT720931 QAP720927:QAP720931 QKL720927:QKL720931 QUH720927:QUH720931 RED720927:RED720931 RNZ720927:RNZ720931 RXV720927:RXV720931 SHR720927:SHR720931 SRN720927:SRN720931 TBJ720927:TBJ720931 TLF720927:TLF720931 TVB720927:TVB720931 UEX720927:UEX720931 UOT720927:UOT720931 UYP720927:UYP720931 VIL720927:VIL720931 VSH720927:VSH720931 WCD720927:WCD720931 WLZ720927:WLZ720931 WVV720927:WVV720931 N786463:N786467 JJ786463:JJ786467 TF786463:TF786467 ADB786463:ADB786467 AMX786463:AMX786467 AWT786463:AWT786467 BGP786463:BGP786467 BQL786463:BQL786467 CAH786463:CAH786467 CKD786463:CKD786467 CTZ786463:CTZ786467 DDV786463:DDV786467 DNR786463:DNR786467 DXN786463:DXN786467 EHJ786463:EHJ786467 ERF786463:ERF786467 FBB786463:FBB786467 FKX786463:FKX786467 FUT786463:FUT786467 GEP786463:GEP786467 GOL786463:GOL786467 GYH786463:GYH786467 HID786463:HID786467 HRZ786463:HRZ786467 IBV786463:IBV786467 ILR786463:ILR786467 IVN786463:IVN786467 JFJ786463:JFJ786467 JPF786463:JPF786467 JZB786463:JZB786467 KIX786463:KIX786467 KST786463:KST786467 LCP786463:LCP786467 LML786463:LML786467 LWH786463:LWH786467 MGD786463:MGD786467 MPZ786463:MPZ786467 MZV786463:MZV786467 NJR786463:NJR786467 NTN786463:NTN786467 ODJ786463:ODJ786467 ONF786463:ONF786467 OXB786463:OXB786467 PGX786463:PGX786467 PQT786463:PQT786467 QAP786463:QAP786467 QKL786463:QKL786467 QUH786463:QUH786467 RED786463:RED786467 RNZ786463:RNZ786467 RXV786463:RXV786467 SHR786463:SHR786467 SRN786463:SRN786467 TBJ786463:TBJ786467 TLF786463:TLF786467 TVB786463:TVB786467 UEX786463:UEX786467 UOT786463:UOT786467 UYP786463:UYP786467 VIL786463:VIL786467 VSH786463:VSH786467 WCD786463:WCD786467 WLZ786463:WLZ786467 WVV786463:WVV786467 N851999:N852003 JJ851999:JJ852003 TF851999:TF852003 ADB851999:ADB852003 AMX851999:AMX852003 AWT851999:AWT852003 BGP851999:BGP852003 BQL851999:BQL852003 CAH851999:CAH852003 CKD851999:CKD852003 CTZ851999:CTZ852003 DDV851999:DDV852003 DNR851999:DNR852003 DXN851999:DXN852003 EHJ851999:EHJ852003 ERF851999:ERF852003 FBB851999:FBB852003 FKX851999:FKX852003 FUT851999:FUT852003 GEP851999:GEP852003 GOL851999:GOL852003 GYH851999:GYH852003 HID851999:HID852003 HRZ851999:HRZ852003 IBV851999:IBV852003 ILR851999:ILR852003 IVN851999:IVN852003 JFJ851999:JFJ852003 JPF851999:JPF852003 JZB851999:JZB852003 KIX851999:KIX852003 KST851999:KST852003 LCP851999:LCP852003 LML851999:LML852003 LWH851999:LWH852003 MGD851999:MGD852003 MPZ851999:MPZ852003 MZV851999:MZV852003 NJR851999:NJR852003 NTN851999:NTN852003 ODJ851999:ODJ852003 ONF851999:ONF852003 OXB851999:OXB852003 PGX851999:PGX852003 PQT851999:PQT852003 QAP851999:QAP852003 QKL851999:QKL852003 QUH851999:QUH852003 RED851999:RED852003 RNZ851999:RNZ852003 RXV851999:RXV852003 SHR851999:SHR852003 SRN851999:SRN852003 TBJ851999:TBJ852003 TLF851999:TLF852003 TVB851999:TVB852003 UEX851999:UEX852003 UOT851999:UOT852003 UYP851999:UYP852003 VIL851999:VIL852003 VSH851999:VSH852003 WCD851999:WCD852003 WLZ851999:WLZ852003 WVV851999:WVV852003 N917535:N917539 JJ917535:JJ917539 TF917535:TF917539 ADB917535:ADB917539 AMX917535:AMX917539 AWT917535:AWT917539 BGP917535:BGP917539 BQL917535:BQL917539 CAH917535:CAH917539 CKD917535:CKD917539 CTZ917535:CTZ917539 DDV917535:DDV917539 DNR917535:DNR917539 DXN917535:DXN917539 EHJ917535:EHJ917539 ERF917535:ERF917539 FBB917535:FBB917539 FKX917535:FKX917539 FUT917535:FUT917539 GEP917535:GEP917539 GOL917535:GOL917539 GYH917535:GYH917539 HID917535:HID917539 HRZ917535:HRZ917539 IBV917535:IBV917539 ILR917535:ILR917539 IVN917535:IVN917539 JFJ917535:JFJ917539 JPF917535:JPF917539 JZB917535:JZB917539 KIX917535:KIX917539 KST917535:KST917539 LCP917535:LCP917539 LML917535:LML917539 LWH917535:LWH917539 MGD917535:MGD917539 MPZ917535:MPZ917539 MZV917535:MZV917539 NJR917535:NJR917539 NTN917535:NTN917539 ODJ917535:ODJ917539 ONF917535:ONF917539 OXB917535:OXB917539 PGX917535:PGX917539 PQT917535:PQT917539 QAP917535:QAP917539 QKL917535:QKL917539 QUH917535:QUH917539 RED917535:RED917539 RNZ917535:RNZ917539 RXV917535:RXV917539 SHR917535:SHR917539 SRN917535:SRN917539 TBJ917535:TBJ917539 TLF917535:TLF917539 TVB917535:TVB917539 UEX917535:UEX917539 UOT917535:UOT917539 UYP917535:UYP917539 VIL917535:VIL917539 VSH917535:VSH917539 WCD917535:WCD917539 WLZ917535:WLZ917539 WVV917535:WVV917539 N983071:N983075 JJ983071:JJ983075 TF983071:TF983075 ADB983071:ADB983075 AMX983071:AMX983075 AWT983071:AWT983075 BGP983071:BGP983075 BQL983071:BQL983075 CAH983071:CAH983075 CKD983071:CKD983075 CTZ983071:CTZ983075 DDV983071:DDV983075 DNR983071:DNR983075 DXN983071:DXN983075 EHJ983071:EHJ983075 ERF983071:ERF983075 FBB983071:FBB983075 FKX983071:FKX983075 FUT983071:FUT983075 GEP983071:GEP983075 GOL983071:GOL983075 GYH983071:GYH983075 HID983071:HID983075 HRZ983071:HRZ983075 IBV983071:IBV983075 ILR983071:ILR983075 IVN983071:IVN983075 JFJ983071:JFJ983075 JPF983071:JPF983075 JZB983071:JZB983075 KIX983071:KIX983075 KST983071:KST983075 LCP983071:LCP983075 LML983071:LML983075 LWH983071:LWH983075 MGD983071:MGD983075 MPZ983071:MPZ983075 MZV983071:MZV983075 NJR983071:NJR983075 NTN983071:NTN983075 ODJ983071:ODJ983075 ONF983071:ONF983075 OXB983071:OXB983075 PGX983071:PGX983075 PQT983071:PQT983075 QAP983071:QAP983075 QKL983071:QKL983075 QUH983071:QUH983075 RED983071:RED983075 RNZ983071:RNZ983075 RXV983071:RXV983075 SHR983071:SHR983075 SRN983071:SRN983075 TBJ983071:TBJ983075 TLF983071:TLF983075 TVB983071:TVB983075 UEX983071:UEX983075 UOT983071:UOT983075 UYP983071:UYP983075 VIL983071:VIL983075 VSH983071:VSH983075 WCD983071:WCD983075 WLZ983071:WLZ983075 WVV983071:WVV983075">
      <formula1>PF</formula1>
    </dataValidation>
    <dataValidation type="list" allowBlank="1" showInputMessage="1" showErrorMessage="1" sqref="N42:N54 JJ42:JJ54 TF42:TF54 ADB42:ADB54 AMX42:AMX54 AWT42:AWT54 BGP42:BGP54 BQL42:BQL54 CAH42:CAH54 CKD42:CKD54 CTZ42:CTZ54 DDV42:DDV54 DNR42:DNR54 DXN42:DXN54 EHJ42:EHJ54 ERF42:ERF54 FBB42:FBB54 FKX42:FKX54 FUT42:FUT54 GEP42:GEP54 GOL42:GOL54 GYH42:GYH54 HID42:HID54 HRZ42:HRZ54 IBV42:IBV54 ILR42:ILR54 IVN42:IVN54 JFJ42:JFJ54 JPF42:JPF54 JZB42:JZB54 KIX42:KIX54 KST42:KST54 LCP42:LCP54 LML42:LML54 LWH42:LWH54 MGD42:MGD54 MPZ42:MPZ54 MZV42:MZV54 NJR42:NJR54 NTN42:NTN54 ODJ42:ODJ54 ONF42:ONF54 OXB42:OXB54 PGX42:PGX54 PQT42:PQT54 QAP42:QAP54 QKL42:QKL54 QUH42:QUH54 RED42:RED54 RNZ42:RNZ54 RXV42:RXV54 SHR42:SHR54 SRN42:SRN54 TBJ42:TBJ54 TLF42:TLF54 TVB42:TVB54 UEX42:UEX54 UOT42:UOT54 UYP42:UYP54 VIL42:VIL54 VSH42:VSH54 WCD42:WCD54 WLZ42:WLZ54 WVV42:WVV54 N65578:N65590 JJ65578:JJ65590 TF65578:TF65590 ADB65578:ADB65590 AMX65578:AMX65590 AWT65578:AWT65590 BGP65578:BGP65590 BQL65578:BQL65590 CAH65578:CAH65590 CKD65578:CKD65590 CTZ65578:CTZ65590 DDV65578:DDV65590 DNR65578:DNR65590 DXN65578:DXN65590 EHJ65578:EHJ65590 ERF65578:ERF65590 FBB65578:FBB65590 FKX65578:FKX65590 FUT65578:FUT65590 GEP65578:GEP65590 GOL65578:GOL65590 GYH65578:GYH65590 HID65578:HID65590 HRZ65578:HRZ65590 IBV65578:IBV65590 ILR65578:ILR65590 IVN65578:IVN65590 JFJ65578:JFJ65590 JPF65578:JPF65590 JZB65578:JZB65590 KIX65578:KIX65590 KST65578:KST65590 LCP65578:LCP65590 LML65578:LML65590 LWH65578:LWH65590 MGD65578:MGD65590 MPZ65578:MPZ65590 MZV65578:MZV65590 NJR65578:NJR65590 NTN65578:NTN65590 ODJ65578:ODJ65590 ONF65578:ONF65590 OXB65578:OXB65590 PGX65578:PGX65590 PQT65578:PQT65590 QAP65578:QAP65590 QKL65578:QKL65590 QUH65578:QUH65590 RED65578:RED65590 RNZ65578:RNZ65590 RXV65578:RXV65590 SHR65578:SHR65590 SRN65578:SRN65590 TBJ65578:TBJ65590 TLF65578:TLF65590 TVB65578:TVB65590 UEX65578:UEX65590 UOT65578:UOT65590 UYP65578:UYP65590 VIL65578:VIL65590 VSH65578:VSH65590 WCD65578:WCD65590 WLZ65578:WLZ65590 WVV65578:WVV65590 N131114:N131126 JJ131114:JJ131126 TF131114:TF131126 ADB131114:ADB131126 AMX131114:AMX131126 AWT131114:AWT131126 BGP131114:BGP131126 BQL131114:BQL131126 CAH131114:CAH131126 CKD131114:CKD131126 CTZ131114:CTZ131126 DDV131114:DDV131126 DNR131114:DNR131126 DXN131114:DXN131126 EHJ131114:EHJ131126 ERF131114:ERF131126 FBB131114:FBB131126 FKX131114:FKX131126 FUT131114:FUT131126 GEP131114:GEP131126 GOL131114:GOL131126 GYH131114:GYH131126 HID131114:HID131126 HRZ131114:HRZ131126 IBV131114:IBV131126 ILR131114:ILR131126 IVN131114:IVN131126 JFJ131114:JFJ131126 JPF131114:JPF131126 JZB131114:JZB131126 KIX131114:KIX131126 KST131114:KST131126 LCP131114:LCP131126 LML131114:LML131126 LWH131114:LWH131126 MGD131114:MGD131126 MPZ131114:MPZ131126 MZV131114:MZV131126 NJR131114:NJR131126 NTN131114:NTN131126 ODJ131114:ODJ131126 ONF131114:ONF131126 OXB131114:OXB131126 PGX131114:PGX131126 PQT131114:PQT131126 QAP131114:QAP131126 QKL131114:QKL131126 QUH131114:QUH131126 RED131114:RED131126 RNZ131114:RNZ131126 RXV131114:RXV131126 SHR131114:SHR131126 SRN131114:SRN131126 TBJ131114:TBJ131126 TLF131114:TLF131126 TVB131114:TVB131126 UEX131114:UEX131126 UOT131114:UOT131126 UYP131114:UYP131126 VIL131114:VIL131126 VSH131114:VSH131126 WCD131114:WCD131126 WLZ131114:WLZ131126 WVV131114:WVV131126 N196650:N196662 JJ196650:JJ196662 TF196650:TF196662 ADB196650:ADB196662 AMX196650:AMX196662 AWT196650:AWT196662 BGP196650:BGP196662 BQL196650:BQL196662 CAH196650:CAH196662 CKD196650:CKD196662 CTZ196650:CTZ196662 DDV196650:DDV196662 DNR196650:DNR196662 DXN196650:DXN196662 EHJ196650:EHJ196662 ERF196650:ERF196662 FBB196650:FBB196662 FKX196650:FKX196662 FUT196650:FUT196662 GEP196650:GEP196662 GOL196650:GOL196662 GYH196650:GYH196662 HID196650:HID196662 HRZ196650:HRZ196662 IBV196650:IBV196662 ILR196650:ILR196662 IVN196650:IVN196662 JFJ196650:JFJ196662 JPF196650:JPF196662 JZB196650:JZB196662 KIX196650:KIX196662 KST196650:KST196662 LCP196650:LCP196662 LML196650:LML196662 LWH196650:LWH196662 MGD196650:MGD196662 MPZ196650:MPZ196662 MZV196650:MZV196662 NJR196650:NJR196662 NTN196650:NTN196662 ODJ196650:ODJ196662 ONF196650:ONF196662 OXB196650:OXB196662 PGX196650:PGX196662 PQT196650:PQT196662 QAP196650:QAP196662 QKL196650:QKL196662 QUH196650:QUH196662 RED196650:RED196662 RNZ196650:RNZ196662 RXV196650:RXV196662 SHR196650:SHR196662 SRN196650:SRN196662 TBJ196650:TBJ196662 TLF196650:TLF196662 TVB196650:TVB196662 UEX196650:UEX196662 UOT196650:UOT196662 UYP196650:UYP196662 VIL196650:VIL196662 VSH196650:VSH196662 WCD196650:WCD196662 WLZ196650:WLZ196662 WVV196650:WVV196662 N262186:N262198 JJ262186:JJ262198 TF262186:TF262198 ADB262186:ADB262198 AMX262186:AMX262198 AWT262186:AWT262198 BGP262186:BGP262198 BQL262186:BQL262198 CAH262186:CAH262198 CKD262186:CKD262198 CTZ262186:CTZ262198 DDV262186:DDV262198 DNR262186:DNR262198 DXN262186:DXN262198 EHJ262186:EHJ262198 ERF262186:ERF262198 FBB262186:FBB262198 FKX262186:FKX262198 FUT262186:FUT262198 GEP262186:GEP262198 GOL262186:GOL262198 GYH262186:GYH262198 HID262186:HID262198 HRZ262186:HRZ262198 IBV262186:IBV262198 ILR262186:ILR262198 IVN262186:IVN262198 JFJ262186:JFJ262198 JPF262186:JPF262198 JZB262186:JZB262198 KIX262186:KIX262198 KST262186:KST262198 LCP262186:LCP262198 LML262186:LML262198 LWH262186:LWH262198 MGD262186:MGD262198 MPZ262186:MPZ262198 MZV262186:MZV262198 NJR262186:NJR262198 NTN262186:NTN262198 ODJ262186:ODJ262198 ONF262186:ONF262198 OXB262186:OXB262198 PGX262186:PGX262198 PQT262186:PQT262198 QAP262186:QAP262198 QKL262186:QKL262198 QUH262186:QUH262198 RED262186:RED262198 RNZ262186:RNZ262198 RXV262186:RXV262198 SHR262186:SHR262198 SRN262186:SRN262198 TBJ262186:TBJ262198 TLF262186:TLF262198 TVB262186:TVB262198 UEX262186:UEX262198 UOT262186:UOT262198 UYP262186:UYP262198 VIL262186:VIL262198 VSH262186:VSH262198 WCD262186:WCD262198 WLZ262186:WLZ262198 WVV262186:WVV262198 N327722:N327734 JJ327722:JJ327734 TF327722:TF327734 ADB327722:ADB327734 AMX327722:AMX327734 AWT327722:AWT327734 BGP327722:BGP327734 BQL327722:BQL327734 CAH327722:CAH327734 CKD327722:CKD327734 CTZ327722:CTZ327734 DDV327722:DDV327734 DNR327722:DNR327734 DXN327722:DXN327734 EHJ327722:EHJ327734 ERF327722:ERF327734 FBB327722:FBB327734 FKX327722:FKX327734 FUT327722:FUT327734 GEP327722:GEP327734 GOL327722:GOL327734 GYH327722:GYH327734 HID327722:HID327734 HRZ327722:HRZ327734 IBV327722:IBV327734 ILR327722:ILR327734 IVN327722:IVN327734 JFJ327722:JFJ327734 JPF327722:JPF327734 JZB327722:JZB327734 KIX327722:KIX327734 KST327722:KST327734 LCP327722:LCP327734 LML327722:LML327734 LWH327722:LWH327734 MGD327722:MGD327734 MPZ327722:MPZ327734 MZV327722:MZV327734 NJR327722:NJR327734 NTN327722:NTN327734 ODJ327722:ODJ327734 ONF327722:ONF327734 OXB327722:OXB327734 PGX327722:PGX327734 PQT327722:PQT327734 QAP327722:QAP327734 QKL327722:QKL327734 QUH327722:QUH327734 RED327722:RED327734 RNZ327722:RNZ327734 RXV327722:RXV327734 SHR327722:SHR327734 SRN327722:SRN327734 TBJ327722:TBJ327734 TLF327722:TLF327734 TVB327722:TVB327734 UEX327722:UEX327734 UOT327722:UOT327734 UYP327722:UYP327734 VIL327722:VIL327734 VSH327722:VSH327734 WCD327722:WCD327734 WLZ327722:WLZ327734 WVV327722:WVV327734 N393258:N393270 JJ393258:JJ393270 TF393258:TF393270 ADB393258:ADB393270 AMX393258:AMX393270 AWT393258:AWT393270 BGP393258:BGP393270 BQL393258:BQL393270 CAH393258:CAH393270 CKD393258:CKD393270 CTZ393258:CTZ393270 DDV393258:DDV393270 DNR393258:DNR393270 DXN393258:DXN393270 EHJ393258:EHJ393270 ERF393258:ERF393270 FBB393258:FBB393270 FKX393258:FKX393270 FUT393258:FUT393270 GEP393258:GEP393270 GOL393258:GOL393270 GYH393258:GYH393270 HID393258:HID393270 HRZ393258:HRZ393270 IBV393258:IBV393270 ILR393258:ILR393270 IVN393258:IVN393270 JFJ393258:JFJ393270 JPF393258:JPF393270 JZB393258:JZB393270 KIX393258:KIX393270 KST393258:KST393270 LCP393258:LCP393270 LML393258:LML393270 LWH393258:LWH393270 MGD393258:MGD393270 MPZ393258:MPZ393270 MZV393258:MZV393270 NJR393258:NJR393270 NTN393258:NTN393270 ODJ393258:ODJ393270 ONF393258:ONF393270 OXB393258:OXB393270 PGX393258:PGX393270 PQT393258:PQT393270 QAP393258:QAP393270 QKL393258:QKL393270 QUH393258:QUH393270 RED393258:RED393270 RNZ393258:RNZ393270 RXV393258:RXV393270 SHR393258:SHR393270 SRN393258:SRN393270 TBJ393258:TBJ393270 TLF393258:TLF393270 TVB393258:TVB393270 UEX393258:UEX393270 UOT393258:UOT393270 UYP393258:UYP393270 VIL393258:VIL393270 VSH393258:VSH393270 WCD393258:WCD393270 WLZ393258:WLZ393270 WVV393258:WVV393270 N458794:N458806 JJ458794:JJ458806 TF458794:TF458806 ADB458794:ADB458806 AMX458794:AMX458806 AWT458794:AWT458806 BGP458794:BGP458806 BQL458794:BQL458806 CAH458794:CAH458806 CKD458794:CKD458806 CTZ458794:CTZ458806 DDV458794:DDV458806 DNR458794:DNR458806 DXN458794:DXN458806 EHJ458794:EHJ458806 ERF458794:ERF458806 FBB458794:FBB458806 FKX458794:FKX458806 FUT458794:FUT458806 GEP458794:GEP458806 GOL458794:GOL458806 GYH458794:GYH458806 HID458794:HID458806 HRZ458794:HRZ458806 IBV458794:IBV458806 ILR458794:ILR458806 IVN458794:IVN458806 JFJ458794:JFJ458806 JPF458794:JPF458806 JZB458794:JZB458806 KIX458794:KIX458806 KST458794:KST458806 LCP458794:LCP458806 LML458794:LML458806 LWH458794:LWH458806 MGD458794:MGD458806 MPZ458794:MPZ458806 MZV458794:MZV458806 NJR458794:NJR458806 NTN458794:NTN458806 ODJ458794:ODJ458806 ONF458794:ONF458806 OXB458794:OXB458806 PGX458794:PGX458806 PQT458794:PQT458806 QAP458794:QAP458806 QKL458794:QKL458806 QUH458794:QUH458806 RED458794:RED458806 RNZ458794:RNZ458806 RXV458794:RXV458806 SHR458794:SHR458806 SRN458794:SRN458806 TBJ458794:TBJ458806 TLF458794:TLF458806 TVB458794:TVB458806 UEX458794:UEX458806 UOT458794:UOT458806 UYP458794:UYP458806 VIL458794:VIL458806 VSH458794:VSH458806 WCD458794:WCD458806 WLZ458794:WLZ458806 WVV458794:WVV458806 N524330:N524342 JJ524330:JJ524342 TF524330:TF524342 ADB524330:ADB524342 AMX524330:AMX524342 AWT524330:AWT524342 BGP524330:BGP524342 BQL524330:BQL524342 CAH524330:CAH524342 CKD524330:CKD524342 CTZ524330:CTZ524342 DDV524330:DDV524342 DNR524330:DNR524342 DXN524330:DXN524342 EHJ524330:EHJ524342 ERF524330:ERF524342 FBB524330:FBB524342 FKX524330:FKX524342 FUT524330:FUT524342 GEP524330:GEP524342 GOL524330:GOL524342 GYH524330:GYH524342 HID524330:HID524342 HRZ524330:HRZ524342 IBV524330:IBV524342 ILR524330:ILR524342 IVN524330:IVN524342 JFJ524330:JFJ524342 JPF524330:JPF524342 JZB524330:JZB524342 KIX524330:KIX524342 KST524330:KST524342 LCP524330:LCP524342 LML524330:LML524342 LWH524330:LWH524342 MGD524330:MGD524342 MPZ524330:MPZ524342 MZV524330:MZV524342 NJR524330:NJR524342 NTN524330:NTN524342 ODJ524330:ODJ524342 ONF524330:ONF524342 OXB524330:OXB524342 PGX524330:PGX524342 PQT524330:PQT524342 QAP524330:QAP524342 QKL524330:QKL524342 QUH524330:QUH524342 RED524330:RED524342 RNZ524330:RNZ524342 RXV524330:RXV524342 SHR524330:SHR524342 SRN524330:SRN524342 TBJ524330:TBJ524342 TLF524330:TLF524342 TVB524330:TVB524342 UEX524330:UEX524342 UOT524330:UOT524342 UYP524330:UYP524342 VIL524330:VIL524342 VSH524330:VSH524342 WCD524330:WCD524342 WLZ524330:WLZ524342 WVV524330:WVV524342 N589866:N589878 JJ589866:JJ589878 TF589866:TF589878 ADB589866:ADB589878 AMX589866:AMX589878 AWT589866:AWT589878 BGP589866:BGP589878 BQL589866:BQL589878 CAH589866:CAH589878 CKD589866:CKD589878 CTZ589866:CTZ589878 DDV589866:DDV589878 DNR589866:DNR589878 DXN589866:DXN589878 EHJ589866:EHJ589878 ERF589866:ERF589878 FBB589866:FBB589878 FKX589866:FKX589878 FUT589866:FUT589878 GEP589866:GEP589878 GOL589866:GOL589878 GYH589866:GYH589878 HID589866:HID589878 HRZ589866:HRZ589878 IBV589866:IBV589878 ILR589866:ILR589878 IVN589866:IVN589878 JFJ589866:JFJ589878 JPF589866:JPF589878 JZB589866:JZB589878 KIX589866:KIX589878 KST589866:KST589878 LCP589866:LCP589878 LML589866:LML589878 LWH589866:LWH589878 MGD589866:MGD589878 MPZ589866:MPZ589878 MZV589866:MZV589878 NJR589866:NJR589878 NTN589866:NTN589878 ODJ589866:ODJ589878 ONF589866:ONF589878 OXB589866:OXB589878 PGX589866:PGX589878 PQT589866:PQT589878 QAP589866:QAP589878 QKL589866:QKL589878 QUH589866:QUH589878 RED589866:RED589878 RNZ589866:RNZ589878 RXV589866:RXV589878 SHR589866:SHR589878 SRN589866:SRN589878 TBJ589866:TBJ589878 TLF589866:TLF589878 TVB589866:TVB589878 UEX589866:UEX589878 UOT589866:UOT589878 UYP589866:UYP589878 VIL589866:VIL589878 VSH589866:VSH589878 WCD589866:WCD589878 WLZ589866:WLZ589878 WVV589866:WVV589878 N655402:N655414 JJ655402:JJ655414 TF655402:TF655414 ADB655402:ADB655414 AMX655402:AMX655414 AWT655402:AWT655414 BGP655402:BGP655414 BQL655402:BQL655414 CAH655402:CAH655414 CKD655402:CKD655414 CTZ655402:CTZ655414 DDV655402:DDV655414 DNR655402:DNR655414 DXN655402:DXN655414 EHJ655402:EHJ655414 ERF655402:ERF655414 FBB655402:FBB655414 FKX655402:FKX655414 FUT655402:FUT655414 GEP655402:GEP655414 GOL655402:GOL655414 GYH655402:GYH655414 HID655402:HID655414 HRZ655402:HRZ655414 IBV655402:IBV655414 ILR655402:ILR655414 IVN655402:IVN655414 JFJ655402:JFJ655414 JPF655402:JPF655414 JZB655402:JZB655414 KIX655402:KIX655414 KST655402:KST655414 LCP655402:LCP655414 LML655402:LML655414 LWH655402:LWH655414 MGD655402:MGD655414 MPZ655402:MPZ655414 MZV655402:MZV655414 NJR655402:NJR655414 NTN655402:NTN655414 ODJ655402:ODJ655414 ONF655402:ONF655414 OXB655402:OXB655414 PGX655402:PGX655414 PQT655402:PQT655414 QAP655402:QAP655414 QKL655402:QKL655414 QUH655402:QUH655414 RED655402:RED655414 RNZ655402:RNZ655414 RXV655402:RXV655414 SHR655402:SHR655414 SRN655402:SRN655414 TBJ655402:TBJ655414 TLF655402:TLF655414 TVB655402:TVB655414 UEX655402:UEX655414 UOT655402:UOT655414 UYP655402:UYP655414 VIL655402:VIL655414 VSH655402:VSH655414 WCD655402:WCD655414 WLZ655402:WLZ655414 WVV655402:WVV655414 N720938:N720950 JJ720938:JJ720950 TF720938:TF720950 ADB720938:ADB720950 AMX720938:AMX720950 AWT720938:AWT720950 BGP720938:BGP720950 BQL720938:BQL720950 CAH720938:CAH720950 CKD720938:CKD720950 CTZ720938:CTZ720950 DDV720938:DDV720950 DNR720938:DNR720950 DXN720938:DXN720950 EHJ720938:EHJ720950 ERF720938:ERF720950 FBB720938:FBB720950 FKX720938:FKX720950 FUT720938:FUT720950 GEP720938:GEP720950 GOL720938:GOL720950 GYH720938:GYH720950 HID720938:HID720950 HRZ720938:HRZ720950 IBV720938:IBV720950 ILR720938:ILR720950 IVN720938:IVN720950 JFJ720938:JFJ720950 JPF720938:JPF720950 JZB720938:JZB720950 KIX720938:KIX720950 KST720938:KST720950 LCP720938:LCP720950 LML720938:LML720950 LWH720938:LWH720950 MGD720938:MGD720950 MPZ720938:MPZ720950 MZV720938:MZV720950 NJR720938:NJR720950 NTN720938:NTN720950 ODJ720938:ODJ720950 ONF720938:ONF720950 OXB720938:OXB720950 PGX720938:PGX720950 PQT720938:PQT720950 QAP720938:QAP720950 QKL720938:QKL720950 QUH720938:QUH720950 RED720938:RED720950 RNZ720938:RNZ720950 RXV720938:RXV720950 SHR720938:SHR720950 SRN720938:SRN720950 TBJ720938:TBJ720950 TLF720938:TLF720950 TVB720938:TVB720950 UEX720938:UEX720950 UOT720938:UOT720950 UYP720938:UYP720950 VIL720938:VIL720950 VSH720938:VSH720950 WCD720938:WCD720950 WLZ720938:WLZ720950 WVV720938:WVV720950 N786474:N786486 JJ786474:JJ786486 TF786474:TF786486 ADB786474:ADB786486 AMX786474:AMX786486 AWT786474:AWT786486 BGP786474:BGP786486 BQL786474:BQL786486 CAH786474:CAH786486 CKD786474:CKD786486 CTZ786474:CTZ786486 DDV786474:DDV786486 DNR786474:DNR786486 DXN786474:DXN786486 EHJ786474:EHJ786486 ERF786474:ERF786486 FBB786474:FBB786486 FKX786474:FKX786486 FUT786474:FUT786486 GEP786474:GEP786486 GOL786474:GOL786486 GYH786474:GYH786486 HID786474:HID786486 HRZ786474:HRZ786486 IBV786474:IBV786486 ILR786474:ILR786486 IVN786474:IVN786486 JFJ786474:JFJ786486 JPF786474:JPF786486 JZB786474:JZB786486 KIX786474:KIX786486 KST786474:KST786486 LCP786474:LCP786486 LML786474:LML786486 LWH786474:LWH786486 MGD786474:MGD786486 MPZ786474:MPZ786486 MZV786474:MZV786486 NJR786474:NJR786486 NTN786474:NTN786486 ODJ786474:ODJ786486 ONF786474:ONF786486 OXB786474:OXB786486 PGX786474:PGX786486 PQT786474:PQT786486 QAP786474:QAP786486 QKL786474:QKL786486 QUH786474:QUH786486 RED786474:RED786486 RNZ786474:RNZ786486 RXV786474:RXV786486 SHR786474:SHR786486 SRN786474:SRN786486 TBJ786474:TBJ786486 TLF786474:TLF786486 TVB786474:TVB786486 UEX786474:UEX786486 UOT786474:UOT786486 UYP786474:UYP786486 VIL786474:VIL786486 VSH786474:VSH786486 WCD786474:WCD786486 WLZ786474:WLZ786486 WVV786474:WVV786486 N852010:N852022 JJ852010:JJ852022 TF852010:TF852022 ADB852010:ADB852022 AMX852010:AMX852022 AWT852010:AWT852022 BGP852010:BGP852022 BQL852010:BQL852022 CAH852010:CAH852022 CKD852010:CKD852022 CTZ852010:CTZ852022 DDV852010:DDV852022 DNR852010:DNR852022 DXN852010:DXN852022 EHJ852010:EHJ852022 ERF852010:ERF852022 FBB852010:FBB852022 FKX852010:FKX852022 FUT852010:FUT852022 GEP852010:GEP852022 GOL852010:GOL852022 GYH852010:GYH852022 HID852010:HID852022 HRZ852010:HRZ852022 IBV852010:IBV852022 ILR852010:ILR852022 IVN852010:IVN852022 JFJ852010:JFJ852022 JPF852010:JPF852022 JZB852010:JZB852022 KIX852010:KIX852022 KST852010:KST852022 LCP852010:LCP852022 LML852010:LML852022 LWH852010:LWH852022 MGD852010:MGD852022 MPZ852010:MPZ852022 MZV852010:MZV852022 NJR852010:NJR852022 NTN852010:NTN852022 ODJ852010:ODJ852022 ONF852010:ONF852022 OXB852010:OXB852022 PGX852010:PGX852022 PQT852010:PQT852022 QAP852010:QAP852022 QKL852010:QKL852022 QUH852010:QUH852022 RED852010:RED852022 RNZ852010:RNZ852022 RXV852010:RXV852022 SHR852010:SHR852022 SRN852010:SRN852022 TBJ852010:TBJ852022 TLF852010:TLF852022 TVB852010:TVB852022 UEX852010:UEX852022 UOT852010:UOT852022 UYP852010:UYP852022 VIL852010:VIL852022 VSH852010:VSH852022 WCD852010:WCD852022 WLZ852010:WLZ852022 WVV852010:WVV852022 N917546:N917558 JJ917546:JJ917558 TF917546:TF917558 ADB917546:ADB917558 AMX917546:AMX917558 AWT917546:AWT917558 BGP917546:BGP917558 BQL917546:BQL917558 CAH917546:CAH917558 CKD917546:CKD917558 CTZ917546:CTZ917558 DDV917546:DDV917558 DNR917546:DNR917558 DXN917546:DXN917558 EHJ917546:EHJ917558 ERF917546:ERF917558 FBB917546:FBB917558 FKX917546:FKX917558 FUT917546:FUT917558 GEP917546:GEP917558 GOL917546:GOL917558 GYH917546:GYH917558 HID917546:HID917558 HRZ917546:HRZ917558 IBV917546:IBV917558 ILR917546:ILR917558 IVN917546:IVN917558 JFJ917546:JFJ917558 JPF917546:JPF917558 JZB917546:JZB917558 KIX917546:KIX917558 KST917546:KST917558 LCP917546:LCP917558 LML917546:LML917558 LWH917546:LWH917558 MGD917546:MGD917558 MPZ917546:MPZ917558 MZV917546:MZV917558 NJR917546:NJR917558 NTN917546:NTN917558 ODJ917546:ODJ917558 ONF917546:ONF917558 OXB917546:OXB917558 PGX917546:PGX917558 PQT917546:PQT917558 QAP917546:QAP917558 QKL917546:QKL917558 QUH917546:QUH917558 RED917546:RED917558 RNZ917546:RNZ917558 RXV917546:RXV917558 SHR917546:SHR917558 SRN917546:SRN917558 TBJ917546:TBJ917558 TLF917546:TLF917558 TVB917546:TVB917558 UEX917546:UEX917558 UOT917546:UOT917558 UYP917546:UYP917558 VIL917546:VIL917558 VSH917546:VSH917558 WCD917546:WCD917558 WLZ917546:WLZ917558 WVV917546:WVV917558 N983082:N983094 JJ983082:JJ983094 TF983082:TF983094 ADB983082:ADB983094 AMX983082:AMX983094 AWT983082:AWT983094 BGP983082:BGP983094 BQL983082:BQL983094 CAH983082:CAH983094 CKD983082:CKD983094 CTZ983082:CTZ983094 DDV983082:DDV983094 DNR983082:DNR983094 DXN983082:DXN983094 EHJ983082:EHJ983094 ERF983082:ERF983094 FBB983082:FBB983094 FKX983082:FKX983094 FUT983082:FUT983094 GEP983082:GEP983094 GOL983082:GOL983094 GYH983082:GYH983094 HID983082:HID983094 HRZ983082:HRZ983094 IBV983082:IBV983094 ILR983082:ILR983094 IVN983082:IVN983094 JFJ983082:JFJ983094 JPF983082:JPF983094 JZB983082:JZB983094 KIX983082:KIX983094 KST983082:KST983094 LCP983082:LCP983094 LML983082:LML983094 LWH983082:LWH983094 MGD983082:MGD983094 MPZ983082:MPZ983094 MZV983082:MZV983094 NJR983082:NJR983094 NTN983082:NTN983094 ODJ983082:ODJ983094 ONF983082:ONF983094 OXB983082:OXB983094 PGX983082:PGX983094 PQT983082:PQT983094 QAP983082:QAP983094 QKL983082:QKL983094 QUH983082:QUH983094 RED983082:RED983094 RNZ983082:RNZ983094 RXV983082:RXV983094 SHR983082:SHR983094 SRN983082:SRN983094 TBJ983082:TBJ983094 TLF983082:TLF983094 TVB983082:TVB983094 UEX983082:UEX983094 UOT983082:UOT983094 UYP983082:UYP983094 VIL983082:VIL983094 VSH983082:VSH983094 WCD983082:WCD983094 WLZ983082:WLZ983094 WVV983082:WVV983094">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sqref="A1:K1"/>
    </sheetView>
  </sheetViews>
  <sheetFormatPr defaultRowHeight="12.75"/>
  <cols>
    <col min="1" max="1" width="3.875" style="514" customWidth="1"/>
    <col min="2" max="2" width="19.125" style="514" customWidth="1"/>
    <col min="3" max="4" width="8.625" style="514" customWidth="1"/>
    <col min="5" max="5" width="9" style="514" customWidth="1"/>
    <col min="6" max="6" width="3.25" style="514" customWidth="1"/>
    <col min="7" max="7" width="13.75" style="514" customWidth="1"/>
    <col min="8" max="8" width="8.5" style="514" customWidth="1"/>
    <col min="9" max="9" width="9.5" style="514" customWidth="1"/>
    <col min="10" max="10" width="8.375" style="514" customWidth="1"/>
    <col min="11" max="11" width="8.625" style="514" customWidth="1"/>
    <col min="12" max="16384" width="9" style="514"/>
  </cols>
  <sheetData>
    <row r="1" spans="1:12" ht="27" customHeight="1">
      <c r="A1" s="756" t="s">
        <v>380</v>
      </c>
      <c r="B1" s="756"/>
      <c r="C1" s="756"/>
      <c r="D1" s="756"/>
      <c r="E1" s="756"/>
      <c r="F1" s="756"/>
      <c r="G1" s="756"/>
      <c r="H1" s="756"/>
      <c r="I1" s="756"/>
      <c r="J1" s="756"/>
      <c r="K1" s="756"/>
    </row>
    <row r="2" spans="1:12" ht="18" customHeight="1">
      <c r="A2" s="580" t="s">
        <v>418</v>
      </c>
      <c r="B2" s="579"/>
      <c r="C2" s="579"/>
      <c r="D2" s="579"/>
      <c r="E2" s="579"/>
      <c r="F2" s="579"/>
      <c r="G2" s="579"/>
      <c r="H2" s="579"/>
      <c r="I2" s="579"/>
      <c r="J2" s="579"/>
      <c r="K2" s="579"/>
    </row>
    <row r="3" spans="1:12" ht="15.75" customHeight="1"/>
    <row r="4" spans="1:12" ht="24" customHeight="1">
      <c r="A4" s="578" t="s">
        <v>419</v>
      </c>
      <c r="B4" s="577"/>
      <c r="C4" s="575"/>
      <c r="D4" s="575"/>
      <c r="E4" s="575"/>
      <c r="F4" s="575"/>
      <c r="G4" s="575"/>
      <c r="H4" s="575"/>
      <c r="I4" s="575"/>
      <c r="J4" s="576"/>
      <c r="K4" s="575"/>
    </row>
    <row r="5" spans="1:12" ht="42" customHeight="1">
      <c r="A5" s="759" t="s">
        <v>580</v>
      </c>
      <c r="B5" s="759"/>
      <c r="C5" s="759"/>
      <c r="D5" s="759"/>
      <c r="E5" s="759"/>
      <c r="F5" s="759"/>
      <c r="G5" s="759"/>
      <c r="H5" s="759"/>
      <c r="I5" s="759"/>
      <c r="J5" s="759"/>
      <c r="K5" s="759"/>
    </row>
    <row r="6" spans="1:12" ht="15" customHeight="1">
      <c r="A6" s="574" t="s">
        <v>579</v>
      </c>
      <c r="B6" s="573"/>
      <c r="C6" s="573"/>
      <c r="D6" s="573"/>
      <c r="E6" s="573"/>
      <c r="F6" s="573"/>
      <c r="G6" s="573"/>
      <c r="H6" s="573"/>
      <c r="I6" s="572"/>
      <c r="J6" s="571"/>
      <c r="K6" s="571"/>
    </row>
    <row r="7" spans="1:12" ht="15" customHeight="1">
      <c r="A7" s="570" t="s">
        <v>578</v>
      </c>
      <c r="B7" s="569"/>
      <c r="C7" s="569"/>
      <c r="D7" s="569"/>
      <c r="E7" s="569"/>
      <c r="F7" s="569"/>
      <c r="G7" s="569"/>
      <c r="H7" s="569"/>
      <c r="I7" s="569"/>
      <c r="J7" s="569"/>
      <c r="K7" s="569"/>
    </row>
    <row r="8" spans="1:12" ht="15" customHeight="1">
      <c r="J8" s="758"/>
      <c r="K8" s="758"/>
    </row>
    <row r="9" spans="1:12" ht="15" customHeight="1">
      <c r="A9" s="555"/>
      <c r="E9" s="555"/>
      <c r="H9" s="530" t="s">
        <v>420</v>
      </c>
      <c r="I9" s="568"/>
      <c r="J9" s="757" t="s">
        <v>403</v>
      </c>
      <c r="K9" s="757"/>
    </row>
    <row r="10" spans="1:12" ht="15.75" customHeight="1">
      <c r="A10" s="567" t="s">
        <v>421</v>
      </c>
      <c r="B10" s="519" t="s">
        <v>422</v>
      </c>
      <c r="C10" s="518"/>
      <c r="E10" s="555"/>
      <c r="H10" s="566" t="s">
        <v>423</v>
      </c>
      <c r="J10" s="768"/>
      <c r="K10" s="769"/>
    </row>
    <row r="11" spans="1:12" ht="15.75" customHeight="1">
      <c r="A11" s="562" t="s">
        <v>424</v>
      </c>
      <c r="B11" s="519" t="s">
        <v>425</v>
      </c>
      <c r="C11" s="518"/>
      <c r="E11" s="555"/>
      <c r="H11" s="565" t="s">
        <v>426</v>
      </c>
      <c r="J11" s="768"/>
      <c r="K11" s="769"/>
    </row>
    <row r="12" spans="1:12" ht="15.75" customHeight="1">
      <c r="A12" s="562" t="s">
        <v>427</v>
      </c>
      <c r="B12" s="519" t="s">
        <v>428</v>
      </c>
      <c r="C12" s="518"/>
      <c r="E12" s="555"/>
      <c r="H12" s="563" t="s">
        <v>429</v>
      </c>
      <c r="J12" s="768"/>
      <c r="K12" s="769"/>
    </row>
    <row r="13" spans="1:12" ht="15.75" customHeight="1">
      <c r="A13" s="564" t="s">
        <v>430</v>
      </c>
      <c r="B13" s="519" t="s">
        <v>431</v>
      </c>
      <c r="C13" s="518"/>
      <c r="E13" s="555"/>
      <c r="H13" s="563" t="s">
        <v>429</v>
      </c>
      <c r="J13" s="768"/>
      <c r="K13" s="769"/>
    </row>
    <row r="14" spans="1:12" ht="15.75" customHeight="1">
      <c r="A14" s="564" t="s">
        <v>432</v>
      </c>
      <c r="B14" s="519" t="s">
        <v>433</v>
      </c>
      <c r="C14" s="518"/>
      <c r="E14" s="555"/>
      <c r="H14" s="563" t="s">
        <v>434</v>
      </c>
      <c r="J14" s="768"/>
      <c r="K14" s="769"/>
      <c r="L14" s="555"/>
    </row>
    <row r="15" spans="1:12" ht="15.75" customHeight="1">
      <c r="A15" s="562" t="s">
        <v>435</v>
      </c>
      <c r="B15" s="519" t="s">
        <v>436</v>
      </c>
      <c r="C15" s="518"/>
      <c r="E15" s="555"/>
      <c r="H15" s="563" t="s">
        <v>437</v>
      </c>
      <c r="J15" s="768"/>
      <c r="K15" s="769"/>
      <c r="L15" s="555"/>
    </row>
    <row r="16" spans="1:12" ht="15.75" customHeight="1">
      <c r="A16" s="562" t="s">
        <v>438</v>
      </c>
      <c r="B16" s="519" t="s">
        <v>439</v>
      </c>
      <c r="C16" s="518"/>
      <c r="E16" s="555"/>
      <c r="H16" s="563" t="s">
        <v>440</v>
      </c>
      <c r="J16" s="768"/>
      <c r="K16" s="769"/>
      <c r="L16" s="555"/>
    </row>
    <row r="17" spans="1:12" ht="15.75" customHeight="1">
      <c r="A17" s="562" t="s">
        <v>441</v>
      </c>
      <c r="B17" s="561" t="s">
        <v>577</v>
      </c>
      <c r="C17" s="518"/>
      <c r="H17" s="560" t="s">
        <v>442</v>
      </c>
      <c r="I17" s="515"/>
      <c r="J17" s="768"/>
      <c r="K17" s="769"/>
      <c r="L17" s="559"/>
    </row>
    <row r="18" spans="1:12" ht="15.75" customHeight="1">
      <c r="A18" s="531"/>
      <c r="B18" s="558"/>
      <c r="E18" s="555"/>
      <c r="H18" s="557"/>
      <c r="J18" s="556"/>
      <c r="K18" s="556"/>
      <c r="L18" s="555"/>
    </row>
    <row r="19" spans="1:12" ht="24" customHeight="1">
      <c r="A19" s="770" t="s">
        <v>443</v>
      </c>
      <c r="B19" s="770"/>
      <c r="C19" s="770"/>
      <c r="D19" s="770"/>
      <c r="E19" s="770"/>
      <c r="F19" s="770"/>
      <c r="G19" s="770"/>
      <c r="H19" s="770"/>
      <c r="I19" s="770"/>
      <c r="J19" s="770"/>
      <c r="K19" s="770"/>
    </row>
    <row r="20" spans="1:12" ht="15" customHeight="1">
      <c r="A20" s="554"/>
      <c r="B20" s="553"/>
      <c r="C20" s="553"/>
      <c r="D20" s="553"/>
      <c r="E20" s="553"/>
      <c r="F20" s="553"/>
      <c r="G20" s="553"/>
      <c r="H20" s="553"/>
      <c r="I20" s="553"/>
      <c r="J20" s="553"/>
      <c r="K20" s="553"/>
    </row>
    <row r="21" spans="1:12" ht="290.25" customHeight="1">
      <c r="A21" s="760"/>
      <c r="B21" s="761"/>
      <c r="C21" s="761"/>
      <c r="D21" s="761"/>
      <c r="E21" s="761"/>
      <c r="F21" s="761"/>
      <c r="G21" s="761"/>
      <c r="H21" s="761"/>
      <c r="I21" s="761"/>
      <c r="J21" s="761"/>
      <c r="K21" s="762"/>
    </row>
    <row r="22" spans="1:12" ht="15" customHeight="1" thickBot="1">
      <c r="A22" s="766"/>
      <c r="B22" s="766"/>
      <c r="C22" s="766"/>
      <c r="D22" s="766"/>
      <c r="E22" s="766"/>
      <c r="F22" s="766"/>
      <c r="G22" s="766"/>
      <c r="H22" s="766"/>
      <c r="I22" s="766"/>
      <c r="J22" s="766"/>
      <c r="K22" s="766"/>
    </row>
    <row r="23" spans="1:12" ht="13.5" hidden="1" thickBot="1">
      <c r="A23" s="767"/>
      <c r="B23" s="767"/>
      <c r="C23" s="767"/>
      <c r="D23" s="767"/>
      <c r="E23" s="767"/>
      <c r="F23" s="767"/>
      <c r="G23" s="767"/>
      <c r="H23" s="767"/>
      <c r="I23" s="767"/>
      <c r="J23" s="767"/>
      <c r="K23" s="767"/>
    </row>
    <row r="24" spans="1:12" ht="13.5" hidden="1" thickBot="1">
      <c r="A24" s="767"/>
      <c r="B24" s="767"/>
      <c r="C24" s="767"/>
      <c r="D24" s="767"/>
      <c r="E24" s="767"/>
      <c r="F24" s="767"/>
      <c r="G24" s="767"/>
      <c r="H24" s="767"/>
      <c r="I24" s="767"/>
      <c r="J24" s="767"/>
      <c r="K24" s="767"/>
    </row>
    <row r="25" spans="1:12" ht="13.5" hidden="1" thickBot="1">
      <c r="A25" s="767"/>
      <c r="B25" s="767"/>
      <c r="C25" s="767"/>
      <c r="D25" s="767"/>
      <c r="E25" s="767"/>
      <c r="F25" s="767"/>
      <c r="G25" s="767"/>
      <c r="H25" s="767"/>
      <c r="I25" s="767"/>
      <c r="J25" s="767"/>
      <c r="K25" s="767"/>
    </row>
    <row r="26" spans="1:12" ht="13.5" hidden="1" thickBot="1">
      <c r="A26" s="767"/>
      <c r="B26" s="767"/>
      <c r="C26" s="767"/>
      <c r="D26" s="767"/>
      <c r="E26" s="767"/>
      <c r="F26" s="767"/>
      <c r="G26" s="767"/>
      <c r="H26" s="767"/>
      <c r="I26" s="767"/>
      <c r="J26" s="767"/>
      <c r="K26" s="767"/>
    </row>
    <row r="27" spans="1:12" ht="13.5" hidden="1" thickBot="1">
      <c r="A27" s="767"/>
      <c r="B27" s="767"/>
      <c r="C27" s="767"/>
      <c r="D27" s="767"/>
      <c r="E27" s="767"/>
      <c r="F27" s="767"/>
      <c r="G27" s="767"/>
      <c r="H27" s="767"/>
      <c r="I27" s="767"/>
      <c r="J27" s="767"/>
      <c r="K27" s="767"/>
    </row>
    <row r="28" spans="1:12" ht="13.5" hidden="1" thickBot="1">
      <c r="A28" s="767"/>
      <c r="B28" s="767"/>
      <c r="C28" s="767"/>
      <c r="D28" s="767"/>
      <c r="E28" s="767"/>
      <c r="F28" s="767"/>
      <c r="G28" s="767"/>
      <c r="H28" s="767"/>
      <c r="I28" s="767"/>
      <c r="J28" s="767"/>
      <c r="K28" s="767"/>
    </row>
    <row r="29" spans="1:12" ht="201.75" customHeight="1" thickBot="1">
      <c r="A29" s="763" t="s">
        <v>576</v>
      </c>
      <c r="B29" s="764"/>
      <c r="C29" s="764"/>
      <c r="D29" s="764"/>
      <c r="E29" s="764"/>
      <c r="F29" s="764"/>
      <c r="G29" s="764"/>
      <c r="H29" s="764"/>
      <c r="I29" s="764"/>
      <c r="J29" s="764"/>
      <c r="K29" s="765"/>
    </row>
  </sheetData>
  <mergeCells count="16">
    <mergeCell ref="A29:K29"/>
    <mergeCell ref="A22:K28"/>
    <mergeCell ref="J10:K10"/>
    <mergeCell ref="J12:K12"/>
    <mergeCell ref="J11:K11"/>
    <mergeCell ref="J13:K13"/>
    <mergeCell ref="J14:K14"/>
    <mergeCell ref="J15:K15"/>
    <mergeCell ref="J16:K16"/>
    <mergeCell ref="A19:K19"/>
    <mergeCell ref="J17:K17"/>
    <mergeCell ref="A1:K1"/>
    <mergeCell ref="J9:K9"/>
    <mergeCell ref="J8:K8"/>
    <mergeCell ref="A5:K5"/>
    <mergeCell ref="A21:K21"/>
  </mergeCells>
  <conditionalFormatting sqref="J10:K17">
    <cfRule type="cellIs" dxfId="56"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451"/>
  <sheetViews>
    <sheetView tabSelected="1" topLeftCell="J271" zoomScale="75" zoomScaleNormal="75" workbookViewId="0">
      <selection activeCell="R291" sqref="R291"/>
    </sheetView>
  </sheetViews>
  <sheetFormatPr defaultRowHeight="14.1" customHeight="1"/>
  <cols>
    <col min="1" max="1" width="2.375" style="602" customWidth="1"/>
    <col min="2" max="2" width="2.375" style="24" customWidth="1"/>
    <col min="3" max="13" width="10.625" style="24" customWidth="1"/>
    <col min="14" max="14" width="2.375" style="24" customWidth="1"/>
    <col min="15" max="35" width="10.625" style="24" customWidth="1"/>
    <col min="36" max="36" width="10.625" style="620" customWidth="1"/>
    <col min="37" max="43" width="10.625" style="24" customWidth="1"/>
    <col min="44" max="16384" width="9" style="6"/>
  </cols>
  <sheetData>
    <row r="1" spans="1:43" ht="14.1" customHeight="1" thickTop="1">
      <c r="A1" s="20"/>
      <c r="B1" s="21"/>
      <c r="C1" s="22"/>
      <c r="D1" s="22"/>
      <c r="E1" s="22"/>
      <c r="F1" s="22"/>
      <c r="G1" s="22"/>
      <c r="H1" s="22"/>
      <c r="I1" s="22"/>
      <c r="J1" s="22"/>
      <c r="K1" s="22"/>
      <c r="L1" s="22"/>
      <c r="M1" s="23"/>
      <c r="O1" s="25" t="s">
        <v>0</v>
      </c>
      <c r="P1" s="26"/>
      <c r="Q1" s="26"/>
      <c r="R1" s="26"/>
      <c r="S1" s="26"/>
      <c r="T1" s="26"/>
      <c r="U1" s="26"/>
      <c r="V1" s="26"/>
      <c r="W1" s="26"/>
      <c r="X1" s="26"/>
      <c r="Y1" s="27"/>
      <c r="AA1" s="28" t="s">
        <v>1</v>
      </c>
    </row>
    <row r="2" spans="1:43" ht="14.1" customHeight="1">
      <c r="A2" s="20">
        <v>2</v>
      </c>
      <c r="B2" s="29"/>
      <c r="C2" s="30"/>
      <c r="D2" s="30"/>
      <c r="E2" s="30"/>
      <c r="F2" s="30"/>
      <c r="G2" s="30"/>
      <c r="H2" s="31" t="s">
        <v>2</v>
      </c>
      <c r="I2" s="30"/>
      <c r="J2" s="30"/>
      <c r="K2" s="30"/>
      <c r="L2" s="30"/>
      <c r="M2" s="32"/>
      <c r="O2" s="33"/>
      <c r="T2" s="34" t="s">
        <v>2</v>
      </c>
      <c r="Y2" s="35"/>
      <c r="AA2" s="36" t="s">
        <v>3</v>
      </c>
    </row>
    <row r="3" spans="1:43" ht="14.1" customHeight="1">
      <c r="A3" s="20">
        <v>3</v>
      </c>
      <c r="B3" s="29"/>
      <c r="C3" s="30"/>
      <c r="D3" s="30"/>
      <c r="E3" s="30"/>
      <c r="F3" s="30"/>
      <c r="G3" s="30"/>
      <c r="H3" s="31" t="s">
        <v>4</v>
      </c>
      <c r="I3" s="30"/>
      <c r="J3" s="30"/>
      <c r="K3" s="30"/>
      <c r="L3" s="30"/>
      <c r="M3" s="32"/>
      <c r="O3" s="33"/>
      <c r="T3" s="34" t="s">
        <v>4</v>
      </c>
      <c r="Y3" s="35"/>
      <c r="AA3" s="37" t="str">
        <f>IF(AB7="","",AB7)</f>
        <v/>
      </c>
    </row>
    <row r="4" spans="1:43" ht="14.1" customHeight="1">
      <c r="A4" s="20">
        <v>4</v>
      </c>
      <c r="B4" s="29"/>
      <c r="C4" s="30"/>
      <c r="D4" s="30"/>
      <c r="E4" s="30"/>
      <c r="F4" s="30"/>
      <c r="G4" s="30"/>
      <c r="H4" s="30"/>
      <c r="I4" s="30"/>
      <c r="J4" s="30"/>
      <c r="K4" s="30"/>
      <c r="L4" s="30"/>
      <c r="M4" s="32"/>
      <c r="O4" s="33"/>
      <c r="T4" s="602"/>
      <c r="Y4" s="35"/>
      <c r="AA4" s="38" t="s">
        <v>5</v>
      </c>
      <c r="AB4" s="39" t="s">
        <v>6</v>
      </c>
    </row>
    <row r="5" spans="1:43" ht="14.1" customHeight="1">
      <c r="A5" s="20">
        <v>5</v>
      </c>
      <c r="B5" s="29"/>
      <c r="C5" s="30"/>
      <c r="D5" s="30"/>
      <c r="E5" s="30"/>
      <c r="F5" s="30"/>
      <c r="G5" s="30"/>
      <c r="H5" s="31" t="s">
        <v>7</v>
      </c>
      <c r="I5" s="30"/>
      <c r="J5" s="30"/>
      <c r="K5" s="30"/>
      <c r="L5" s="30"/>
      <c r="M5" s="32"/>
      <c r="O5" s="33"/>
      <c r="T5" s="34" t="s">
        <v>7</v>
      </c>
      <c r="Y5" s="35"/>
    </row>
    <row r="6" spans="1:43" ht="14.1" customHeight="1" thickBot="1">
      <c r="A6" s="20">
        <v>6</v>
      </c>
      <c r="B6" s="40"/>
      <c r="C6" s="41"/>
      <c r="D6" s="41"/>
      <c r="E6" s="41"/>
      <c r="F6" s="41"/>
      <c r="G6" s="41"/>
      <c r="H6" s="41"/>
      <c r="I6" s="41"/>
      <c r="J6" s="41"/>
      <c r="K6" s="41"/>
      <c r="L6" s="41"/>
      <c r="M6" s="42"/>
      <c r="O6" s="43"/>
      <c r="P6" s="44"/>
      <c r="Q6" s="44"/>
      <c r="R6" s="44"/>
      <c r="S6" s="44"/>
      <c r="T6" s="44"/>
      <c r="U6" s="44"/>
      <c r="V6" s="44"/>
      <c r="W6" s="44"/>
      <c r="X6" s="44"/>
      <c r="Y6" s="45"/>
      <c r="AA6" s="46" t="s">
        <v>8</v>
      </c>
      <c r="AB6" s="24" t="s">
        <v>9</v>
      </c>
      <c r="AD6" s="24" t="s">
        <v>10</v>
      </c>
    </row>
    <row r="7" spans="1:43" ht="14.1" customHeight="1" thickTop="1">
      <c r="A7" s="20">
        <v>7</v>
      </c>
      <c r="O7" s="24" t="s">
        <v>11</v>
      </c>
      <c r="P7" s="47"/>
      <c r="Q7" s="48"/>
      <c r="W7" s="24" t="s">
        <v>12</v>
      </c>
      <c r="X7" s="49" t="str">
        <f>IF(Y7&lt;&gt;"",Y7,IF(AB9="","",AB9))</f>
        <v>Eugene Mah</v>
      </c>
      <c r="Y7" s="50" t="s">
        <v>13</v>
      </c>
      <c r="AA7" s="38" t="s">
        <v>1</v>
      </c>
      <c r="AB7" s="51"/>
      <c r="AC7" s="52" t="str">
        <f t="shared" ref="AC7:AC19" si="0">IF(AB7&lt;&gt;AD7,"Change","")</f>
        <v>Change</v>
      </c>
      <c r="AD7" s="53" t="str">
        <f>IF(OR(AA2="",AA2=0),"",AA2)</f>
        <v>Page1,HVLPage,ExpChart,ImgQuality,Compg1,GraphAcryl,LeedsTO10</v>
      </c>
    </row>
    <row r="8" spans="1:43" ht="14.1" customHeight="1" thickBot="1">
      <c r="A8" s="20">
        <v>8</v>
      </c>
      <c r="G8" s="54"/>
      <c r="H8" s="54" t="s">
        <v>14</v>
      </c>
      <c r="O8" s="24" t="s">
        <v>15</v>
      </c>
      <c r="P8" s="55" t="str">
        <f>IF(AB8="","",AB8)</f>
        <v/>
      </c>
      <c r="Q8" s="56"/>
      <c r="T8" s="267" t="s">
        <v>14</v>
      </c>
      <c r="W8" s="58"/>
      <c r="X8" s="58"/>
      <c r="Y8" s="59"/>
      <c r="AA8" s="38" t="s">
        <v>16</v>
      </c>
      <c r="AB8" s="60"/>
      <c r="AC8" s="52" t="str">
        <f t="shared" si="0"/>
        <v/>
      </c>
      <c r="AD8" s="61" t="str">
        <f>IF(P7="","",P7)</f>
        <v/>
      </c>
    </row>
    <row r="9" spans="1:43" ht="14.1" customHeight="1" thickTop="1" thickBot="1">
      <c r="A9" s="20">
        <v>9</v>
      </c>
      <c r="B9" s="62"/>
      <c r="C9" s="63"/>
      <c r="D9" s="64" t="s">
        <v>17</v>
      </c>
      <c r="E9" s="63"/>
      <c r="F9" s="63"/>
      <c r="G9" s="63"/>
      <c r="H9" s="63"/>
      <c r="I9" s="63"/>
      <c r="J9" s="63"/>
      <c r="K9" s="63"/>
      <c r="L9" s="63"/>
      <c r="M9" s="65"/>
      <c r="O9" s="66"/>
      <c r="P9" s="67" t="s">
        <v>17</v>
      </c>
      <c r="Q9" s="26"/>
      <c r="R9" s="26"/>
      <c r="S9" s="68" t="s">
        <v>18</v>
      </c>
      <c r="T9" s="26"/>
      <c r="U9" s="26"/>
      <c r="V9" s="26"/>
      <c r="W9" s="68" t="s">
        <v>18</v>
      </c>
      <c r="X9" s="26"/>
      <c r="Y9" s="27"/>
      <c r="AA9" s="38" t="s">
        <v>19</v>
      </c>
      <c r="AB9" s="69" t="s">
        <v>13</v>
      </c>
      <c r="AC9" s="52" t="str">
        <f t="shared" si="0"/>
        <v/>
      </c>
      <c r="AD9" s="70" t="str">
        <f>IF(X7="","",X7)</f>
        <v>Eugene Mah</v>
      </c>
      <c r="AH9" s="602" t="s">
        <v>20</v>
      </c>
      <c r="AI9" s="602" t="s">
        <v>21</v>
      </c>
      <c r="AJ9" s="621" t="s">
        <v>22</v>
      </c>
      <c r="AK9" s="602" t="s">
        <v>23</v>
      </c>
      <c r="AL9" s="602" t="s">
        <v>24</v>
      </c>
      <c r="AM9" s="602" t="s">
        <v>25</v>
      </c>
      <c r="AN9" s="602" t="s">
        <v>26</v>
      </c>
      <c r="AO9" s="602" t="s">
        <v>27</v>
      </c>
      <c r="AP9" s="602" t="s">
        <v>28</v>
      </c>
      <c r="AQ9" s="602" t="s">
        <v>29</v>
      </c>
    </row>
    <row r="10" spans="1:43" ht="14.1" customHeight="1">
      <c r="A10" s="20">
        <v>10</v>
      </c>
      <c r="B10" s="71"/>
      <c r="C10" s="72"/>
      <c r="E10" s="38" t="s">
        <v>30</v>
      </c>
      <c r="F10" s="781" t="str">
        <f>IF(R10="","",R10)</f>
        <v/>
      </c>
      <c r="G10" s="781"/>
      <c r="J10" s="38" t="s">
        <v>31</v>
      </c>
      <c r="K10" s="781" t="str">
        <f>IF(V10="","",V10)</f>
        <v/>
      </c>
      <c r="L10" s="781"/>
      <c r="M10" s="73"/>
      <c r="O10" s="33"/>
      <c r="Q10" s="38" t="s">
        <v>30</v>
      </c>
      <c r="R10" s="49" t="str">
        <f>IF(S10&lt;&gt;"",S10,IF(AB10="","",AB10))</f>
        <v/>
      </c>
      <c r="S10" s="50"/>
      <c r="U10" s="38" t="s">
        <v>31</v>
      </c>
      <c r="V10" s="49" t="str">
        <f>IF(W10&lt;&gt;"",W10,IF(AB15="","",AB15))</f>
        <v/>
      </c>
      <c r="W10" s="50"/>
      <c r="Y10" s="35"/>
      <c r="AA10" s="38" t="s">
        <v>30</v>
      </c>
      <c r="AB10" s="69"/>
      <c r="AC10" s="52" t="str">
        <f t="shared" si="0"/>
        <v/>
      </c>
      <c r="AD10" s="70" t="str">
        <f>IF(R10="","",R10)</f>
        <v/>
      </c>
      <c r="AH10" s="606">
        <v>24</v>
      </c>
      <c r="AI10" s="604">
        <v>50</v>
      </c>
      <c r="AJ10" s="214">
        <v>0</v>
      </c>
      <c r="AK10" s="604" t="str">
        <f>IF($V$21="","",$V$21)</f>
        <v>Mo</v>
      </c>
      <c r="AL10" s="604" t="str">
        <f>IF($V$24="","",$V$24)</f>
        <v>Mo</v>
      </c>
      <c r="AM10" s="604"/>
      <c r="AN10" s="604"/>
      <c r="AO10" s="604"/>
      <c r="AP10" s="604"/>
      <c r="AQ10" s="607" t="s">
        <v>581</v>
      </c>
    </row>
    <row r="11" spans="1:43" ht="14.1" customHeight="1">
      <c r="A11" s="20">
        <v>11</v>
      </c>
      <c r="B11" s="71"/>
      <c r="C11" s="72"/>
      <c r="E11" s="38" t="s">
        <v>33</v>
      </c>
      <c r="F11" s="790" t="str">
        <f>IF(R11="","",R11)</f>
        <v/>
      </c>
      <c r="G11" s="790"/>
      <c r="J11" s="38" t="s">
        <v>34</v>
      </c>
      <c r="K11" s="781" t="str">
        <f>IF(V11="","",V11)</f>
        <v/>
      </c>
      <c r="L11" s="781"/>
      <c r="M11" s="73"/>
      <c r="O11" s="33"/>
      <c r="Q11" s="38" t="s">
        <v>33</v>
      </c>
      <c r="R11" s="49" t="str">
        <f>IF(S11&lt;&gt;"",S11,IF(AB11="","",AB11))</f>
        <v/>
      </c>
      <c r="S11" s="50"/>
      <c r="U11" s="38" t="s">
        <v>34</v>
      </c>
      <c r="V11" s="49" t="str">
        <f>IF(W11&lt;&gt;"",W11,IF(AB16="","",AB16))</f>
        <v/>
      </c>
      <c r="W11" s="50"/>
      <c r="Y11" s="35"/>
      <c r="AA11" s="38" t="s">
        <v>33</v>
      </c>
      <c r="AB11" s="69"/>
      <c r="AC11" s="52" t="str">
        <f t="shared" si="0"/>
        <v/>
      </c>
      <c r="AD11" s="70" t="str">
        <f>IF(R11="","",R11)</f>
        <v/>
      </c>
      <c r="AH11" s="612">
        <v>24</v>
      </c>
      <c r="AI11" s="613">
        <v>50</v>
      </c>
      <c r="AJ11" s="614">
        <v>0</v>
      </c>
      <c r="AK11" s="613" t="str">
        <f t="shared" ref="AK11:AK74" si="1">IF($V$21="","",$V$21)</f>
        <v>Mo</v>
      </c>
      <c r="AL11" s="613" t="str">
        <f t="shared" ref="AL11:AL56" si="2">IF($V$24="","",$V$24)</f>
        <v>Mo</v>
      </c>
      <c r="AM11" s="613"/>
      <c r="AN11" s="613"/>
      <c r="AO11" s="613"/>
      <c r="AP11" s="613"/>
      <c r="AQ11" s="615" t="s">
        <v>581</v>
      </c>
    </row>
    <row r="12" spans="1:43" ht="14.1" customHeight="1">
      <c r="A12" s="20">
        <v>12</v>
      </c>
      <c r="B12" s="71"/>
      <c r="C12" s="72"/>
      <c r="E12" s="38" t="s">
        <v>35</v>
      </c>
      <c r="F12" s="790" t="str">
        <f>IF(R12="","",R12)</f>
        <v/>
      </c>
      <c r="G12" s="790"/>
      <c r="J12" s="38" t="s">
        <v>36</v>
      </c>
      <c r="K12" s="791" t="str">
        <f>IF(V12="","",V12)</f>
        <v/>
      </c>
      <c r="L12" s="791"/>
      <c r="M12" s="73"/>
      <c r="O12" s="33"/>
      <c r="Q12" s="38" t="s">
        <v>35</v>
      </c>
      <c r="R12" s="49" t="str">
        <f>IF(S12&lt;&gt;"",S12,IF(AB12="","",AB12))</f>
        <v/>
      </c>
      <c r="S12" s="50"/>
      <c r="U12" s="38" t="s">
        <v>36</v>
      </c>
      <c r="V12" s="76" t="str">
        <f>IF(W12&lt;&gt;"",W12,IF(AB17="","",AB17))</f>
        <v/>
      </c>
      <c r="W12" s="77"/>
      <c r="Y12" s="35"/>
      <c r="AA12" s="38" t="s">
        <v>35</v>
      </c>
      <c r="AB12" s="69"/>
      <c r="AC12" s="52" t="str">
        <f t="shared" si="0"/>
        <v/>
      </c>
      <c r="AD12" s="70" t="str">
        <f>IF(R12="","",R12)</f>
        <v/>
      </c>
      <c r="AH12" s="612">
        <v>24</v>
      </c>
      <c r="AI12" s="613">
        <v>50</v>
      </c>
      <c r="AJ12" s="614">
        <v>0.2</v>
      </c>
      <c r="AK12" s="613" t="str">
        <f t="shared" si="1"/>
        <v>Mo</v>
      </c>
      <c r="AL12" s="613" t="str">
        <f t="shared" si="2"/>
        <v>Mo</v>
      </c>
      <c r="AM12" s="613"/>
      <c r="AN12" s="613"/>
      <c r="AO12" s="613"/>
      <c r="AP12" s="613"/>
      <c r="AQ12" s="615" t="s">
        <v>581</v>
      </c>
    </row>
    <row r="13" spans="1:43" ht="14.1" customHeight="1">
      <c r="A13" s="20">
        <v>13</v>
      </c>
      <c r="B13" s="71"/>
      <c r="C13" s="72"/>
      <c r="E13" s="38" t="s">
        <v>37</v>
      </c>
      <c r="F13" s="790" t="str">
        <f>IF(R13="","",R13)</f>
        <v/>
      </c>
      <c r="G13" s="790"/>
      <c r="J13" s="38" t="s">
        <v>38</v>
      </c>
      <c r="K13" s="781" t="str">
        <f>IF(V13="","",V13)</f>
        <v/>
      </c>
      <c r="L13" s="781"/>
      <c r="M13" s="73"/>
      <c r="O13" s="33"/>
      <c r="Q13" s="38" t="s">
        <v>37</v>
      </c>
      <c r="R13" s="49" t="str">
        <f>IF(S13&lt;&gt;"",S13,IF(AB13="","",AB13))</f>
        <v/>
      </c>
      <c r="S13" s="50"/>
      <c r="U13" s="38" t="s">
        <v>38</v>
      </c>
      <c r="V13" s="49" t="str">
        <f>IF(W13&lt;&gt;"",W13,IF(AB18="","",AB18))</f>
        <v/>
      </c>
      <c r="W13" s="50"/>
      <c r="Y13" s="35"/>
      <c r="AA13" s="38" t="s">
        <v>37</v>
      </c>
      <c r="AB13" s="69"/>
      <c r="AC13" s="52" t="str">
        <f t="shared" si="0"/>
        <v/>
      </c>
      <c r="AD13" s="70" t="str">
        <f>IF(R13="","",R13)</f>
        <v/>
      </c>
      <c r="AH13" s="612">
        <v>24</v>
      </c>
      <c r="AI13" s="613">
        <v>50</v>
      </c>
      <c r="AJ13" s="614">
        <v>0.2</v>
      </c>
      <c r="AK13" s="613" t="str">
        <f t="shared" si="1"/>
        <v>Mo</v>
      </c>
      <c r="AL13" s="613" t="str">
        <f t="shared" si="2"/>
        <v>Mo</v>
      </c>
      <c r="AM13" s="613"/>
      <c r="AN13" s="613"/>
      <c r="AO13" s="613"/>
      <c r="AP13" s="613"/>
      <c r="AQ13" s="615" t="s">
        <v>581</v>
      </c>
    </row>
    <row r="14" spans="1:43" ht="14.1" customHeight="1">
      <c r="A14" s="20">
        <v>14</v>
      </c>
      <c r="B14" s="71"/>
      <c r="C14" s="72"/>
      <c r="M14" s="73"/>
      <c r="O14" s="33"/>
      <c r="Q14" s="38" t="s">
        <v>39</v>
      </c>
      <c r="R14" s="49" t="str">
        <f>IF(S14&lt;&gt;"",S14,IF(AB14="","",AB14))</f>
        <v/>
      </c>
      <c r="S14" s="50"/>
      <c r="U14" s="38" t="s">
        <v>40</v>
      </c>
      <c r="V14" s="49" t="str">
        <f>IF(W14&lt;&gt;"",W14,IF(AB19="","",AB19))</f>
        <v/>
      </c>
      <c r="W14" s="50"/>
      <c r="Y14" s="35"/>
      <c r="AA14" s="38" t="s">
        <v>39</v>
      </c>
      <c r="AB14" s="78"/>
      <c r="AC14" s="52" t="str">
        <f t="shared" si="0"/>
        <v/>
      </c>
      <c r="AD14" s="70" t="str">
        <f>IF(R14="","",R14)</f>
        <v/>
      </c>
      <c r="AH14" s="612">
        <v>24</v>
      </c>
      <c r="AI14" s="613">
        <v>50</v>
      </c>
      <c r="AJ14" s="614">
        <v>0.3</v>
      </c>
      <c r="AK14" s="613" t="str">
        <f t="shared" si="1"/>
        <v>Mo</v>
      </c>
      <c r="AL14" s="613" t="str">
        <f t="shared" si="2"/>
        <v>Mo</v>
      </c>
      <c r="AM14" s="613"/>
      <c r="AN14" s="613"/>
      <c r="AO14" s="613"/>
      <c r="AP14" s="613"/>
      <c r="AQ14" s="615" t="s">
        <v>581</v>
      </c>
    </row>
    <row r="15" spans="1:43" ht="14.1" customHeight="1">
      <c r="A15" s="20">
        <v>15</v>
      </c>
      <c r="B15" s="71"/>
      <c r="C15" s="72"/>
      <c r="D15" s="79" t="s">
        <v>41</v>
      </c>
      <c r="M15" s="73"/>
      <c r="O15" s="33"/>
      <c r="Y15" s="35"/>
      <c r="AA15" s="38" t="s">
        <v>31</v>
      </c>
      <c r="AB15" s="69"/>
      <c r="AC15" s="52" t="str">
        <f t="shared" si="0"/>
        <v/>
      </c>
      <c r="AD15" s="70" t="str">
        <f>IF(V10="","",V10)</f>
        <v/>
      </c>
      <c r="AH15" s="612">
        <v>24</v>
      </c>
      <c r="AI15" s="613">
        <v>50</v>
      </c>
      <c r="AJ15" s="614">
        <v>0.3</v>
      </c>
      <c r="AK15" s="613" t="str">
        <f t="shared" si="1"/>
        <v>Mo</v>
      </c>
      <c r="AL15" s="613" t="str">
        <f t="shared" si="2"/>
        <v>Mo</v>
      </c>
      <c r="AM15" s="613"/>
      <c r="AN15" s="613"/>
      <c r="AO15" s="613"/>
      <c r="AP15" s="613"/>
      <c r="AQ15" s="615" t="s">
        <v>581</v>
      </c>
    </row>
    <row r="16" spans="1:43" ht="14.1" customHeight="1">
      <c r="A16" s="20">
        <v>16</v>
      </c>
      <c r="B16" s="71"/>
      <c r="C16" s="72"/>
      <c r="E16" s="38" t="s">
        <v>42</v>
      </c>
      <c r="F16" s="781" t="str">
        <f>IF(R17="","",R17)</f>
        <v/>
      </c>
      <c r="G16" s="781"/>
      <c r="J16" s="38" t="s">
        <v>43</v>
      </c>
      <c r="K16" s="791" t="str">
        <f>IF(V17="","",V17)</f>
        <v/>
      </c>
      <c r="L16" s="791"/>
      <c r="M16" s="73"/>
      <c r="O16" s="33"/>
      <c r="P16" s="79" t="s">
        <v>41</v>
      </c>
      <c r="Y16" s="35"/>
      <c r="AA16" s="38" t="s">
        <v>34</v>
      </c>
      <c r="AB16" s="69"/>
      <c r="AC16" s="52" t="str">
        <f t="shared" si="0"/>
        <v/>
      </c>
      <c r="AD16" s="70" t="str">
        <f>IF(V11="","",V11)</f>
        <v/>
      </c>
      <c r="AH16" s="612">
        <v>24</v>
      </c>
      <c r="AI16" s="613">
        <v>50</v>
      </c>
      <c r="AJ16" s="614">
        <v>0.4</v>
      </c>
      <c r="AK16" s="613" t="str">
        <f t="shared" si="1"/>
        <v>Mo</v>
      </c>
      <c r="AL16" s="613" t="str">
        <f t="shared" si="2"/>
        <v>Mo</v>
      </c>
      <c r="AM16" s="613"/>
      <c r="AN16" s="613"/>
      <c r="AO16" s="613"/>
      <c r="AP16" s="613"/>
      <c r="AQ16" s="615" t="s">
        <v>581</v>
      </c>
    </row>
    <row r="17" spans="1:43" ht="14.1" customHeight="1">
      <c r="A17" s="20">
        <v>17</v>
      </c>
      <c r="B17" s="71"/>
      <c r="C17" s="72"/>
      <c r="E17" s="38" t="s">
        <v>44</v>
      </c>
      <c r="F17" s="781" t="str">
        <f>IF(R18="","",R18)</f>
        <v/>
      </c>
      <c r="G17" s="781"/>
      <c r="J17" s="38" t="s">
        <v>45</v>
      </c>
      <c r="K17" s="792" t="str">
        <f>IF(V18="","",V18)</f>
        <v/>
      </c>
      <c r="L17" s="792"/>
      <c r="M17" s="73"/>
      <c r="O17" s="33"/>
      <c r="Q17" s="38" t="s">
        <v>42</v>
      </c>
      <c r="R17" s="49" t="str">
        <f>IF(S17&lt;&gt;"",S17,IF(AB21="","",AB21))</f>
        <v/>
      </c>
      <c r="S17" s="50"/>
      <c r="U17" s="38" t="s">
        <v>43</v>
      </c>
      <c r="V17" s="76" t="str">
        <f>IF(W17&lt;&gt;"",W17,IF(AB24="","",AB24))</f>
        <v/>
      </c>
      <c r="W17" s="80"/>
      <c r="Y17" s="35"/>
      <c r="AA17" s="38" t="s">
        <v>36</v>
      </c>
      <c r="AB17" s="81"/>
      <c r="AC17" s="52" t="str">
        <f t="shared" si="0"/>
        <v/>
      </c>
      <c r="AD17" s="82" t="str">
        <f>IF(V12="","",V12)</f>
        <v/>
      </c>
      <c r="AH17" s="612">
        <v>24</v>
      </c>
      <c r="AI17" s="613">
        <v>50</v>
      </c>
      <c r="AJ17" s="614">
        <v>0.4</v>
      </c>
      <c r="AK17" s="613" t="str">
        <f t="shared" si="1"/>
        <v>Mo</v>
      </c>
      <c r="AL17" s="613" t="str">
        <f t="shared" si="2"/>
        <v>Mo</v>
      </c>
      <c r="AM17" s="613"/>
      <c r="AN17" s="613"/>
      <c r="AO17" s="613"/>
      <c r="AP17" s="613"/>
      <c r="AQ17" s="615" t="s">
        <v>581</v>
      </c>
    </row>
    <row r="18" spans="1:43" ht="14.1" customHeight="1">
      <c r="A18" s="20">
        <v>18</v>
      </c>
      <c r="B18" s="71"/>
      <c r="C18" s="72"/>
      <c r="E18" s="38" t="s">
        <v>46</v>
      </c>
      <c r="F18" s="781" t="str">
        <f>IF(R19="","",R19)</f>
        <v/>
      </c>
      <c r="G18" s="781"/>
      <c r="J18" s="38" t="s">
        <v>47</v>
      </c>
      <c r="K18" s="781" t="str">
        <f>IF(V19="","",V19)</f>
        <v/>
      </c>
      <c r="L18" s="781"/>
      <c r="M18" s="73"/>
      <c r="O18" s="33"/>
      <c r="Q18" s="38" t="s">
        <v>44</v>
      </c>
      <c r="R18" s="49" t="str">
        <f>IF(S18&lt;&gt;"",S18,IF(AB22="","",AB22))</f>
        <v/>
      </c>
      <c r="S18" s="50"/>
      <c r="U18" s="38" t="s">
        <v>45</v>
      </c>
      <c r="V18" s="49" t="str">
        <f>IF(W18&lt;&gt;"",W18,IF(AB25="","",AB25))</f>
        <v/>
      </c>
      <c r="W18" s="50"/>
      <c r="Y18" s="35"/>
      <c r="AA18" s="38" t="s">
        <v>38</v>
      </c>
      <c r="AB18" s="69"/>
      <c r="AC18" s="52" t="str">
        <f t="shared" si="0"/>
        <v/>
      </c>
      <c r="AD18" s="70" t="str">
        <f>IF(V13="","",V13)</f>
        <v/>
      </c>
      <c r="AH18" s="608">
        <v>25</v>
      </c>
      <c r="AI18" s="19">
        <v>50</v>
      </c>
      <c r="AJ18" s="74">
        <v>0</v>
      </c>
      <c r="AK18" s="19" t="str">
        <f t="shared" si="1"/>
        <v>Mo</v>
      </c>
      <c r="AL18" s="19" t="str">
        <f t="shared" si="2"/>
        <v>Mo</v>
      </c>
      <c r="AM18" s="19"/>
      <c r="AN18" s="19"/>
      <c r="AO18" s="19"/>
      <c r="AP18" s="19"/>
      <c r="AQ18" s="609" t="s">
        <v>581</v>
      </c>
    </row>
    <row r="19" spans="1:43" ht="14.1" customHeight="1">
      <c r="A19" s="20">
        <v>19</v>
      </c>
      <c r="B19" s="71"/>
      <c r="C19" s="72"/>
      <c r="M19" s="73"/>
      <c r="O19" s="33"/>
      <c r="Q19" s="38" t="s">
        <v>46</v>
      </c>
      <c r="R19" s="49" t="str">
        <f>IF(S19&lt;&gt;"",S19,IF(AB23="","",AB23))</f>
        <v/>
      </c>
      <c r="S19" s="50"/>
      <c r="U19" s="38" t="s">
        <v>47</v>
      </c>
      <c r="V19" s="49" t="str">
        <f>IF(W19&lt;&gt;"",W19,IF(AB26="","",AB26))</f>
        <v/>
      </c>
      <c r="W19" s="50"/>
      <c r="Y19" s="35"/>
      <c r="AA19" s="38" t="s">
        <v>48</v>
      </c>
      <c r="AB19" s="69"/>
      <c r="AC19" s="52" t="str">
        <f t="shared" si="0"/>
        <v/>
      </c>
      <c r="AD19" s="70" t="str">
        <f>IF(V14="","",V14)</f>
        <v/>
      </c>
      <c r="AH19" s="612">
        <v>25</v>
      </c>
      <c r="AI19" s="613">
        <v>50</v>
      </c>
      <c r="AJ19" s="614">
        <v>0</v>
      </c>
      <c r="AK19" s="613" t="str">
        <f t="shared" si="1"/>
        <v>Mo</v>
      </c>
      <c r="AL19" s="613" t="str">
        <f t="shared" si="2"/>
        <v>Mo</v>
      </c>
      <c r="AM19" s="613"/>
      <c r="AN19" s="613"/>
      <c r="AO19" s="613"/>
      <c r="AP19" s="613"/>
      <c r="AQ19" s="615" t="s">
        <v>581</v>
      </c>
    </row>
    <row r="20" spans="1:43" ht="14.1" customHeight="1">
      <c r="A20" s="20">
        <v>20</v>
      </c>
      <c r="B20" s="71"/>
      <c r="C20" s="72"/>
      <c r="D20" s="79" t="s">
        <v>49</v>
      </c>
      <c r="J20" s="83"/>
      <c r="M20" s="73"/>
      <c r="O20" s="33"/>
      <c r="Y20" s="35"/>
      <c r="AA20" s="46" t="s">
        <v>41</v>
      </c>
      <c r="AH20" s="612">
        <v>25</v>
      </c>
      <c r="AI20" s="613">
        <v>50</v>
      </c>
      <c r="AJ20" s="614">
        <v>0.2</v>
      </c>
      <c r="AK20" s="613" t="str">
        <f t="shared" si="1"/>
        <v>Mo</v>
      </c>
      <c r="AL20" s="613" t="str">
        <f t="shared" si="2"/>
        <v>Mo</v>
      </c>
      <c r="AM20" s="613"/>
      <c r="AN20" s="613"/>
      <c r="AO20" s="613"/>
      <c r="AP20" s="613"/>
      <c r="AQ20" s="615" t="s">
        <v>581</v>
      </c>
    </row>
    <row r="21" spans="1:43" ht="14.1" customHeight="1">
      <c r="A21" s="20">
        <v>21</v>
      </c>
      <c r="B21" s="71"/>
      <c r="C21" s="72"/>
      <c r="E21" s="38" t="s">
        <v>50</v>
      </c>
      <c r="F21" s="781" t="str">
        <f>IF(R22="","",R22)</f>
        <v/>
      </c>
      <c r="G21" s="781"/>
      <c r="J21" s="38" t="s">
        <v>51</v>
      </c>
      <c r="K21" s="781" t="str">
        <f>IF(V21="","",V21)</f>
        <v>Mo</v>
      </c>
      <c r="L21" s="781"/>
      <c r="M21" s="73"/>
      <c r="O21" s="33"/>
      <c r="P21" s="79" t="s">
        <v>49</v>
      </c>
      <c r="U21" s="79" t="s">
        <v>51</v>
      </c>
      <c r="V21" s="49" t="str">
        <f>IF(W21&lt;&gt;"",W21,IF(AB38="","",AB38))</f>
        <v>Mo</v>
      </c>
      <c r="W21" s="50" t="s">
        <v>32</v>
      </c>
      <c r="Y21" s="35"/>
      <c r="AA21" s="38" t="s">
        <v>42</v>
      </c>
      <c r="AB21" s="69"/>
      <c r="AC21" s="52" t="str">
        <f t="shared" ref="AC21:AC26" si="3">IF(AB21&lt;&gt;AD21,"Change","")</f>
        <v/>
      </c>
      <c r="AD21" s="70" t="str">
        <f>IF(R17="","",R17)</f>
        <v/>
      </c>
      <c r="AH21" s="612">
        <v>25</v>
      </c>
      <c r="AI21" s="613">
        <v>50</v>
      </c>
      <c r="AJ21" s="614">
        <v>0.2</v>
      </c>
      <c r="AK21" s="613" t="str">
        <f t="shared" si="1"/>
        <v>Mo</v>
      </c>
      <c r="AL21" s="613" t="str">
        <f t="shared" si="2"/>
        <v>Mo</v>
      </c>
      <c r="AM21" s="613"/>
      <c r="AN21" s="613"/>
      <c r="AO21" s="613"/>
      <c r="AP21" s="613"/>
      <c r="AQ21" s="615" t="s">
        <v>581</v>
      </c>
    </row>
    <row r="22" spans="1:43" ht="14.1" customHeight="1">
      <c r="A22" s="20">
        <v>22</v>
      </c>
      <c r="B22" s="71"/>
      <c r="C22" s="72"/>
      <c r="E22" s="38" t="s">
        <v>43</v>
      </c>
      <c r="F22" s="791" t="str">
        <f>IF(R23="","",R23)</f>
        <v/>
      </c>
      <c r="G22" s="791"/>
      <c r="J22" s="38"/>
      <c r="K22" s="781" t="str">
        <f>IF(V22="","",V22)</f>
        <v>W</v>
      </c>
      <c r="L22" s="781"/>
      <c r="M22" s="73"/>
      <c r="O22" s="33"/>
      <c r="Q22" s="38" t="s">
        <v>50</v>
      </c>
      <c r="R22" s="49" t="str">
        <f>IF(S22&lt;&gt;"",S22,IF(AB28="","",AB28))</f>
        <v/>
      </c>
      <c r="S22" s="50"/>
      <c r="V22" s="49" t="str">
        <f>IF(W22&lt;&gt;"",W22,IF(AB39="","",AB39))</f>
        <v>W</v>
      </c>
      <c r="W22" s="50" t="s">
        <v>52</v>
      </c>
      <c r="Y22" s="35"/>
      <c r="AA22" s="38" t="s">
        <v>44</v>
      </c>
      <c r="AB22" s="69"/>
      <c r="AC22" s="52" t="str">
        <f t="shared" si="3"/>
        <v/>
      </c>
      <c r="AD22" s="70" t="str">
        <f>IF(R18="","",R18)</f>
        <v/>
      </c>
      <c r="AH22" s="612">
        <v>25</v>
      </c>
      <c r="AI22" s="613">
        <v>50</v>
      </c>
      <c r="AJ22" s="614">
        <v>0.3</v>
      </c>
      <c r="AK22" s="613" t="str">
        <f t="shared" si="1"/>
        <v>Mo</v>
      </c>
      <c r="AL22" s="613" t="str">
        <f t="shared" si="2"/>
        <v>Mo</v>
      </c>
      <c r="AM22" s="613"/>
      <c r="AN22" s="613"/>
      <c r="AO22" s="613"/>
      <c r="AP22" s="613"/>
      <c r="AQ22" s="615" t="s">
        <v>581</v>
      </c>
    </row>
    <row r="23" spans="1:43" ht="14.1" customHeight="1">
      <c r="A23" s="20">
        <v>23</v>
      </c>
      <c r="B23" s="71"/>
      <c r="C23" s="72"/>
      <c r="D23" s="79" t="s">
        <v>53</v>
      </c>
      <c r="J23" s="38" t="s">
        <v>54</v>
      </c>
      <c r="K23" s="781" t="str">
        <f>IF(V24="","",V24)</f>
        <v>Mo</v>
      </c>
      <c r="L23" s="781"/>
      <c r="M23" s="73"/>
      <c r="O23" s="33"/>
      <c r="Q23" s="38" t="s">
        <v>43</v>
      </c>
      <c r="R23" s="76" t="str">
        <f>IF(S23&lt;&gt;"",S23,IF(AB29="","",AB29))</f>
        <v/>
      </c>
      <c r="S23" s="80"/>
      <c r="V23" s="6"/>
      <c r="W23" s="6"/>
      <c r="Y23" s="35"/>
      <c r="AA23" s="38" t="s">
        <v>46</v>
      </c>
      <c r="AB23" s="69"/>
      <c r="AC23" s="52" t="str">
        <f t="shared" si="3"/>
        <v/>
      </c>
      <c r="AD23" s="70" t="str">
        <f>IF(R19="","",R19)</f>
        <v/>
      </c>
      <c r="AH23" s="612">
        <v>25</v>
      </c>
      <c r="AI23" s="613">
        <v>50</v>
      </c>
      <c r="AJ23" s="614">
        <v>0.3</v>
      </c>
      <c r="AK23" s="613" t="str">
        <f t="shared" si="1"/>
        <v>Mo</v>
      </c>
      <c r="AL23" s="613" t="str">
        <f t="shared" si="2"/>
        <v>Mo</v>
      </c>
      <c r="AM23" s="613"/>
      <c r="AN23" s="613"/>
      <c r="AO23" s="613"/>
      <c r="AP23" s="613"/>
      <c r="AQ23" s="615" t="s">
        <v>581</v>
      </c>
    </row>
    <row r="24" spans="1:43" ht="14.1" customHeight="1">
      <c r="A24" s="20">
        <v>24</v>
      </c>
      <c r="B24" s="71"/>
      <c r="C24" s="72"/>
      <c r="E24" s="38" t="s">
        <v>42</v>
      </c>
      <c r="F24" s="781" t="str">
        <f>IF(R25="","",R25)</f>
        <v/>
      </c>
      <c r="G24" s="781"/>
      <c r="K24" s="781" t="str">
        <f>IF(V25="","",V25)</f>
        <v>Rh</v>
      </c>
      <c r="L24" s="781"/>
      <c r="M24" s="73"/>
      <c r="O24" s="33"/>
      <c r="P24" s="79" t="s">
        <v>53</v>
      </c>
      <c r="U24" s="79" t="s">
        <v>54</v>
      </c>
      <c r="V24" s="49" t="str">
        <f>IF(W24&lt;&gt;"",W24,IF(AB40="","",AB40))</f>
        <v>Mo</v>
      </c>
      <c r="W24" s="50" t="s">
        <v>32</v>
      </c>
      <c r="Y24" s="35"/>
      <c r="AA24" s="38" t="s">
        <v>43</v>
      </c>
      <c r="AB24" s="81"/>
      <c r="AC24" s="52" t="str">
        <f t="shared" si="3"/>
        <v/>
      </c>
      <c r="AD24" s="82" t="str">
        <f>IF(V17="","",V17)</f>
        <v/>
      </c>
      <c r="AH24" s="612">
        <v>25</v>
      </c>
      <c r="AI24" s="613">
        <v>50</v>
      </c>
      <c r="AJ24" s="614">
        <v>0.4</v>
      </c>
      <c r="AK24" s="613" t="str">
        <f t="shared" si="1"/>
        <v>Mo</v>
      </c>
      <c r="AL24" s="613" t="str">
        <f t="shared" si="2"/>
        <v>Mo</v>
      </c>
      <c r="AM24" s="613"/>
      <c r="AN24" s="613"/>
      <c r="AO24" s="613"/>
      <c r="AP24" s="613"/>
      <c r="AQ24" s="615" t="s">
        <v>581</v>
      </c>
    </row>
    <row r="25" spans="1:43" ht="14.1" customHeight="1">
      <c r="A25" s="20">
        <v>25</v>
      </c>
      <c r="B25" s="71"/>
      <c r="C25" s="72"/>
      <c r="E25" s="38" t="s">
        <v>44</v>
      </c>
      <c r="F25" s="781" t="str">
        <f>IF(R26="","",R26)</f>
        <v/>
      </c>
      <c r="G25" s="781"/>
      <c r="J25" s="6"/>
      <c r="K25" s="6"/>
      <c r="L25" s="6"/>
      <c r="M25" s="73"/>
      <c r="O25" s="33"/>
      <c r="Q25" s="38" t="s">
        <v>42</v>
      </c>
      <c r="R25" s="49" t="str">
        <f>IF(S25&lt;&gt;"",S25,IF(AB30="","",AB30))</f>
        <v/>
      </c>
      <c r="S25" s="50"/>
      <c r="V25" s="49" t="str">
        <f>IF(W25&lt;&gt;"",W25,IF(AB44="","",AB44))</f>
        <v>Rh</v>
      </c>
      <c r="W25" s="50" t="s">
        <v>55</v>
      </c>
      <c r="Y25" s="35"/>
      <c r="AA25" s="38" t="s">
        <v>45</v>
      </c>
      <c r="AB25" s="69"/>
      <c r="AC25" s="52" t="str">
        <f t="shared" si="3"/>
        <v/>
      </c>
      <c r="AD25" s="70" t="str">
        <f>IF(V18="","",V18)</f>
        <v/>
      </c>
      <c r="AH25" s="612">
        <v>25</v>
      </c>
      <c r="AI25" s="613">
        <v>50</v>
      </c>
      <c r="AJ25" s="614">
        <v>0.4</v>
      </c>
      <c r="AK25" s="613" t="str">
        <f t="shared" si="1"/>
        <v>Mo</v>
      </c>
      <c r="AL25" s="613" t="str">
        <f t="shared" si="2"/>
        <v>Mo</v>
      </c>
      <c r="AM25" s="613"/>
      <c r="AN25" s="613"/>
      <c r="AO25" s="613"/>
      <c r="AP25" s="613"/>
      <c r="AQ25" s="615" t="s">
        <v>581</v>
      </c>
    </row>
    <row r="26" spans="1:43" ht="14.1" customHeight="1">
      <c r="A26" s="20">
        <v>26</v>
      </c>
      <c r="B26" s="71"/>
      <c r="C26" s="72"/>
      <c r="E26" s="38" t="s">
        <v>45</v>
      </c>
      <c r="F26" s="781" t="str">
        <f>IF(R27="","",R27)</f>
        <v/>
      </c>
      <c r="G26" s="781"/>
      <c r="I26" s="79" t="s">
        <v>56</v>
      </c>
      <c r="J26" s="6"/>
      <c r="K26" s="6"/>
      <c r="L26" s="6"/>
      <c r="M26" s="73"/>
      <c r="O26" s="33"/>
      <c r="Q26" s="38" t="s">
        <v>44</v>
      </c>
      <c r="R26" s="49" t="str">
        <f>IF(S26&lt;&gt;"",S26,IF(AB31="","",AB31))</f>
        <v/>
      </c>
      <c r="S26" s="50"/>
      <c r="V26" s="6"/>
      <c r="W26" s="6"/>
      <c r="Y26" s="35"/>
      <c r="AA26" s="38" t="s">
        <v>47</v>
      </c>
      <c r="AB26" s="69"/>
      <c r="AC26" s="52" t="str">
        <f t="shared" si="3"/>
        <v/>
      </c>
      <c r="AD26" s="70" t="str">
        <f>IF(V19="","",V19)</f>
        <v/>
      </c>
      <c r="AH26" s="608">
        <v>26</v>
      </c>
      <c r="AI26" s="19">
        <v>50</v>
      </c>
      <c r="AJ26" s="74">
        <v>0</v>
      </c>
      <c r="AK26" s="19" t="str">
        <f t="shared" si="1"/>
        <v>Mo</v>
      </c>
      <c r="AL26" s="19" t="str">
        <f t="shared" si="2"/>
        <v>Mo</v>
      </c>
      <c r="AM26" s="19"/>
      <c r="AN26" s="19"/>
      <c r="AO26" s="19"/>
      <c r="AP26" s="19"/>
      <c r="AQ26" s="609" t="s">
        <v>581</v>
      </c>
    </row>
    <row r="27" spans="1:43" ht="14.1" customHeight="1">
      <c r="A27" s="20">
        <v>27</v>
      </c>
      <c r="B27" s="71"/>
      <c r="C27" s="72"/>
      <c r="D27" s="79" t="s">
        <v>57</v>
      </c>
      <c r="J27" s="38" t="s">
        <v>58</v>
      </c>
      <c r="K27" s="781" t="str">
        <f>IF(V28="","",V28)</f>
        <v/>
      </c>
      <c r="L27" s="781"/>
      <c r="M27" s="73"/>
      <c r="O27" s="33"/>
      <c r="Q27" s="38" t="s">
        <v>45</v>
      </c>
      <c r="R27" s="49" t="str">
        <f>IF(S27&lt;&gt;"",S27,IF(AB32="","",AB32))</f>
        <v/>
      </c>
      <c r="S27" s="50"/>
      <c r="U27" s="83" t="s">
        <v>56</v>
      </c>
      <c r="Y27" s="35"/>
      <c r="AA27" s="79" t="s">
        <v>49</v>
      </c>
      <c r="AH27" s="608">
        <v>28</v>
      </c>
      <c r="AI27" s="19">
        <v>20</v>
      </c>
      <c r="AJ27" s="74">
        <v>0</v>
      </c>
      <c r="AK27" s="19" t="str">
        <f t="shared" si="1"/>
        <v>Mo</v>
      </c>
      <c r="AL27" s="19" t="str">
        <f t="shared" si="2"/>
        <v>Mo</v>
      </c>
      <c r="AM27" s="19"/>
      <c r="AN27" s="19"/>
      <c r="AO27" s="19"/>
      <c r="AP27" s="19"/>
      <c r="AQ27" s="609" t="s">
        <v>581</v>
      </c>
    </row>
    <row r="28" spans="1:43" ht="14.1" customHeight="1">
      <c r="A28" s="20">
        <v>28</v>
      </c>
      <c r="B28" s="71"/>
      <c r="C28" s="72"/>
      <c r="E28" s="38" t="s">
        <v>42</v>
      </c>
      <c r="F28" s="781" t="str">
        <f>IF(R29="","",R29)</f>
        <v/>
      </c>
      <c r="G28" s="781"/>
      <c r="I28" s="6"/>
      <c r="J28" s="38" t="s">
        <v>59</v>
      </c>
      <c r="K28" s="781" t="str">
        <f>IF(V29="","",V29)</f>
        <v/>
      </c>
      <c r="L28" s="781"/>
      <c r="M28" s="73"/>
      <c r="O28" s="33"/>
      <c r="P28" s="79" t="s">
        <v>57</v>
      </c>
      <c r="U28" s="38" t="s">
        <v>58</v>
      </c>
      <c r="V28" s="49" t="str">
        <f>IF(W28&lt;&gt;"",W28,IF(AB36="","",AB36))</f>
        <v/>
      </c>
      <c r="W28" s="50"/>
      <c r="Y28" s="35"/>
      <c r="AA28" s="38" t="s">
        <v>50</v>
      </c>
      <c r="AB28" s="69"/>
      <c r="AC28" s="52" t="str">
        <f t="shared" ref="AC28:AC43" si="4">IF(AB28&lt;&gt;AD28,"Change","")</f>
        <v/>
      </c>
      <c r="AD28" s="70" t="str">
        <f>IF(R22="","",R22)</f>
        <v/>
      </c>
      <c r="AH28" s="608">
        <v>28</v>
      </c>
      <c r="AI28" s="19">
        <v>50</v>
      </c>
      <c r="AJ28" s="74">
        <v>0</v>
      </c>
      <c r="AK28" s="19" t="str">
        <f t="shared" si="1"/>
        <v>Mo</v>
      </c>
      <c r="AL28" s="19" t="str">
        <f t="shared" si="2"/>
        <v>Mo</v>
      </c>
      <c r="AM28" s="19"/>
      <c r="AN28" s="19"/>
      <c r="AO28" s="19"/>
      <c r="AP28" s="19"/>
      <c r="AQ28" s="609" t="s">
        <v>581</v>
      </c>
    </row>
    <row r="29" spans="1:43" ht="14.1" customHeight="1">
      <c r="A29" s="20">
        <v>29</v>
      </c>
      <c r="B29" s="71"/>
      <c r="C29" s="72"/>
      <c r="E29" s="38" t="s">
        <v>44</v>
      </c>
      <c r="F29" s="781" t="str">
        <f>IF(R30="","",R30)</f>
        <v/>
      </c>
      <c r="G29" s="781"/>
      <c r="I29" s="79" t="s">
        <v>60</v>
      </c>
      <c r="J29" s="38" t="s">
        <v>61</v>
      </c>
      <c r="K29" s="781" t="str">
        <f>IF(V32="","",V32)</f>
        <v/>
      </c>
      <c r="L29" s="781"/>
      <c r="M29" s="73"/>
      <c r="O29" s="33"/>
      <c r="Q29" s="38" t="s">
        <v>42</v>
      </c>
      <c r="R29" s="49" t="str">
        <f>IF(S29&lt;&gt;"",S29,IF(AB33="","",AB33))</f>
        <v/>
      </c>
      <c r="S29" s="50"/>
      <c r="U29" s="38" t="s">
        <v>59</v>
      </c>
      <c r="V29" s="49" t="str">
        <f>IF(W29&lt;&gt;"",W29,IF(AB37="","",AB37))</f>
        <v/>
      </c>
      <c r="W29" s="50"/>
      <c r="Y29" s="35"/>
      <c r="AA29" s="38" t="s">
        <v>43</v>
      </c>
      <c r="AB29" s="81"/>
      <c r="AC29" s="52" t="str">
        <f t="shared" si="4"/>
        <v/>
      </c>
      <c r="AD29" s="82" t="str">
        <f>IF(R23="","",R23)</f>
        <v/>
      </c>
      <c r="AH29" s="608">
        <v>28</v>
      </c>
      <c r="AI29" s="19">
        <v>50</v>
      </c>
      <c r="AJ29" s="74">
        <v>0</v>
      </c>
      <c r="AK29" s="19" t="str">
        <f t="shared" si="1"/>
        <v>Mo</v>
      </c>
      <c r="AL29" s="19" t="str">
        <f t="shared" si="2"/>
        <v>Mo</v>
      </c>
      <c r="AM29" s="19"/>
      <c r="AN29" s="19"/>
      <c r="AO29" s="19"/>
      <c r="AP29" s="19"/>
      <c r="AQ29" s="609" t="s">
        <v>581</v>
      </c>
    </row>
    <row r="30" spans="1:43" ht="14.1" customHeight="1">
      <c r="A30" s="20">
        <v>30</v>
      </c>
      <c r="B30" s="71"/>
      <c r="C30" s="72"/>
      <c r="E30" s="38" t="s">
        <v>45</v>
      </c>
      <c r="F30" s="781" t="str">
        <f>IF(R31="","",R31)</f>
        <v/>
      </c>
      <c r="G30" s="781"/>
      <c r="J30" s="38" t="s">
        <v>62</v>
      </c>
      <c r="K30" s="781" t="str">
        <f>IF(V33="","",V33)</f>
        <v/>
      </c>
      <c r="L30" s="781"/>
      <c r="M30" s="73"/>
      <c r="O30" s="33"/>
      <c r="Q30" s="38" t="s">
        <v>44</v>
      </c>
      <c r="R30" s="49" t="str">
        <f>IF(S30&lt;&gt;"",S30,IF(AB34="","",AB34))</f>
        <v/>
      </c>
      <c r="S30" s="50"/>
      <c r="Y30" s="35"/>
      <c r="AA30" s="38" t="s">
        <v>42</v>
      </c>
      <c r="AB30" s="69"/>
      <c r="AC30" s="52" t="str">
        <f t="shared" si="4"/>
        <v/>
      </c>
      <c r="AD30" s="70" t="str">
        <f>IF(R25="","",R25)</f>
        <v/>
      </c>
      <c r="AH30" s="608">
        <v>28</v>
      </c>
      <c r="AI30" s="19">
        <v>50</v>
      </c>
      <c r="AJ30" s="74">
        <v>0</v>
      </c>
      <c r="AK30" s="19" t="str">
        <f t="shared" si="1"/>
        <v>Mo</v>
      </c>
      <c r="AL30" s="19" t="str">
        <f t="shared" si="2"/>
        <v>Mo</v>
      </c>
      <c r="AM30" s="19"/>
      <c r="AN30" s="19"/>
      <c r="AO30" s="19"/>
      <c r="AP30" s="19"/>
      <c r="AQ30" s="609" t="s">
        <v>581</v>
      </c>
    </row>
    <row r="31" spans="1:43" ht="14.1" customHeight="1" thickBot="1">
      <c r="A31" s="20">
        <v>31</v>
      </c>
      <c r="B31" s="84"/>
      <c r="C31" s="85"/>
      <c r="D31" s="85"/>
      <c r="E31" s="85"/>
      <c r="F31" s="85"/>
      <c r="G31" s="85"/>
      <c r="H31" s="85"/>
      <c r="I31" s="85"/>
      <c r="J31" s="85"/>
      <c r="K31" s="85"/>
      <c r="L31" s="85"/>
      <c r="M31" s="86"/>
      <c r="O31" s="33"/>
      <c r="Q31" s="38" t="s">
        <v>45</v>
      </c>
      <c r="R31" s="49" t="str">
        <f>IF(S31&lt;&gt;"",S31,IF(AB35="","",AB35))</f>
        <v/>
      </c>
      <c r="S31" s="50"/>
      <c r="U31" s="79" t="s">
        <v>60</v>
      </c>
      <c r="Y31" s="35"/>
      <c r="AA31" s="38" t="s">
        <v>44</v>
      </c>
      <c r="AB31" s="69"/>
      <c r="AC31" s="52" t="str">
        <f t="shared" si="4"/>
        <v/>
      </c>
      <c r="AD31" s="70" t="str">
        <f>IF(R26="","",R26)</f>
        <v/>
      </c>
      <c r="AH31" s="612">
        <v>28</v>
      </c>
      <c r="AI31" s="613">
        <v>50</v>
      </c>
      <c r="AJ31" s="614">
        <v>0</v>
      </c>
      <c r="AK31" s="613" t="str">
        <f t="shared" si="1"/>
        <v>Mo</v>
      </c>
      <c r="AL31" s="613" t="str">
        <f t="shared" si="2"/>
        <v>Mo</v>
      </c>
      <c r="AM31" s="613"/>
      <c r="AN31" s="613"/>
      <c r="AO31" s="613"/>
      <c r="AP31" s="613"/>
      <c r="AQ31" s="615" t="s">
        <v>581</v>
      </c>
    </row>
    <row r="32" spans="1:43" ht="14.1" customHeight="1" thickTop="1">
      <c r="A32" s="20">
        <v>32</v>
      </c>
      <c r="O32" s="33"/>
      <c r="U32" s="38" t="s">
        <v>61</v>
      </c>
      <c r="V32" s="49" t="str">
        <f>IF(W32&lt;&gt;"",W32,IF(AB45="","",AB45))</f>
        <v/>
      </c>
      <c r="W32" s="50"/>
      <c r="Y32" s="35"/>
      <c r="AA32" s="38" t="s">
        <v>45</v>
      </c>
      <c r="AB32" s="69"/>
      <c r="AC32" s="52" t="str">
        <f t="shared" si="4"/>
        <v/>
      </c>
      <c r="AD32" s="70" t="str">
        <f>IF(R27="","",R27)</f>
        <v/>
      </c>
      <c r="AH32" s="612">
        <v>28</v>
      </c>
      <c r="AI32" s="613">
        <v>50</v>
      </c>
      <c r="AJ32" s="614">
        <v>0.3</v>
      </c>
      <c r="AK32" s="613" t="str">
        <f t="shared" si="1"/>
        <v>Mo</v>
      </c>
      <c r="AL32" s="613" t="str">
        <f t="shared" si="2"/>
        <v>Mo</v>
      </c>
      <c r="AM32" s="613"/>
      <c r="AN32" s="613"/>
      <c r="AO32" s="613"/>
      <c r="AP32" s="613"/>
      <c r="AQ32" s="615" t="s">
        <v>581</v>
      </c>
    </row>
    <row r="33" spans="1:43" ht="14.1" customHeight="1" thickBot="1">
      <c r="A33" s="20">
        <v>33</v>
      </c>
      <c r="H33" s="54" t="s">
        <v>63</v>
      </c>
      <c r="O33" s="33"/>
      <c r="U33" s="38" t="s">
        <v>62</v>
      </c>
      <c r="V33" s="49" t="str">
        <f>IF(W33&lt;&gt;"",W33,IF(AB46="","",AB46))</f>
        <v/>
      </c>
      <c r="W33" s="50"/>
      <c r="Y33" s="35"/>
      <c r="AA33" s="38" t="s">
        <v>42</v>
      </c>
      <c r="AB33" s="69"/>
      <c r="AC33" s="52" t="str">
        <f t="shared" si="4"/>
        <v/>
      </c>
      <c r="AD33" s="70" t="str">
        <f>IF(R29="","",R29)</f>
        <v/>
      </c>
      <c r="AH33" s="612">
        <v>28</v>
      </c>
      <c r="AI33" s="613">
        <v>50</v>
      </c>
      <c r="AJ33" s="614">
        <v>0.3</v>
      </c>
      <c r="AK33" s="613" t="str">
        <f t="shared" si="1"/>
        <v>Mo</v>
      </c>
      <c r="AL33" s="613" t="str">
        <f t="shared" si="2"/>
        <v>Mo</v>
      </c>
      <c r="AM33" s="613"/>
      <c r="AN33" s="613"/>
      <c r="AO33" s="613"/>
      <c r="AP33" s="613"/>
      <c r="AQ33" s="615" t="s">
        <v>581</v>
      </c>
    </row>
    <row r="34" spans="1:43" ht="14.1" customHeight="1" thickTop="1" thickBot="1">
      <c r="A34" s="20">
        <v>34</v>
      </c>
      <c r="B34" s="62"/>
      <c r="C34" s="63"/>
      <c r="D34" s="63"/>
      <c r="E34" s="63"/>
      <c r="F34" s="63"/>
      <c r="G34" s="63"/>
      <c r="H34" s="63"/>
      <c r="I34" s="63"/>
      <c r="J34" s="63"/>
      <c r="K34" s="63"/>
      <c r="L34" s="63"/>
      <c r="M34" s="65"/>
      <c r="O34" s="33"/>
      <c r="U34" s="6"/>
      <c r="V34" s="6"/>
      <c r="W34" s="6"/>
      <c r="Y34" s="35"/>
      <c r="AA34" s="38" t="s">
        <v>44</v>
      </c>
      <c r="AB34" s="69"/>
      <c r="AC34" s="52" t="str">
        <f t="shared" si="4"/>
        <v/>
      </c>
      <c r="AD34" s="70" t="str">
        <f>IF(R30="","",R30)</f>
        <v/>
      </c>
      <c r="AH34" s="612">
        <v>28</v>
      </c>
      <c r="AI34" s="613">
        <v>50</v>
      </c>
      <c r="AJ34" s="614">
        <v>0.4</v>
      </c>
      <c r="AK34" s="613" t="str">
        <f t="shared" si="1"/>
        <v>Mo</v>
      </c>
      <c r="AL34" s="613" t="str">
        <f t="shared" si="2"/>
        <v>Mo</v>
      </c>
      <c r="AM34" s="613"/>
      <c r="AN34" s="613"/>
      <c r="AO34" s="613"/>
      <c r="AP34" s="613"/>
      <c r="AQ34" s="615" t="s">
        <v>581</v>
      </c>
    </row>
    <row r="35" spans="1:43" ht="14.1" customHeight="1" thickBot="1">
      <c r="A35" s="20">
        <v>35</v>
      </c>
      <c r="B35" s="71"/>
      <c r="C35" s="87" t="s">
        <v>64</v>
      </c>
      <c r="D35" s="789" t="s">
        <v>65</v>
      </c>
      <c r="E35" s="789"/>
      <c r="F35" s="789"/>
      <c r="G35" s="789" t="s">
        <v>66</v>
      </c>
      <c r="H35" s="789"/>
      <c r="I35" s="789"/>
      <c r="J35" s="789" t="s">
        <v>67</v>
      </c>
      <c r="K35" s="789"/>
      <c r="L35" s="789"/>
      <c r="M35" s="73"/>
      <c r="O35" s="43"/>
      <c r="P35" s="44"/>
      <c r="Q35" s="44"/>
      <c r="R35" s="44"/>
      <c r="S35" s="44"/>
      <c r="T35" s="44"/>
      <c r="U35" s="44"/>
      <c r="V35" s="44"/>
      <c r="W35" s="44"/>
      <c r="X35" s="44"/>
      <c r="Y35" s="45"/>
      <c r="AA35" s="38" t="s">
        <v>45</v>
      </c>
      <c r="AB35" s="69"/>
      <c r="AC35" s="52" t="str">
        <f t="shared" si="4"/>
        <v/>
      </c>
      <c r="AD35" s="70" t="str">
        <f>IF(R31="","",R31)</f>
        <v/>
      </c>
      <c r="AH35" s="612">
        <v>28</v>
      </c>
      <c r="AI35" s="613">
        <v>50</v>
      </c>
      <c r="AJ35" s="614">
        <v>0.4</v>
      </c>
      <c r="AK35" s="613" t="str">
        <f t="shared" si="1"/>
        <v>Mo</v>
      </c>
      <c r="AL35" s="613" t="str">
        <f t="shared" si="2"/>
        <v>Mo</v>
      </c>
      <c r="AM35" s="613"/>
      <c r="AN35" s="613"/>
      <c r="AO35" s="613"/>
      <c r="AP35" s="613"/>
      <c r="AQ35" s="615" t="s">
        <v>581</v>
      </c>
    </row>
    <row r="36" spans="1:43" ht="14.1" customHeight="1">
      <c r="A36" s="20">
        <v>36</v>
      </c>
      <c r="B36" s="71"/>
      <c r="C36" s="88" t="s">
        <v>68</v>
      </c>
      <c r="D36" s="597"/>
      <c r="E36" s="598"/>
      <c r="F36" s="603"/>
      <c r="G36" s="785" t="s">
        <v>69</v>
      </c>
      <c r="H36" s="785"/>
      <c r="I36" s="785"/>
      <c r="J36" s="597"/>
      <c r="K36" s="598"/>
      <c r="L36" s="603"/>
      <c r="M36" s="73"/>
      <c r="AA36" s="38" t="s">
        <v>58</v>
      </c>
      <c r="AB36" s="69"/>
      <c r="AC36" s="52" t="str">
        <f t="shared" si="4"/>
        <v/>
      </c>
      <c r="AD36" s="70" t="str">
        <f>IF(V28="","",V28)</f>
        <v/>
      </c>
      <c r="AH36" s="612">
        <v>28</v>
      </c>
      <c r="AI36" s="613">
        <v>50</v>
      </c>
      <c r="AJ36" s="614">
        <v>0.5</v>
      </c>
      <c r="AK36" s="613" t="str">
        <f t="shared" si="1"/>
        <v>Mo</v>
      </c>
      <c r="AL36" s="613" t="str">
        <f t="shared" si="2"/>
        <v>Mo</v>
      </c>
      <c r="AM36" s="613"/>
      <c r="AN36" s="613"/>
      <c r="AO36" s="613"/>
      <c r="AP36" s="613"/>
      <c r="AQ36" s="615" t="s">
        <v>581</v>
      </c>
    </row>
    <row r="37" spans="1:43" ht="14.1" customHeight="1" thickBot="1">
      <c r="A37" s="20">
        <v>37</v>
      </c>
      <c r="B37" s="71"/>
      <c r="C37" s="88" t="s">
        <v>70</v>
      </c>
      <c r="D37" s="89" t="s">
        <v>71</v>
      </c>
      <c r="E37" s="90" t="s">
        <v>25</v>
      </c>
      <c r="F37" s="91" t="s">
        <v>72</v>
      </c>
      <c r="G37" s="89" t="s">
        <v>71</v>
      </c>
      <c r="H37" s="90" t="s">
        <v>25</v>
      </c>
      <c r="I37" s="91" t="s">
        <v>72</v>
      </c>
      <c r="J37" s="89" t="s">
        <v>71</v>
      </c>
      <c r="K37" s="90" t="s">
        <v>25</v>
      </c>
      <c r="L37" s="91" t="s">
        <v>72</v>
      </c>
      <c r="M37" s="73"/>
      <c r="T37" s="267" t="s">
        <v>73</v>
      </c>
      <c r="AA37" s="38" t="s">
        <v>59</v>
      </c>
      <c r="AB37" s="69"/>
      <c r="AC37" s="52" t="str">
        <f t="shared" si="4"/>
        <v/>
      </c>
      <c r="AD37" s="70" t="str">
        <f>IF(V29="","",V29)</f>
        <v/>
      </c>
      <c r="AH37" s="612">
        <v>28</v>
      </c>
      <c r="AI37" s="613">
        <v>50</v>
      </c>
      <c r="AJ37" s="614">
        <v>0.5</v>
      </c>
      <c r="AK37" s="613" t="str">
        <f t="shared" si="1"/>
        <v>Mo</v>
      </c>
      <c r="AL37" s="613" t="str">
        <f t="shared" si="2"/>
        <v>Mo</v>
      </c>
      <c r="AM37" s="613"/>
      <c r="AN37" s="613"/>
      <c r="AO37" s="613"/>
      <c r="AP37" s="613"/>
      <c r="AQ37" s="615" t="s">
        <v>581</v>
      </c>
    </row>
    <row r="38" spans="1:43" ht="14.1" customHeight="1" thickTop="1">
      <c r="A38" s="20">
        <v>38</v>
      </c>
      <c r="B38" s="71"/>
      <c r="C38" s="92" t="s">
        <v>74</v>
      </c>
      <c r="D38" s="93" t="str">
        <f t="shared" ref="D38:L41" si="5">P124</f>
        <v/>
      </c>
      <c r="E38" s="94" t="str">
        <f t="shared" si="5"/>
        <v/>
      </c>
      <c r="F38" s="95" t="str">
        <f t="shared" si="5"/>
        <v/>
      </c>
      <c r="G38" s="93" t="str">
        <f t="shared" si="5"/>
        <v/>
      </c>
      <c r="H38" s="94" t="str">
        <f t="shared" si="5"/>
        <v/>
      </c>
      <c r="I38" s="95" t="str">
        <f t="shared" si="5"/>
        <v/>
      </c>
      <c r="J38" s="93" t="str">
        <f t="shared" si="5"/>
        <v/>
      </c>
      <c r="K38" s="94" t="str">
        <f t="shared" si="5"/>
        <v/>
      </c>
      <c r="L38" s="95" t="str">
        <f t="shared" si="5"/>
        <v/>
      </c>
      <c r="M38" s="73"/>
      <c r="O38" s="96" t="s">
        <v>75</v>
      </c>
      <c r="P38" s="26"/>
      <c r="Q38" s="26"/>
      <c r="R38" s="26"/>
      <c r="S38" s="26"/>
      <c r="T38" s="26"/>
      <c r="U38" s="26"/>
      <c r="V38" s="26"/>
      <c r="W38" s="26"/>
      <c r="X38" s="26"/>
      <c r="Y38" s="27"/>
      <c r="AA38" s="38" t="s">
        <v>76</v>
      </c>
      <c r="AB38" s="69"/>
      <c r="AC38" s="52" t="str">
        <f t="shared" si="4"/>
        <v>Change</v>
      </c>
      <c r="AD38" s="70" t="str">
        <f>IF(V21="","",V21)</f>
        <v>Mo</v>
      </c>
      <c r="AH38" s="608">
        <v>28</v>
      </c>
      <c r="AI38" s="19">
        <v>100</v>
      </c>
      <c r="AJ38" s="74">
        <v>0</v>
      </c>
      <c r="AK38" s="19" t="str">
        <f t="shared" si="1"/>
        <v>Mo</v>
      </c>
      <c r="AL38" s="19" t="str">
        <f t="shared" si="2"/>
        <v>Mo</v>
      </c>
      <c r="AM38" s="19"/>
      <c r="AN38" s="19"/>
      <c r="AO38" s="19"/>
      <c r="AP38" s="19"/>
      <c r="AQ38" s="609" t="s">
        <v>581</v>
      </c>
    </row>
    <row r="39" spans="1:43" ht="14.1" customHeight="1">
      <c r="A39" s="20">
        <v>39</v>
      </c>
      <c r="B39" s="71"/>
      <c r="C39" s="97" t="s">
        <v>77</v>
      </c>
      <c r="D39" s="98" t="str">
        <f t="shared" si="5"/>
        <v/>
      </c>
      <c r="E39" s="19" t="str">
        <f t="shared" si="5"/>
        <v/>
      </c>
      <c r="F39" s="99" t="str">
        <f t="shared" si="5"/>
        <v/>
      </c>
      <c r="G39" s="98" t="str">
        <f t="shared" si="5"/>
        <v/>
      </c>
      <c r="H39" s="19" t="str">
        <f t="shared" si="5"/>
        <v/>
      </c>
      <c r="I39" s="99" t="str">
        <f t="shared" si="5"/>
        <v/>
      </c>
      <c r="J39" s="98" t="str">
        <f t="shared" si="5"/>
        <v/>
      </c>
      <c r="K39" s="19" t="str">
        <f t="shared" si="5"/>
        <v/>
      </c>
      <c r="L39" s="99" t="str">
        <f t="shared" si="5"/>
        <v/>
      </c>
      <c r="M39" s="73"/>
      <c r="O39" s="100">
        <v>1</v>
      </c>
      <c r="P39" s="39" t="s">
        <v>78</v>
      </c>
      <c r="Y39" s="35"/>
      <c r="AA39" s="38" t="s">
        <v>79</v>
      </c>
      <c r="AB39" s="69"/>
      <c r="AC39" s="52" t="str">
        <f t="shared" si="4"/>
        <v>Change</v>
      </c>
      <c r="AD39" s="70" t="str">
        <f>IF(V22="","",V22)</f>
        <v>W</v>
      </c>
      <c r="AH39" s="608">
        <v>28</v>
      </c>
      <c r="AI39" s="19">
        <v>300</v>
      </c>
      <c r="AJ39" s="74">
        <v>0</v>
      </c>
      <c r="AK39" s="19" t="str">
        <f t="shared" si="1"/>
        <v>Mo</v>
      </c>
      <c r="AL39" s="19" t="str">
        <f t="shared" si="2"/>
        <v>Mo</v>
      </c>
      <c r="AM39" s="19"/>
      <c r="AN39" s="19"/>
      <c r="AO39" s="19"/>
      <c r="AP39" s="19"/>
      <c r="AQ39" s="609" t="s">
        <v>581</v>
      </c>
    </row>
    <row r="40" spans="1:43" ht="14.1" customHeight="1">
      <c r="A40" s="20">
        <v>40</v>
      </c>
      <c r="B40" s="71"/>
      <c r="C40" s="97" t="s">
        <v>80</v>
      </c>
      <c r="D40" s="98" t="str">
        <f t="shared" si="5"/>
        <v/>
      </c>
      <c r="E40" s="19" t="str">
        <f t="shared" si="5"/>
        <v/>
      </c>
      <c r="F40" s="99" t="str">
        <f t="shared" si="5"/>
        <v/>
      </c>
      <c r="G40" s="98" t="str">
        <f t="shared" si="5"/>
        <v/>
      </c>
      <c r="H40" s="19" t="str">
        <f t="shared" si="5"/>
        <v/>
      </c>
      <c r="I40" s="99" t="str">
        <f t="shared" si="5"/>
        <v/>
      </c>
      <c r="J40" s="98" t="str">
        <f t="shared" si="5"/>
        <v/>
      </c>
      <c r="K40" s="19" t="str">
        <f t="shared" si="5"/>
        <v/>
      </c>
      <c r="L40" s="99" t="str">
        <f t="shared" si="5"/>
        <v/>
      </c>
      <c r="M40" s="73"/>
      <c r="O40" s="100">
        <v>1</v>
      </c>
      <c r="P40" s="39" t="s">
        <v>81</v>
      </c>
      <c r="Y40" s="35"/>
      <c r="AA40" s="38" t="s">
        <v>82</v>
      </c>
      <c r="AB40" s="69"/>
      <c r="AC40" s="52" t="str">
        <f t="shared" si="4"/>
        <v>Change</v>
      </c>
      <c r="AD40" s="70" t="str">
        <f>IF(V24="","",V24)</f>
        <v>Mo</v>
      </c>
      <c r="AH40" s="608">
        <v>30</v>
      </c>
      <c r="AI40" s="19">
        <v>50</v>
      </c>
      <c r="AJ40" s="74">
        <v>0</v>
      </c>
      <c r="AK40" s="19" t="str">
        <f t="shared" si="1"/>
        <v>Mo</v>
      </c>
      <c r="AL40" s="19" t="str">
        <f t="shared" si="2"/>
        <v>Mo</v>
      </c>
      <c r="AM40" s="19"/>
      <c r="AN40" s="19"/>
      <c r="AO40" s="19"/>
      <c r="AP40" s="19"/>
      <c r="AQ40" s="609" t="s">
        <v>581</v>
      </c>
    </row>
    <row r="41" spans="1:43" ht="14.1" customHeight="1" thickBot="1">
      <c r="A41" s="20">
        <v>41</v>
      </c>
      <c r="B41" s="71"/>
      <c r="C41" s="101" t="s">
        <v>83</v>
      </c>
      <c r="D41" s="102" t="str">
        <f t="shared" si="5"/>
        <v/>
      </c>
      <c r="E41" s="103" t="str">
        <f t="shared" si="5"/>
        <v/>
      </c>
      <c r="F41" s="104" t="str">
        <f t="shared" si="5"/>
        <v/>
      </c>
      <c r="G41" s="102" t="str">
        <f t="shared" si="5"/>
        <v/>
      </c>
      <c r="H41" s="103" t="str">
        <f t="shared" si="5"/>
        <v/>
      </c>
      <c r="I41" s="104" t="str">
        <f t="shared" si="5"/>
        <v/>
      </c>
      <c r="J41" s="102" t="str">
        <f t="shared" si="5"/>
        <v/>
      </c>
      <c r="K41" s="103" t="str">
        <f t="shared" si="5"/>
        <v/>
      </c>
      <c r="L41" s="104" t="str">
        <f t="shared" si="5"/>
        <v/>
      </c>
      <c r="M41" s="73"/>
      <c r="O41" s="100">
        <v>1</v>
      </c>
      <c r="P41" s="39" t="s">
        <v>84</v>
      </c>
      <c r="Y41" s="35"/>
      <c r="AA41" s="38" t="s">
        <v>85</v>
      </c>
      <c r="AB41" s="69"/>
      <c r="AC41" s="52" t="str">
        <f t="shared" si="4"/>
        <v>Change</v>
      </c>
      <c r="AD41" s="70" t="str">
        <f>IF(V25="","",V25)</f>
        <v>Rh</v>
      </c>
      <c r="AH41" s="608">
        <v>32</v>
      </c>
      <c r="AI41" s="19">
        <v>50</v>
      </c>
      <c r="AJ41" s="74">
        <v>0</v>
      </c>
      <c r="AK41" s="19" t="str">
        <f t="shared" si="1"/>
        <v>Mo</v>
      </c>
      <c r="AL41" s="19" t="str">
        <f t="shared" si="2"/>
        <v>Mo</v>
      </c>
      <c r="AM41" s="19"/>
      <c r="AN41" s="19"/>
      <c r="AO41" s="19"/>
      <c r="AP41" s="19"/>
      <c r="AQ41" s="609" t="s">
        <v>581</v>
      </c>
    </row>
    <row r="42" spans="1:43" ht="14.1" customHeight="1">
      <c r="A42" s="20">
        <v>42</v>
      </c>
      <c r="B42" s="71"/>
      <c r="M42" s="73"/>
      <c r="O42" s="100">
        <v>1</v>
      </c>
      <c r="P42" s="39" t="s">
        <v>86</v>
      </c>
      <c r="Y42" s="35"/>
      <c r="AA42" s="38" t="s">
        <v>61</v>
      </c>
      <c r="AB42" s="69"/>
      <c r="AC42" s="52" t="str">
        <f t="shared" si="4"/>
        <v/>
      </c>
      <c r="AD42" s="70" t="str">
        <f>IF(V32="","",V32)</f>
        <v/>
      </c>
      <c r="AH42" s="612">
        <v>32</v>
      </c>
      <c r="AI42" s="613">
        <v>50</v>
      </c>
      <c r="AJ42" s="614">
        <v>0</v>
      </c>
      <c r="AK42" s="613" t="str">
        <f t="shared" si="1"/>
        <v>Mo</v>
      </c>
      <c r="AL42" s="613" t="str">
        <f t="shared" si="2"/>
        <v>Mo</v>
      </c>
      <c r="AM42" s="613"/>
      <c r="AN42" s="613"/>
      <c r="AO42" s="613"/>
      <c r="AP42" s="613"/>
      <c r="AQ42" s="615" t="s">
        <v>581</v>
      </c>
    </row>
    <row r="43" spans="1:43" ht="14.1" customHeight="1">
      <c r="A43" s="20">
        <v>43</v>
      </c>
      <c r="B43" s="71"/>
      <c r="H43" s="54" t="s">
        <v>73</v>
      </c>
      <c r="M43" s="73"/>
      <c r="O43" s="100">
        <v>1</v>
      </c>
      <c r="P43" s="39" t="s">
        <v>87</v>
      </c>
      <c r="Y43" s="35"/>
      <c r="AA43" s="38" t="s">
        <v>88</v>
      </c>
      <c r="AB43" s="69"/>
      <c r="AC43" s="52" t="str">
        <f t="shared" si="4"/>
        <v/>
      </c>
      <c r="AD43" s="70" t="str">
        <f>IF(V33="","",V33)</f>
        <v/>
      </c>
      <c r="AH43" s="612">
        <v>32</v>
      </c>
      <c r="AI43" s="613">
        <v>50</v>
      </c>
      <c r="AJ43" s="614">
        <v>0.5</v>
      </c>
      <c r="AK43" s="613" t="str">
        <f t="shared" si="1"/>
        <v>Mo</v>
      </c>
      <c r="AL43" s="613" t="str">
        <f t="shared" si="2"/>
        <v>Mo</v>
      </c>
      <c r="AM43" s="613"/>
      <c r="AN43" s="613"/>
      <c r="AO43" s="613"/>
      <c r="AP43" s="613"/>
      <c r="AQ43" s="615" t="s">
        <v>581</v>
      </c>
    </row>
    <row r="44" spans="1:43" ht="14.1" customHeight="1">
      <c r="A44" s="20">
        <v>44</v>
      </c>
      <c r="B44" s="71"/>
      <c r="C44" s="105" t="s">
        <v>89</v>
      </c>
      <c r="L44" s="786" t="s">
        <v>90</v>
      </c>
      <c r="M44" s="786"/>
      <c r="O44" s="33"/>
      <c r="Y44" s="35"/>
      <c r="AA44" s="79" t="s">
        <v>63</v>
      </c>
      <c r="AH44" s="612">
        <v>32</v>
      </c>
      <c r="AI44" s="613">
        <v>50</v>
      </c>
      <c r="AJ44" s="614">
        <v>0.5</v>
      </c>
      <c r="AK44" s="613" t="str">
        <f t="shared" si="1"/>
        <v>Mo</v>
      </c>
      <c r="AL44" s="613" t="str">
        <f t="shared" si="2"/>
        <v>Mo</v>
      </c>
      <c r="AM44" s="613"/>
      <c r="AN44" s="613"/>
      <c r="AO44" s="613"/>
      <c r="AP44" s="613"/>
      <c r="AQ44" s="615" t="s">
        <v>581</v>
      </c>
    </row>
    <row r="45" spans="1:43" ht="14.1" customHeight="1">
      <c r="A45" s="20">
        <v>45</v>
      </c>
      <c r="B45" s="71"/>
      <c r="C45" s="106" t="s">
        <v>91</v>
      </c>
      <c r="E45" s="39" t="s">
        <v>78</v>
      </c>
      <c r="L45" s="107" t="str">
        <f>IF(O39="","TBD",IF(O39=1,"YES",IF(O39=3,"NA","")))</f>
        <v>YES</v>
      </c>
      <c r="M45" s="108" t="str">
        <f>IF(O39=2,"NO","")</f>
        <v/>
      </c>
      <c r="O45" s="100">
        <v>1</v>
      </c>
      <c r="P45" s="24" t="s">
        <v>522</v>
      </c>
      <c r="Y45" s="35"/>
      <c r="AA45" s="46" t="s">
        <v>65</v>
      </c>
      <c r="AH45" s="612">
        <v>32</v>
      </c>
      <c r="AI45" s="613">
        <v>50</v>
      </c>
      <c r="AJ45" s="614">
        <v>0.6</v>
      </c>
      <c r="AK45" s="613" t="str">
        <f t="shared" si="1"/>
        <v>Mo</v>
      </c>
      <c r="AL45" s="613" t="str">
        <f t="shared" si="2"/>
        <v>Mo</v>
      </c>
      <c r="AM45" s="613"/>
      <c r="AN45" s="613"/>
      <c r="AO45" s="613"/>
      <c r="AP45" s="613"/>
      <c r="AQ45" s="615" t="s">
        <v>581</v>
      </c>
    </row>
    <row r="46" spans="1:43" ht="14.1" customHeight="1">
      <c r="A46" s="20">
        <v>46</v>
      </c>
      <c r="B46" s="71"/>
      <c r="C46" s="106" t="s">
        <v>93</v>
      </c>
      <c r="E46" s="39" t="s">
        <v>81</v>
      </c>
      <c r="L46" s="107" t="str">
        <f>IF(O40="","TBD",IF(O40=1,"YES",IF(O40=3,"NA","")))</f>
        <v>YES</v>
      </c>
      <c r="M46" s="108" t="str">
        <f>IF(O40=2,"NO","")</f>
        <v/>
      </c>
      <c r="O46" s="100">
        <v>1</v>
      </c>
      <c r="P46" s="24" t="s">
        <v>523</v>
      </c>
      <c r="Y46" s="35"/>
      <c r="AA46" s="38" t="s">
        <v>95</v>
      </c>
      <c r="AB46" s="69"/>
      <c r="AD46" s="70" t="str">
        <f>IF(P124="","",P124)</f>
        <v/>
      </c>
      <c r="AH46" s="612">
        <v>32</v>
      </c>
      <c r="AI46" s="613">
        <v>50</v>
      </c>
      <c r="AJ46" s="614">
        <v>0.6</v>
      </c>
      <c r="AK46" s="613" t="str">
        <f t="shared" si="1"/>
        <v>Mo</v>
      </c>
      <c r="AL46" s="613" t="str">
        <f t="shared" si="2"/>
        <v>Mo</v>
      </c>
      <c r="AM46" s="613"/>
      <c r="AN46" s="613"/>
      <c r="AO46" s="613"/>
      <c r="AP46" s="613"/>
      <c r="AQ46" s="615" t="s">
        <v>581</v>
      </c>
    </row>
    <row r="47" spans="1:43" ht="14.1" customHeight="1">
      <c r="A47" s="20">
        <v>47</v>
      </c>
      <c r="B47" s="71"/>
      <c r="C47" s="106" t="s">
        <v>96</v>
      </c>
      <c r="E47" s="39" t="s">
        <v>84</v>
      </c>
      <c r="L47" s="107" t="str">
        <f>IF(O41="","TBD",IF(O41=1,"YES",IF(O41=3,"NA","")))</f>
        <v>YES</v>
      </c>
      <c r="M47" s="108" t="str">
        <f>IF(O41=2,"NO","")</f>
        <v/>
      </c>
      <c r="O47" s="100">
        <v>1</v>
      </c>
      <c r="P47" s="24" t="s">
        <v>524</v>
      </c>
      <c r="Y47" s="35"/>
      <c r="AA47" s="38" t="s">
        <v>98</v>
      </c>
      <c r="AB47" s="69"/>
      <c r="AD47" s="70" t="str">
        <f>IF(Q124="","",Q124)</f>
        <v/>
      </c>
      <c r="AH47" s="612">
        <v>32</v>
      </c>
      <c r="AI47" s="613">
        <v>50</v>
      </c>
      <c r="AJ47" s="614">
        <v>0.7</v>
      </c>
      <c r="AK47" s="613" t="str">
        <f t="shared" si="1"/>
        <v>Mo</v>
      </c>
      <c r="AL47" s="613" t="str">
        <f t="shared" si="2"/>
        <v>Mo</v>
      </c>
      <c r="AM47" s="613"/>
      <c r="AN47" s="613"/>
      <c r="AO47" s="613"/>
      <c r="AP47" s="613"/>
      <c r="AQ47" s="615" t="s">
        <v>581</v>
      </c>
    </row>
    <row r="48" spans="1:43" ht="14.1" customHeight="1">
      <c r="A48" s="20">
        <v>48</v>
      </c>
      <c r="B48" s="71"/>
      <c r="E48" s="39" t="s">
        <v>86</v>
      </c>
      <c r="L48" s="107" t="str">
        <f>IF(O42="","TBD",IF(O42=1,"YES",IF(O42=3,"NA","")))</f>
        <v>YES</v>
      </c>
      <c r="M48" s="108" t="str">
        <f>IF(O42=2,"NO","")</f>
        <v/>
      </c>
      <c r="O48" s="100">
        <v>1</v>
      </c>
      <c r="P48" s="24" t="s">
        <v>525</v>
      </c>
      <c r="Y48" s="35"/>
      <c r="AA48" s="38" t="s">
        <v>100</v>
      </c>
      <c r="AB48" s="69"/>
      <c r="AD48" s="70" t="str">
        <f>IF(R124="","",R124)</f>
        <v/>
      </c>
      <c r="AH48" s="612">
        <v>32</v>
      </c>
      <c r="AI48" s="613">
        <v>50</v>
      </c>
      <c r="AJ48" s="614">
        <v>0.7</v>
      </c>
      <c r="AK48" s="613" t="str">
        <f t="shared" si="1"/>
        <v>Mo</v>
      </c>
      <c r="AL48" s="613" t="str">
        <f t="shared" si="2"/>
        <v>Mo</v>
      </c>
      <c r="AM48" s="613"/>
      <c r="AN48" s="613"/>
      <c r="AO48" s="613"/>
      <c r="AP48" s="613"/>
      <c r="AQ48" s="615" t="s">
        <v>581</v>
      </c>
    </row>
    <row r="49" spans="1:43" ht="14.1" customHeight="1">
      <c r="A49" s="20">
        <v>49</v>
      </c>
      <c r="B49" s="71"/>
      <c r="E49" s="39" t="s">
        <v>87</v>
      </c>
      <c r="L49" s="107" t="str">
        <f>IF(O43="","TBD",IF(O43=1,"YES",IF(O43=3,"NA","")))</f>
        <v>YES</v>
      </c>
      <c r="M49" s="108" t="str">
        <f>IF(O43=2,"NO","")</f>
        <v/>
      </c>
      <c r="O49" s="100">
        <v>1</v>
      </c>
      <c r="P49" s="24" t="s">
        <v>526</v>
      </c>
      <c r="Y49" s="35"/>
      <c r="AA49" s="38" t="s">
        <v>95</v>
      </c>
      <c r="AB49" s="69"/>
      <c r="AD49" s="70" t="str">
        <f>IF(P125="","",P125)</f>
        <v/>
      </c>
      <c r="AH49" s="608">
        <v>34</v>
      </c>
      <c r="AI49" s="19">
        <v>50</v>
      </c>
      <c r="AJ49" s="74">
        <v>0</v>
      </c>
      <c r="AK49" s="19" t="str">
        <f t="shared" si="1"/>
        <v>Mo</v>
      </c>
      <c r="AL49" s="19" t="str">
        <f t="shared" si="2"/>
        <v>Mo</v>
      </c>
      <c r="AM49" s="19"/>
      <c r="AN49" s="19"/>
      <c r="AO49" s="19"/>
      <c r="AP49" s="19"/>
      <c r="AQ49" s="609" t="s">
        <v>581</v>
      </c>
    </row>
    <row r="50" spans="1:43" ht="14.1" customHeight="1">
      <c r="A50" s="20">
        <v>50</v>
      </c>
      <c r="B50" s="71"/>
      <c r="H50" s="267" t="s">
        <v>92</v>
      </c>
      <c r="M50" s="73"/>
      <c r="O50" s="100">
        <v>1</v>
      </c>
      <c r="P50" s="24" t="s">
        <v>527</v>
      </c>
      <c r="Y50" s="35"/>
      <c r="AA50" s="38" t="s">
        <v>98</v>
      </c>
      <c r="AB50" s="69"/>
      <c r="AD50" s="70" t="str">
        <f>IF(Q125="","",Q125)</f>
        <v/>
      </c>
      <c r="AH50" s="612">
        <v>34</v>
      </c>
      <c r="AI50" s="613">
        <v>50</v>
      </c>
      <c r="AJ50" s="614">
        <v>0</v>
      </c>
      <c r="AK50" s="613" t="str">
        <f t="shared" si="1"/>
        <v>Mo</v>
      </c>
      <c r="AL50" s="613" t="str">
        <f t="shared" si="2"/>
        <v>Mo</v>
      </c>
      <c r="AM50" s="613"/>
      <c r="AN50" s="613"/>
      <c r="AO50" s="613"/>
      <c r="AP50" s="613"/>
      <c r="AQ50" s="615" t="s">
        <v>581</v>
      </c>
    </row>
    <row r="51" spans="1:43" ht="14.1" customHeight="1">
      <c r="A51" s="20">
        <v>51</v>
      </c>
      <c r="B51" s="71"/>
      <c r="E51" s="72" t="s">
        <v>94</v>
      </c>
      <c r="L51" s="107" t="str">
        <f t="shared" ref="L51:L63" si="6">IF(O64="","TBD",IF(O64=1,"YES",IF(O64=3,"NA","")))</f>
        <v>YES</v>
      </c>
      <c r="M51" s="108" t="str">
        <f t="shared" ref="M51:M63" si="7">IF(O64=2,"NO","")</f>
        <v/>
      </c>
      <c r="O51" s="100">
        <v>1</v>
      </c>
      <c r="P51" s="24" t="s">
        <v>528</v>
      </c>
      <c r="Y51" s="35"/>
      <c r="AA51" s="38" t="s">
        <v>100</v>
      </c>
      <c r="AB51" s="69"/>
      <c r="AD51" s="70" t="str">
        <f>IF(R125="","",R125)</f>
        <v/>
      </c>
      <c r="AH51" s="612">
        <v>34</v>
      </c>
      <c r="AI51" s="613">
        <v>50</v>
      </c>
      <c r="AJ51" s="614">
        <v>0.5</v>
      </c>
      <c r="AK51" s="613" t="str">
        <f t="shared" si="1"/>
        <v>Mo</v>
      </c>
      <c r="AL51" s="613" t="str">
        <f t="shared" si="2"/>
        <v>Mo</v>
      </c>
      <c r="AM51" s="613"/>
      <c r="AN51" s="613"/>
      <c r="AO51" s="613"/>
      <c r="AP51" s="613"/>
      <c r="AQ51" s="615" t="s">
        <v>581</v>
      </c>
    </row>
    <row r="52" spans="1:43" ht="14.1" customHeight="1">
      <c r="A52" s="20">
        <v>52</v>
      </c>
      <c r="B52" s="71"/>
      <c r="E52" s="72" t="s">
        <v>97</v>
      </c>
      <c r="L52" s="107" t="str">
        <f t="shared" si="6"/>
        <v>YES</v>
      </c>
      <c r="M52" s="108" t="str">
        <f t="shared" si="7"/>
        <v/>
      </c>
      <c r="O52" s="100">
        <v>1</v>
      </c>
      <c r="P52" s="24" t="s">
        <v>529</v>
      </c>
      <c r="Y52" s="35"/>
      <c r="AA52" s="38" t="s">
        <v>95</v>
      </c>
      <c r="AB52" s="69"/>
      <c r="AD52" s="70" t="str">
        <f>IF(P126="","",P126)</f>
        <v/>
      </c>
      <c r="AH52" s="612">
        <v>34</v>
      </c>
      <c r="AI52" s="613">
        <v>50</v>
      </c>
      <c r="AJ52" s="614">
        <v>0.5</v>
      </c>
      <c r="AK52" s="613" t="str">
        <f t="shared" si="1"/>
        <v>Mo</v>
      </c>
      <c r="AL52" s="613" t="str">
        <f t="shared" si="2"/>
        <v>Mo</v>
      </c>
      <c r="AM52" s="613"/>
      <c r="AN52" s="613"/>
      <c r="AO52" s="613"/>
      <c r="AP52" s="613"/>
      <c r="AQ52" s="615" t="s">
        <v>581</v>
      </c>
    </row>
    <row r="53" spans="1:43" ht="14.1" customHeight="1">
      <c r="A53" s="20">
        <v>53</v>
      </c>
      <c r="B53" s="71"/>
      <c r="E53" s="72" t="s">
        <v>99</v>
      </c>
      <c r="L53" s="107" t="str">
        <f t="shared" si="6"/>
        <v>YES</v>
      </c>
      <c r="M53" s="108" t="str">
        <f t="shared" si="7"/>
        <v/>
      </c>
      <c r="O53" s="100">
        <v>1</v>
      </c>
      <c r="P53" s="24" t="s">
        <v>530</v>
      </c>
      <c r="Y53" s="35"/>
      <c r="AA53" s="38" t="s">
        <v>98</v>
      </c>
      <c r="AB53" s="69"/>
      <c r="AD53" s="70" t="str">
        <f>IF(Q126="","",Q126)</f>
        <v/>
      </c>
      <c r="AH53" s="612">
        <v>34</v>
      </c>
      <c r="AI53" s="613">
        <v>50</v>
      </c>
      <c r="AJ53" s="614">
        <v>0.6</v>
      </c>
      <c r="AK53" s="613" t="str">
        <f t="shared" si="1"/>
        <v>Mo</v>
      </c>
      <c r="AL53" s="613" t="str">
        <f t="shared" si="2"/>
        <v>Mo</v>
      </c>
      <c r="AM53" s="613"/>
      <c r="AN53" s="613"/>
      <c r="AO53" s="613"/>
      <c r="AP53" s="613"/>
      <c r="AQ53" s="615" t="s">
        <v>581</v>
      </c>
    </row>
    <row r="54" spans="1:43" ht="14.1" customHeight="1">
      <c r="A54" s="20">
        <v>54</v>
      </c>
      <c r="B54" s="71"/>
      <c r="E54" s="72" t="s">
        <v>101</v>
      </c>
      <c r="L54" s="107" t="str">
        <f t="shared" si="6"/>
        <v>YES</v>
      </c>
      <c r="M54" s="108" t="str">
        <f t="shared" si="7"/>
        <v/>
      </c>
      <c r="O54" s="100">
        <v>1</v>
      </c>
      <c r="P54" s="24" t="s">
        <v>531</v>
      </c>
      <c r="Y54" s="35"/>
      <c r="AA54" s="38" t="s">
        <v>100</v>
      </c>
      <c r="AB54" s="69"/>
      <c r="AD54" s="70" t="str">
        <f>IF(R126="","",R126)</f>
        <v/>
      </c>
      <c r="AH54" s="612">
        <v>34</v>
      </c>
      <c r="AI54" s="613">
        <v>50</v>
      </c>
      <c r="AJ54" s="614">
        <v>0.6</v>
      </c>
      <c r="AK54" s="613" t="str">
        <f t="shared" si="1"/>
        <v>Mo</v>
      </c>
      <c r="AL54" s="613" t="str">
        <f t="shared" si="2"/>
        <v>Mo</v>
      </c>
      <c r="AM54" s="613"/>
      <c r="AN54" s="613"/>
      <c r="AO54" s="613"/>
      <c r="AP54" s="613"/>
      <c r="AQ54" s="615" t="s">
        <v>581</v>
      </c>
    </row>
    <row r="55" spans="1:43" ht="14.1" customHeight="1">
      <c r="A55" s="20">
        <v>55</v>
      </c>
      <c r="B55" s="71"/>
      <c r="E55" s="72" t="s">
        <v>102</v>
      </c>
      <c r="L55" s="107" t="str">
        <f t="shared" si="6"/>
        <v>NA</v>
      </c>
      <c r="M55" s="108" t="str">
        <f t="shared" si="7"/>
        <v/>
      </c>
      <c r="O55" s="100">
        <v>1</v>
      </c>
      <c r="P55" s="24" t="s">
        <v>532</v>
      </c>
      <c r="Y55" s="35"/>
      <c r="AA55" s="38" t="s">
        <v>95</v>
      </c>
      <c r="AB55" s="69"/>
      <c r="AD55" s="70" t="str">
        <f>IF(P127="","",P127)</f>
        <v/>
      </c>
      <c r="AH55" s="612">
        <v>34</v>
      </c>
      <c r="AI55" s="613">
        <v>50</v>
      </c>
      <c r="AJ55" s="614">
        <v>0.7</v>
      </c>
      <c r="AK55" s="613" t="str">
        <f t="shared" si="1"/>
        <v>Mo</v>
      </c>
      <c r="AL55" s="613" t="str">
        <f t="shared" si="2"/>
        <v>Mo</v>
      </c>
      <c r="AM55" s="613"/>
      <c r="AN55" s="613"/>
      <c r="AO55" s="613"/>
      <c r="AP55" s="613"/>
      <c r="AQ55" s="615" t="s">
        <v>581</v>
      </c>
    </row>
    <row r="56" spans="1:43" ht="14.1" customHeight="1" thickBot="1">
      <c r="A56" s="20">
        <v>56</v>
      </c>
      <c r="B56" s="71"/>
      <c r="E56" s="72" t="s">
        <v>103</v>
      </c>
      <c r="L56" s="107" t="str">
        <f t="shared" si="6"/>
        <v>NA</v>
      </c>
      <c r="M56" s="108" t="str">
        <f t="shared" si="7"/>
        <v/>
      </c>
      <c r="O56" s="100">
        <v>1</v>
      </c>
      <c r="P56" s="24" t="s">
        <v>533</v>
      </c>
      <c r="Y56" s="35"/>
      <c r="AA56" s="38" t="s">
        <v>98</v>
      </c>
      <c r="AB56" s="69"/>
      <c r="AD56" s="70"/>
      <c r="AH56" s="616">
        <v>34</v>
      </c>
      <c r="AI56" s="617">
        <v>50</v>
      </c>
      <c r="AJ56" s="618">
        <v>0.7</v>
      </c>
      <c r="AK56" s="617" t="str">
        <f t="shared" si="1"/>
        <v>Mo</v>
      </c>
      <c r="AL56" s="617" t="str">
        <f t="shared" si="2"/>
        <v>Mo</v>
      </c>
      <c r="AM56" s="617"/>
      <c r="AN56" s="617"/>
      <c r="AO56" s="617"/>
      <c r="AP56" s="617"/>
      <c r="AQ56" s="619" t="s">
        <v>581</v>
      </c>
    </row>
    <row r="57" spans="1:43" ht="14.1" customHeight="1">
      <c r="A57" s="20">
        <v>57</v>
      </c>
      <c r="B57" s="71"/>
      <c r="E57" s="72" t="s">
        <v>109</v>
      </c>
      <c r="L57" s="107" t="str">
        <f t="shared" si="6"/>
        <v>YES</v>
      </c>
      <c r="M57" s="108" t="str">
        <f t="shared" si="7"/>
        <v/>
      </c>
      <c r="O57" s="100">
        <v>1</v>
      </c>
      <c r="P57" s="24" t="s">
        <v>534</v>
      </c>
      <c r="Y57" s="35"/>
      <c r="AA57" s="38" t="s">
        <v>100</v>
      </c>
      <c r="AB57" s="69"/>
      <c r="AD57" s="70"/>
      <c r="AH57" s="606">
        <v>28</v>
      </c>
      <c r="AI57" s="604">
        <v>50</v>
      </c>
      <c r="AJ57" s="214">
        <v>0</v>
      </c>
      <c r="AK57" s="604" t="str">
        <f t="shared" si="1"/>
        <v>Mo</v>
      </c>
      <c r="AL57" s="604" t="str">
        <f>IF($V$25="","",$V$25)</f>
        <v>Rh</v>
      </c>
      <c r="AM57" s="604"/>
      <c r="AN57" s="604"/>
      <c r="AO57" s="604"/>
      <c r="AP57" s="604"/>
      <c r="AQ57" s="607" t="s">
        <v>581</v>
      </c>
    </row>
    <row r="58" spans="1:43" ht="14.1" customHeight="1">
      <c r="A58" s="20">
        <v>58</v>
      </c>
      <c r="B58" s="71"/>
      <c r="E58" s="72" t="s">
        <v>105</v>
      </c>
      <c r="L58" s="107" t="str">
        <f t="shared" si="6"/>
        <v>YES</v>
      </c>
      <c r="M58" s="108" t="str">
        <f t="shared" si="7"/>
        <v/>
      </c>
      <c r="O58" s="100">
        <v>1</v>
      </c>
      <c r="P58" s="24" t="s">
        <v>535</v>
      </c>
      <c r="Y58" s="35"/>
      <c r="AA58" s="46" t="s">
        <v>112</v>
      </c>
      <c r="AH58" s="623">
        <v>28</v>
      </c>
      <c r="AI58" s="624">
        <v>50</v>
      </c>
      <c r="AJ58" s="625">
        <v>0</v>
      </c>
      <c r="AK58" s="624" t="str">
        <f t="shared" si="1"/>
        <v>Mo</v>
      </c>
      <c r="AL58" s="624" t="str">
        <f t="shared" ref="AL58:AL90" si="8">IF($V$25="","",$V$25)</f>
        <v>Rh</v>
      </c>
      <c r="AM58" s="624"/>
      <c r="AN58" s="624"/>
      <c r="AO58" s="624"/>
      <c r="AP58" s="624"/>
      <c r="AQ58" s="626" t="s">
        <v>581</v>
      </c>
    </row>
    <row r="59" spans="1:43" ht="14.1" customHeight="1">
      <c r="A59" s="20">
        <v>59</v>
      </c>
      <c r="B59" s="71"/>
      <c r="E59" s="72" t="s">
        <v>106</v>
      </c>
      <c r="L59" s="107" t="str">
        <f t="shared" si="6"/>
        <v>YES</v>
      </c>
      <c r="M59" s="108" t="str">
        <f t="shared" si="7"/>
        <v/>
      </c>
      <c r="O59" s="100">
        <v>1</v>
      </c>
      <c r="P59" s="24" t="s">
        <v>536</v>
      </c>
      <c r="Y59" s="35"/>
      <c r="AA59" s="38" t="s">
        <v>95</v>
      </c>
      <c r="AB59" s="69"/>
      <c r="AD59" s="70" t="str">
        <f>IF(S124="","",S124)</f>
        <v/>
      </c>
      <c r="AH59" s="623">
        <v>28</v>
      </c>
      <c r="AI59" s="624">
        <v>50</v>
      </c>
      <c r="AJ59" s="625">
        <v>0.4</v>
      </c>
      <c r="AK59" s="624" t="str">
        <f t="shared" si="1"/>
        <v>Mo</v>
      </c>
      <c r="AL59" s="624" t="str">
        <f t="shared" si="8"/>
        <v>Rh</v>
      </c>
      <c r="AM59" s="624"/>
      <c r="AN59" s="624"/>
      <c r="AO59" s="624"/>
      <c r="AP59" s="624"/>
      <c r="AQ59" s="626" t="s">
        <v>581</v>
      </c>
    </row>
    <row r="60" spans="1:43" ht="14.1" customHeight="1">
      <c r="A60" s="20">
        <v>60</v>
      </c>
      <c r="B60" s="71"/>
      <c r="E60" s="72" t="s">
        <v>107</v>
      </c>
      <c r="L60" s="107" t="str">
        <f t="shared" si="6"/>
        <v>YES</v>
      </c>
      <c r="M60" s="108" t="str">
        <f t="shared" si="7"/>
        <v/>
      </c>
      <c r="O60" s="100">
        <v>1</v>
      </c>
      <c r="P60" s="24" t="s">
        <v>537</v>
      </c>
      <c r="Y60" s="35"/>
      <c r="AA60" s="38" t="s">
        <v>98</v>
      </c>
      <c r="AB60" s="69"/>
      <c r="AD60" s="70" t="str">
        <f>IF(T124="","",T124)</f>
        <v/>
      </c>
      <c r="AH60" s="623">
        <v>28</v>
      </c>
      <c r="AI60" s="624">
        <v>50</v>
      </c>
      <c r="AJ60" s="625">
        <v>0.4</v>
      </c>
      <c r="AK60" s="624" t="str">
        <f t="shared" si="1"/>
        <v>Mo</v>
      </c>
      <c r="AL60" s="624" t="str">
        <f t="shared" si="8"/>
        <v>Rh</v>
      </c>
      <c r="AM60" s="624"/>
      <c r="AN60" s="624"/>
      <c r="AO60" s="624"/>
      <c r="AP60" s="624"/>
      <c r="AQ60" s="626" t="s">
        <v>581</v>
      </c>
    </row>
    <row r="61" spans="1:43" ht="14.1" customHeight="1">
      <c r="A61" s="20">
        <v>61</v>
      </c>
      <c r="B61" s="71"/>
      <c r="E61" s="72" t="s">
        <v>108</v>
      </c>
      <c r="L61" s="107" t="str">
        <f t="shared" si="6"/>
        <v>YES</v>
      </c>
      <c r="M61" s="108" t="str">
        <f t="shared" si="7"/>
        <v/>
      </c>
      <c r="O61" s="100">
        <v>1</v>
      </c>
      <c r="P61" s="24" t="s">
        <v>538</v>
      </c>
      <c r="Y61" s="35"/>
      <c r="AA61" s="38" t="s">
        <v>100</v>
      </c>
      <c r="AB61" s="69"/>
      <c r="AD61" s="70" t="str">
        <f>IF(U124="","",U124)</f>
        <v/>
      </c>
      <c r="AH61" s="623">
        <v>28</v>
      </c>
      <c r="AI61" s="624">
        <v>50</v>
      </c>
      <c r="AJ61" s="625">
        <v>0.5</v>
      </c>
      <c r="AK61" s="624" t="str">
        <f t="shared" si="1"/>
        <v>Mo</v>
      </c>
      <c r="AL61" s="624" t="str">
        <f t="shared" si="8"/>
        <v>Rh</v>
      </c>
      <c r="AM61" s="624"/>
      <c r="AN61" s="624"/>
      <c r="AO61" s="624"/>
      <c r="AP61" s="624"/>
      <c r="AQ61" s="626" t="s">
        <v>581</v>
      </c>
    </row>
    <row r="62" spans="1:43" ht="14.1" customHeight="1">
      <c r="A62" s="20">
        <v>62</v>
      </c>
      <c r="B62" s="71"/>
      <c r="E62" s="72" t="s">
        <v>115</v>
      </c>
      <c r="L62" s="107" t="str">
        <f t="shared" si="6"/>
        <v>YES</v>
      </c>
      <c r="M62" s="108" t="str">
        <f t="shared" si="7"/>
        <v/>
      </c>
      <c r="O62" s="33"/>
      <c r="Y62" s="35"/>
      <c r="AA62" s="38" t="s">
        <v>95</v>
      </c>
      <c r="AB62" s="69"/>
      <c r="AD62" s="70" t="str">
        <f>IF(S125="","",S125)</f>
        <v/>
      </c>
      <c r="AH62" s="623">
        <v>28</v>
      </c>
      <c r="AI62" s="624">
        <v>50</v>
      </c>
      <c r="AJ62" s="625">
        <v>0.5</v>
      </c>
      <c r="AK62" s="624" t="str">
        <f t="shared" si="1"/>
        <v>Mo</v>
      </c>
      <c r="AL62" s="624" t="str">
        <f t="shared" si="8"/>
        <v>Rh</v>
      </c>
      <c r="AM62" s="624"/>
      <c r="AN62" s="624"/>
      <c r="AO62" s="624"/>
      <c r="AP62" s="624"/>
      <c r="AQ62" s="626" t="s">
        <v>581</v>
      </c>
    </row>
    <row r="63" spans="1:43" ht="14.1" customHeight="1">
      <c r="A63" s="20">
        <v>63</v>
      </c>
      <c r="B63" s="71"/>
      <c r="E63" s="24" t="s">
        <v>117</v>
      </c>
      <c r="L63" s="107" t="str">
        <f t="shared" si="6"/>
        <v>YES</v>
      </c>
      <c r="M63" s="108" t="str">
        <f t="shared" si="7"/>
        <v/>
      </c>
      <c r="O63" s="33"/>
      <c r="T63" s="267" t="s">
        <v>92</v>
      </c>
      <c r="Y63" s="35"/>
      <c r="AA63" s="38" t="s">
        <v>98</v>
      </c>
      <c r="AB63" s="69"/>
      <c r="AD63" s="70" t="str">
        <f>IF(T125="","",T125)</f>
        <v/>
      </c>
      <c r="AH63" s="623">
        <v>28</v>
      </c>
      <c r="AI63" s="624">
        <v>50</v>
      </c>
      <c r="AJ63" s="625">
        <v>0.6</v>
      </c>
      <c r="AK63" s="624" t="str">
        <f t="shared" si="1"/>
        <v>Mo</v>
      </c>
      <c r="AL63" s="624" t="str">
        <f t="shared" si="8"/>
        <v>Rh</v>
      </c>
      <c r="AM63" s="624"/>
      <c r="AN63" s="624"/>
      <c r="AO63" s="624"/>
      <c r="AP63" s="624"/>
      <c r="AQ63" s="627" t="s">
        <v>581</v>
      </c>
    </row>
    <row r="64" spans="1:43" ht="14.1" customHeight="1">
      <c r="A64" s="20">
        <v>64</v>
      </c>
      <c r="B64" s="71"/>
      <c r="C64" s="72"/>
      <c r="D64" s="72"/>
      <c r="E64" s="72"/>
      <c r="F64" s="72"/>
      <c r="G64" s="72"/>
      <c r="H64" s="72"/>
      <c r="I64" s="72"/>
      <c r="J64" s="72"/>
      <c r="K64" s="72"/>
      <c r="L64" s="72"/>
      <c r="M64" s="73"/>
      <c r="O64" s="100">
        <v>1</v>
      </c>
      <c r="P64" s="72" t="s">
        <v>94</v>
      </c>
      <c r="Y64" s="35"/>
      <c r="AA64" s="38" t="s">
        <v>100</v>
      </c>
      <c r="AB64" s="69"/>
      <c r="AD64" s="70" t="str">
        <f>IF(U125="","",U125)</f>
        <v/>
      </c>
      <c r="AH64" s="623">
        <v>28</v>
      </c>
      <c r="AI64" s="624">
        <v>50</v>
      </c>
      <c r="AJ64" s="625">
        <v>0.6</v>
      </c>
      <c r="AK64" s="624" t="str">
        <f t="shared" si="1"/>
        <v>Mo</v>
      </c>
      <c r="AL64" s="624" t="str">
        <f t="shared" si="8"/>
        <v>Rh</v>
      </c>
      <c r="AM64" s="624"/>
      <c r="AN64" s="624"/>
      <c r="AO64" s="624"/>
      <c r="AP64" s="624"/>
      <c r="AQ64" s="627" t="s">
        <v>581</v>
      </c>
    </row>
    <row r="65" spans="1:43" ht="14.1" customHeight="1">
      <c r="A65" s="20">
        <v>65</v>
      </c>
      <c r="B65" s="71"/>
      <c r="C65" s="72"/>
      <c r="D65" s="72"/>
      <c r="E65" s="72"/>
      <c r="F65" s="72"/>
      <c r="G65" s="72"/>
      <c r="H65" s="72"/>
      <c r="I65" s="72"/>
      <c r="J65" s="72"/>
      <c r="K65" s="72"/>
      <c r="L65" s="72"/>
      <c r="M65" s="73"/>
      <c r="O65" s="100">
        <v>1</v>
      </c>
      <c r="P65" s="72" t="s">
        <v>97</v>
      </c>
      <c r="Y65" s="35"/>
      <c r="AA65" s="38" t="s">
        <v>95</v>
      </c>
      <c r="AB65" s="69"/>
      <c r="AD65" s="70" t="str">
        <f>IF(S126="","",S126)</f>
        <v/>
      </c>
      <c r="AH65" s="210">
        <v>30</v>
      </c>
      <c r="AI65" s="14">
        <v>50</v>
      </c>
      <c r="AJ65" s="110">
        <v>0</v>
      </c>
      <c r="AK65" s="14" t="str">
        <f t="shared" si="1"/>
        <v>Mo</v>
      </c>
      <c r="AL65" s="14" t="str">
        <f t="shared" si="8"/>
        <v>Rh</v>
      </c>
      <c r="AM65" s="14"/>
      <c r="AN65" s="14"/>
      <c r="AO65" s="14"/>
      <c r="AP65" s="14"/>
      <c r="AQ65" s="228" t="s">
        <v>581</v>
      </c>
    </row>
    <row r="66" spans="1:43" ht="14.1" customHeight="1">
      <c r="A66" s="20">
        <v>66</v>
      </c>
      <c r="B66" s="71"/>
      <c r="C66" s="72"/>
      <c r="D66" s="72"/>
      <c r="E66" s="72"/>
      <c r="F66" s="72"/>
      <c r="G66" s="72"/>
      <c r="H66" s="72"/>
      <c r="I66" s="72"/>
      <c r="J66" s="72"/>
      <c r="K66" s="72"/>
      <c r="L66" s="72"/>
      <c r="M66" s="73"/>
      <c r="O66" s="100">
        <v>1</v>
      </c>
      <c r="P66" s="72" t="s">
        <v>99</v>
      </c>
      <c r="Y66" s="35"/>
      <c r="AA66" s="38" t="s">
        <v>98</v>
      </c>
      <c r="AB66" s="69"/>
      <c r="AD66" s="70" t="str">
        <f>IF(T126="","",T126)</f>
        <v/>
      </c>
      <c r="AH66" s="623">
        <v>30</v>
      </c>
      <c r="AI66" s="624">
        <v>50</v>
      </c>
      <c r="AJ66" s="625">
        <v>0</v>
      </c>
      <c r="AK66" s="624" t="str">
        <f t="shared" si="1"/>
        <v>Mo</v>
      </c>
      <c r="AL66" s="624" t="str">
        <f t="shared" si="8"/>
        <v>Rh</v>
      </c>
      <c r="AM66" s="624"/>
      <c r="AN66" s="624"/>
      <c r="AO66" s="624"/>
      <c r="AP66" s="624"/>
      <c r="AQ66" s="627" t="s">
        <v>581</v>
      </c>
    </row>
    <row r="67" spans="1:43" ht="14.1" customHeight="1">
      <c r="A67" s="20">
        <v>67</v>
      </c>
      <c r="B67" s="71"/>
      <c r="C67" s="72"/>
      <c r="D67" s="72"/>
      <c r="E67" s="72"/>
      <c r="F67" s="72"/>
      <c r="G67" s="72"/>
      <c r="H67" s="72"/>
      <c r="I67" s="72"/>
      <c r="J67" s="72"/>
      <c r="K67" s="72"/>
      <c r="L67" s="72"/>
      <c r="M67" s="73"/>
      <c r="O67" s="100">
        <v>1</v>
      </c>
      <c r="P67" s="72" t="s">
        <v>101</v>
      </c>
      <c r="Y67" s="35"/>
      <c r="AA67" s="38" t="s">
        <v>100</v>
      </c>
      <c r="AB67" s="69"/>
      <c r="AD67" s="70" t="str">
        <f>IF(U126="","",U126)</f>
        <v/>
      </c>
      <c r="AH67" s="623">
        <v>30</v>
      </c>
      <c r="AI67" s="624">
        <v>50</v>
      </c>
      <c r="AJ67" s="625">
        <v>0.5</v>
      </c>
      <c r="AK67" s="624" t="str">
        <f t="shared" si="1"/>
        <v>Mo</v>
      </c>
      <c r="AL67" s="624" t="str">
        <f t="shared" si="8"/>
        <v>Rh</v>
      </c>
      <c r="AM67" s="624"/>
      <c r="AN67" s="624"/>
      <c r="AO67" s="624"/>
      <c r="AP67" s="624"/>
      <c r="AQ67" s="627" t="s">
        <v>581</v>
      </c>
    </row>
    <row r="68" spans="1:43" ht="14.1" customHeight="1">
      <c r="A68" s="20">
        <v>68</v>
      </c>
      <c r="B68" s="71"/>
      <c r="C68" s="72"/>
      <c r="D68" s="72"/>
      <c r="E68" s="72"/>
      <c r="F68" s="72"/>
      <c r="G68" s="72"/>
      <c r="H68" s="72"/>
      <c r="I68" s="72"/>
      <c r="J68" s="72"/>
      <c r="K68" s="72"/>
      <c r="L68" s="72"/>
      <c r="M68" s="73"/>
      <c r="O68" s="100">
        <v>3</v>
      </c>
      <c r="P68" s="72" t="s">
        <v>102</v>
      </c>
      <c r="Y68" s="35"/>
      <c r="AA68" s="38" t="s">
        <v>95</v>
      </c>
      <c r="AB68" s="69"/>
      <c r="AD68" s="70" t="str">
        <f>IF(S127="","",S127)</f>
        <v/>
      </c>
      <c r="AH68" s="623">
        <v>30</v>
      </c>
      <c r="AI68" s="624">
        <v>50</v>
      </c>
      <c r="AJ68" s="625">
        <v>0.5</v>
      </c>
      <c r="AK68" s="624" t="str">
        <f t="shared" si="1"/>
        <v>Mo</v>
      </c>
      <c r="AL68" s="624" t="str">
        <f t="shared" si="8"/>
        <v>Rh</v>
      </c>
      <c r="AM68" s="624"/>
      <c r="AN68" s="624"/>
      <c r="AO68" s="624"/>
      <c r="AP68" s="624"/>
      <c r="AQ68" s="627" t="s">
        <v>581</v>
      </c>
    </row>
    <row r="69" spans="1:43" ht="14.1" customHeight="1">
      <c r="A69" s="20">
        <v>69</v>
      </c>
      <c r="B69" s="71"/>
      <c r="C69" s="72"/>
      <c r="D69" s="72"/>
      <c r="E69" s="72"/>
      <c r="F69" s="72"/>
      <c r="G69" s="72"/>
      <c r="H69" s="72"/>
      <c r="I69" s="72"/>
      <c r="J69" s="72"/>
      <c r="K69" s="72"/>
      <c r="L69" s="72"/>
      <c r="M69" s="73"/>
      <c r="O69" s="100">
        <v>3</v>
      </c>
      <c r="P69" s="72" t="s">
        <v>103</v>
      </c>
      <c r="Y69" s="35"/>
      <c r="AA69" s="38" t="s">
        <v>98</v>
      </c>
      <c r="AB69" s="69"/>
      <c r="AD69" s="70" t="str">
        <f>IF(T127="","",T127)</f>
        <v/>
      </c>
      <c r="AH69" s="623">
        <v>30</v>
      </c>
      <c r="AI69" s="624">
        <v>50</v>
      </c>
      <c r="AJ69" s="625">
        <v>0.6</v>
      </c>
      <c r="AK69" s="624" t="str">
        <f t="shared" si="1"/>
        <v>Mo</v>
      </c>
      <c r="AL69" s="624" t="str">
        <f t="shared" si="8"/>
        <v>Rh</v>
      </c>
      <c r="AM69" s="624"/>
      <c r="AN69" s="624"/>
      <c r="AO69" s="624"/>
      <c r="AP69" s="624"/>
      <c r="AQ69" s="627" t="s">
        <v>581</v>
      </c>
    </row>
    <row r="70" spans="1:43" ht="14.1" customHeight="1" thickBot="1">
      <c r="A70" s="20">
        <v>70</v>
      </c>
      <c r="B70" s="84"/>
      <c r="C70" s="85"/>
      <c r="D70" s="85"/>
      <c r="E70" s="85"/>
      <c r="F70" s="85"/>
      <c r="G70" s="85"/>
      <c r="H70" s="85"/>
      <c r="I70" s="85"/>
      <c r="J70" s="85"/>
      <c r="K70" s="85"/>
      <c r="L70" s="85"/>
      <c r="M70" s="86"/>
      <c r="O70" s="100">
        <v>1</v>
      </c>
      <c r="P70" s="72" t="s">
        <v>104</v>
      </c>
      <c r="Y70" s="35"/>
      <c r="AA70" s="38" t="s">
        <v>100</v>
      </c>
      <c r="AB70" s="69"/>
      <c r="AD70" s="70" t="str">
        <f>IF(U127="","",U127)</f>
        <v/>
      </c>
      <c r="AH70" s="623">
        <v>30</v>
      </c>
      <c r="AI70" s="624">
        <v>50</v>
      </c>
      <c r="AJ70" s="625">
        <v>0.6</v>
      </c>
      <c r="AK70" s="624" t="str">
        <f t="shared" si="1"/>
        <v>Mo</v>
      </c>
      <c r="AL70" s="624" t="str">
        <f t="shared" si="8"/>
        <v>Rh</v>
      </c>
      <c r="AM70" s="624"/>
      <c r="AN70" s="624"/>
      <c r="AO70" s="624"/>
      <c r="AP70" s="624"/>
      <c r="AQ70" s="627" t="s">
        <v>581</v>
      </c>
    </row>
    <row r="71" spans="1:43" ht="14.1" customHeight="1" thickTop="1">
      <c r="A71" s="20">
        <v>71</v>
      </c>
      <c r="C71" s="113" t="s">
        <v>11</v>
      </c>
      <c r="D71" s="387" t="str">
        <f>IF($P$7="","",$P$7)</f>
        <v/>
      </c>
      <c r="E71" s="30"/>
      <c r="F71" s="30"/>
      <c r="G71" s="30"/>
      <c r="H71" s="30"/>
      <c r="I71" s="30"/>
      <c r="J71" s="30"/>
      <c r="K71" s="30"/>
      <c r="L71" s="113" t="s">
        <v>12</v>
      </c>
      <c r="M71" s="388" t="str">
        <f>IF($X$7="","",$X$7)</f>
        <v>Eugene Mah</v>
      </c>
      <c r="O71" s="100">
        <v>1</v>
      </c>
      <c r="P71" s="72" t="s">
        <v>105</v>
      </c>
      <c r="Y71" s="35"/>
      <c r="AA71" s="46" t="s">
        <v>67</v>
      </c>
      <c r="AH71" s="623">
        <v>30</v>
      </c>
      <c r="AI71" s="624">
        <v>50</v>
      </c>
      <c r="AJ71" s="625">
        <v>0.7</v>
      </c>
      <c r="AK71" s="624" t="str">
        <f t="shared" si="1"/>
        <v>Mo</v>
      </c>
      <c r="AL71" s="624" t="str">
        <f t="shared" si="8"/>
        <v>Rh</v>
      </c>
      <c r="AM71" s="624"/>
      <c r="AN71" s="624"/>
      <c r="AO71" s="624"/>
      <c r="AP71" s="624"/>
      <c r="AQ71" s="627" t="s">
        <v>581</v>
      </c>
    </row>
    <row r="72" spans="1:43" ht="14.1" customHeight="1">
      <c r="A72" s="20">
        <v>72</v>
      </c>
      <c r="C72" s="113" t="s">
        <v>121</v>
      </c>
      <c r="D72" s="388" t="str">
        <f>IF($R$14="","",$R$14)</f>
        <v/>
      </c>
      <c r="E72" s="30"/>
      <c r="F72" s="30"/>
      <c r="G72" s="30"/>
      <c r="H72" s="30"/>
      <c r="I72" s="30"/>
      <c r="J72" s="30"/>
      <c r="K72" s="30"/>
      <c r="L72" s="113" t="s">
        <v>37</v>
      </c>
      <c r="M72" s="388" t="str">
        <f>IF($R$13="","",$R$13)</f>
        <v/>
      </c>
      <c r="O72" s="100">
        <v>1</v>
      </c>
      <c r="P72" s="72" t="s">
        <v>106</v>
      </c>
      <c r="Y72" s="35"/>
      <c r="AA72" s="38" t="s">
        <v>95</v>
      </c>
      <c r="AB72" s="69"/>
      <c r="AD72" s="70" t="str">
        <f>IF(V124="","",V124)</f>
        <v/>
      </c>
      <c r="AH72" s="623">
        <v>30</v>
      </c>
      <c r="AI72" s="624">
        <v>50</v>
      </c>
      <c r="AJ72" s="625">
        <v>0.7</v>
      </c>
      <c r="AK72" s="624" t="str">
        <f t="shared" si="1"/>
        <v>Mo</v>
      </c>
      <c r="AL72" s="624" t="str">
        <f t="shared" si="8"/>
        <v>Rh</v>
      </c>
      <c r="AM72" s="624"/>
      <c r="AN72" s="624"/>
      <c r="AO72" s="624"/>
      <c r="AP72" s="624"/>
      <c r="AQ72" s="627" t="s">
        <v>581</v>
      </c>
    </row>
    <row r="73" spans="1:43" ht="14.1" customHeight="1">
      <c r="A73" s="20">
        <v>1</v>
      </c>
      <c r="M73" s="116" t="str">
        <f>$H$2</f>
        <v>Medical University of South Carolina</v>
      </c>
      <c r="O73" s="100">
        <v>1</v>
      </c>
      <c r="P73" s="72" t="s">
        <v>107</v>
      </c>
      <c r="Y73" s="35"/>
      <c r="AA73" s="38" t="s">
        <v>98</v>
      </c>
      <c r="AB73" s="69"/>
      <c r="AD73" s="70" t="str">
        <f>IF(W124="","",W124)</f>
        <v/>
      </c>
      <c r="AH73" s="610">
        <v>32</v>
      </c>
      <c r="AI73" s="605">
        <v>50</v>
      </c>
      <c r="AJ73" s="622">
        <v>0</v>
      </c>
      <c r="AK73" s="605" t="str">
        <f t="shared" si="1"/>
        <v>Mo</v>
      </c>
      <c r="AL73" s="605" t="str">
        <f t="shared" si="8"/>
        <v>Rh</v>
      </c>
      <c r="AM73" s="605"/>
      <c r="AN73" s="605"/>
      <c r="AO73" s="605"/>
      <c r="AP73" s="605"/>
      <c r="AQ73" s="611" t="s">
        <v>581</v>
      </c>
    </row>
    <row r="74" spans="1:43" ht="14.1" customHeight="1" thickBot="1">
      <c r="A74" s="20">
        <v>2</v>
      </c>
      <c r="H74" s="54" t="s">
        <v>73</v>
      </c>
      <c r="M74" s="117" t="str">
        <f>$H$5</f>
        <v>Mammography System Compliance Inspection</v>
      </c>
      <c r="O74" s="100">
        <v>1</v>
      </c>
      <c r="P74" s="72" t="s">
        <v>108</v>
      </c>
      <c r="Y74" s="35"/>
      <c r="AA74" s="38" t="s">
        <v>100</v>
      </c>
      <c r="AB74" s="69"/>
      <c r="AD74" s="70" t="str">
        <f>IF(X124="","",X124)</f>
        <v/>
      </c>
      <c r="AH74" s="623">
        <v>32</v>
      </c>
      <c r="AI74" s="624">
        <v>50</v>
      </c>
      <c r="AJ74" s="625">
        <v>0</v>
      </c>
      <c r="AK74" s="624" t="str">
        <f t="shared" si="1"/>
        <v>Mo</v>
      </c>
      <c r="AL74" s="624" t="str">
        <f t="shared" si="8"/>
        <v>Rh</v>
      </c>
      <c r="AM74" s="624"/>
      <c r="AN74" s="624"/>
      <c r="AO74" s="624"/>
      <c r="AP74" s="624"/>
      <c r="AQ74" s="627" t="s">
        <v>581</v>
      </c>
    </row>
    <row r="75" spans="1:43" ht="14.1" customHeight="1" thickTop="1">
      <c r="A75" s="20">
        <v>3</v>
      </c>
      <c r="B75" s="62"/>
      <c r="C75" s="118" t="s">
        <v>89</v>
      </c>
      <c r="D75" s="63"/>
      <c r="E75" s="63"/>
      <c r="F75" s="63"/>
      <c r="G75" s="63"/>
      <c r="H75" s="119" t="s">
        <v>113</v>
      </c>
      <c r="I75" s="63"/>
      <c r="J75" s="63"/>
      <c r="K75" s="63"/>
      <c r="L75" s="63"/>
      <c r="M75" s="65"/>
      <c r="O75" s="100">
        <v>1</v>
      </c>
      <c r="P75" s="72" t="s">
        <v>110</v>
      </c>
      <c r="Y75" s="35"/>
      <c r="AA75" s="38" t="s">
        <v>95</v>
      </c>
      <c r="AB75" s="69"/>
      <c r="AD75" s="70" t="str">
        <f>IF(V125="","",V125)</f>
        <v/>
      </c>
      <c r="AH75" s="623">
        <v>32</v>
      </c>
      <c r="AI75" s="624">
        <v>50</v>
      </c>
      <c r="AJ75" s="625">
        <v>0.5</v>
      </c>
      <c r="AK75" s="624" t="str">
        <f t="shared" ref="AK75:AK90" si="9">IF($V$21="","",$V$21)</f>
        <v>Mo</v>
      </c>
      <c r="AL75" s="624" t="str">
        <f t="shared" si="8"/>
        <v>Rh</v>
      </c>
      <c r="AM75" s="624"/>
      <c r="AN75" s="624"/>
      <c r="AO75" s="624"/>
      <c r="AP75" s="624"/>
      <c r="AQ75" s="627" t="s">
        <v>581</v>
      </c>
    </row>
    <row r="76" spans="1:43" ht="14.1" customHeight="1">
      <c r="A76" s="20">
        <v>4</v>
      </c>
      <c r="B76" s="71"/>
      <c r="C76" s="72" t="s">
        <v>126</v>
      </c>
      <c r="D76" s="72"/>
      <c r="E76" s="72" t="s">
        <v>127</v>
      </c>
      <c r="F76" s="72"/>
      <c r="G76" s="72"/>
      <c r="H76" s="72"/>
      <c r="I76" s="72"/>
      <c r="J76" s="72"/>
      <c r="K76" s="72"/>
      <c r="L76" s="152" t="str">
        <f t="shared" ref="L76:L107" si="10">IF(O79="","TBD",IF(O79=1,"YES",IF(O79=3,"NA","")))</f>
        <v>YES</v>
      </c>
      <c r="M76" s="108" t="str">
        <f t="shared" ref="M76:M107" si="11">IF(O79=2,"NO","")</f>
        <v/>
      </c>
      <c r="O76" s="100">
        <v>1</v>
      </c>
      <c r="P76" s="24" t="s">
        <v>111</v>
      </c>
      <c r="Y76" s="35"/>
      <c r="AA76" s="38" t="s">
        <v>98</v>
      </c>
      <c r="AB76" s="69"/>
      <c r="AD76" s="70" t="str">
        <f>IF(W125="","",W125)</f>
        <v/>
      </c>
      <c r="AH76" s="623">
        <v>32</v>
      </c>
      <c r="AI76" s="624">
        <v>50</v>
      </c>
      <c r="AJ76" s="625">
        <v>0.5</v>
      </c>
      <c r="AK76" s="624" t="str">
        <f t="shared" si="9"/>
        <v>Mo</v>
      </c>
      <c r="AL76" s="624" t="str">
        <f t="shared" si="8"/>
        <v>Rh</v>
      </c>
      <c r="AM76" s="624"/>
      <c r="AN76" s="624"/>
      <c r="AO76" s="624"/>
      <c r="AP76" s="624"/>
      <c r="AQ76" s="627" t="s">
        <v>581</v>
      </c>
    </row>
    <row r="77" spans="1:43" ht="14.1" customHeight="1">
      <c r="A77" s="20">
        <v>5</v>
      </c>
      <c r="B77" s="71"/>
      <c r="C77" s="72" t="s">
        <v>129</v>
      </c>
      <c r="D77" s="72"/>
      <c r="E77" s="72" t="s">
        <v>130</v>
      </c>
      <c r="F77" s="72"/>
      <c r="G77" s="72"/>
      <c r="H77" s="72"/>
      <c r="I77" s="72"/>
      <c r="J77" s="72"/>
      <c r="K77" s="72"/>
      <c r="L77" s="152" t="str">
        <f t="shared" si="10"/>
        <v>YES</v>
      </c>
      <c r="M77" s="108" t="str">
        <f t="shared" si="11"/>
        <v/>
      </c>
      <c r="O77" s="33"/>
      <c r="Y77" s="35"/>
      <c r="AA77" s="38" t="s">
        <v>100</v>
      </c>
      <c r="AB77" s="69"/>
      <c r="AD77" s="70" t="str">
        <f>IF(X125="","",X125)</f>
        <v/>
      </c>
      <c r="AH77" s="623">
        <v>32</v>
      </c>
      <c r="AI77" s="624">
        <v>50</v>
      </c>
      <c r="AJ77" s="625">
        <v>0.6</v>
      </c>
      <c r="AK77" s="624" t="str">
        <f t="shared" si="9"/>
        <v>Mo</v>
      </c>
      <c r="AL77" s="624" t="str">
        <f t="shared" si="8"/>
        <v>Rh</v>
      </c>
      <c r="AM77" s="624"/>
      <c r="AN77" s="624"/>
      <c r="AO77" s="624"/>
      <c r="AP77" s="624"/>
      <c r="AQ77" s="627" t="s">
        <v>581</v>
      </c>
    </row>
    <row r="78" spans="1:43" ht="14.1" customHeight="1">
      <c r="A78" s="20">
        <v>6</v>
      </c>
      <c r="B78" s="71"/>
      <c r="C78" s="72" t="s">
        <v>132</v>
      </c>
      <c r="D78" s="72"/>
      <c r="E78" s="72" t="s">
        <v>118</v>
      </c>
      <c r="F78" s="72"/>
      <c r="G78" s="72"/>
      <c r="H78" s="72"/>
      <c r="I78" s="72"/>
      <c r="J78" s="72"/>
      <c r="K78" s="72"/>
      <c r="L78" s="152" t="str">
        <f t="shared" si="10"/>
        <v>YES</v>
      </c>
      <c r="M78" s="108" t="str">
        <f t="shared" si="11"/>
        <v/>
      </c>
      <c r="O78" s="33"/>
      <c r="T78" s="267" t="s">
        <v>113</v>
      </c>
      <c r="Y78" s="35"/>
      <c r="AA78" s="38" t="s">
        <v>95</v>
      </c>
      <c r="AB78" s="69"/>
      <c r="AD78" s="70" t="str">
        <f>IF(V126="","",V126)</f>
        <v/>
      </c>
      <c r="AH78" s="623">
        <v>32</v>
      </c>
      <c r="AI78" s="624">
        <v>50</v>
      </c>
      <c r="AJ78" s="625">
        <v>0.6</v>
      </c>
      <c r="AK78" s="624" t="str">
        <f t="shared" si="9"/>
        <v>Mo</v>
      </c>
      <c r="AL78" s="624" t="str">
        <f t="shared" si="8"/>
        <v>Rh</v>
      </c>
      <c r="AM78" s="624"/>
      <c r="AN78" s="624"/>
      <c r="AO78" s="624"/>
      <c r="AP78" s="624"/>
      <c r="AQ78" s="627" t="s">
        <v>581</v>
      </c>
    </row>
    <row r="79" spans="1:43" ht="14.1" customHeight="1">
      <c r="A79" s="20">
        <v>7</v>
      </c>
      <c r="B79" s="71"/>
      <c r="C79" s="72" t="s">
        <v>134</v>
      </c>
      <c r="D79" s="72"/>
      <c r="E79" s="72" t="s">
        <v>135</v>
      </c>
      <c r="F79" s="72"/>
      <c r="G79" s="72"/>
      <c r="H79" s="72"/>
      <c r="I79" s="72"/>
      <c r="J79" s="72"/>
      <c r="K79" s="72"/>
      <c r="L79" s="152" t="str">
        <f t="shared" si="10"/>
        <v>YES</v>
      </c>
      <c r="M79" s="108" t="str">
        <f t="shared" si="11"/>
        <v/>
      </c>
      <c r="O79" s="100">
        <v>1</v>
      </c>
      <c r="P79" s="24" t="s">
        <v>114</v>
      </c>
      <c r="Y79" s="35"/>
      <c r="AA79" s="38" t="s">
        <v>98</v>
      </c>
      <c r="AB79" s="69"/>
      <c r="AD79" s="70" t="str">
        <f>IF(W126="","",W126)</f>
        <v/>
      </c>
      <c r="AH79" s="623">
        <v>32</v>
      </c>
      <c r="AI79" s="624">
        <v>50</v>
      </c>
      <c r="AJ79" s="625">
        <v>0.7</v>
      </c>
      <c r="AK79" s="624" t="str">
        <f t="shared" si="9"/>
        <v>Mo</v>
      </c>
      <c r="AL79" s="624" t="str">
        <f t="shared" si="8"/>
        <v>Rh</v>
      </c>
      <c r="AM79" s="624"/>
      <c r="AN79" s="624"/>
      <c r="AO79" s="624"/>
      <c r="AP79" s="624"/>
      <c r="AQ79" s="627" t="s">
        <v>581</v>
      </c>
    </row>
    <row r="80" spans="1:43" ht="14.1" customHeight="1">
      <c r="A80" s="20">
        <v>8</v>
      </c>
      <c r="B80" s="71"/>
      <c r="C80" s="72" t="s">
        <v>137</v>
      </c>
      <c r="D80" s="72"/>
      <c r="E80" s="72" t="s">
        <v>120</v>
      </c>
      <c r="F80" s="72"/>
      <c r="G80" s="72"/>
      <c r="H80" s="72"/>
      <c r="I80" s="72"/>
      <c r="J80" s="72"/>
      <c r="K80" s="72"/>
      <c r="L80" s="152" t="str">
        <f t="shared" si="10"/>
        <v>YES</v>
      </c>
      <c r="M80" s="108" t="str">
        <f t="shared" si="11"/>
        <v/>
      </c>
      <c r="O80" s="100">
        <v>1</v>
      </c>
      <c r="P80" s="24" t="s">
        <v>116</v>
      </c>
      <c r="Y80" s="35"/>
      <c r="AA80" s="38" t="s">
        <v>100</v>
      </c>
      <c r="AB80" s="69"/>
      <c r="AD80" s="70" t="str">
        <f>IF(X126="","",X126)</f>
        <v/>
      </c>
      <c r="AH80" s="623">
        <v>32</v>
      </c>
      <c r="AI80" s="624">
        <v>50</v>
      </c>
      <c r="AJ80" s="625">
        <v>0.7</v>
      </c>
      <c r="AK80" s="624" t="str">
        <f t="shared" si="9"/>
        <v>Mo</v>
      </c>
      <c r="AL80" s="624" t="str">
        <f t="shared" si="8"/>
        <v>Rh</v>
      </c>
      <c r="AM80" s="624"/>
      <c r="AN80" s="624"/>
      <c r="AO80" s="624"/>
      <c r="AP80" s="624"/>
      <c r="AQ80" s="627" t="s">
        <v>581</v>
      </c>
    </row>
    <row r="81" spans="1:43" ht="14.1" customHeight="1">
      <c r="A81" s="20">
        <v>9</v>
      </c>
      <c r="B81" s="71"/>
      <c r="C81" s="72" t="s">
        <v>139</v>
      </c>
      <c r="D81" s="72"/>
      <c r="E81" s="72" t="s">
        <v>140</v>
      </c>
      <c r="F81" s="72"/>
      <c r="G81" s="72"/>
      <c r="H81" s="72"/>
      <c r="I81" s="72"/>
      <c r="J81" s="72"/>
      <c r="K81" s="72"/>
      <c r="L81" s="152" t="str">
        <f t="shared" si="10"/>
        <v>YES</v>
      </c>
      <c r="M81" s="108" t="str">
        <f t="shared" si="11"/>
        <v/>
      </c>
      <c r="O81" s="100">
        <v>1</v>
      </c>
      <c r="P81" s="24" t="s">
        <v>118</v>
      </c>
      <c r="Y81" s="35"/>
      <c r="AA81" s="38" t="s">
        <v>95</v>
      </c>
      <c r="AB81" s="69"/>
      <c r="AD81" s="70" t="str">
        <f>IF(V127="","",V127)</f>
        <v/>
      </c>
      <c r="AH81" s="210">
        <v>34</v>
      </c>
      <c r="AI81" s="14">
        <v>50</v>
      </c>
      <c r="AJ81" s="110">
        <v>0</v>
      </c>
      <c r="AK81" s="14" t="str">
        <f t="shared" si="9"/>
        <v>Mo</v>
      </c>
      <c r="AL81" s="14" t="str">
        <f t="shared" si="8"/>
        <v>Rh</v>
      </c>
      <c r="AM81" s="14"/>
      <c r="AN81" s="14"/>
      <c r="AO81" s="14"/>
      <c r="AP81" s="14"/>
      <c r="AQ81" s="228" t="s">
        <v>581</v>
      </c>
    </row>
    <row r="82" spans="1:43" ht="14.1" customHeight="1">
      <c r="A82" s="20">
        <v>10</v>
      </c>
      <c r="B82" s="71"/>
      <c r="C82" s="72" t="s">
        <v>142</v>
      </c>
      <c r="D82" s="72"/>
      <c r="E82" s="72" t="s">
        <v>123</v>
      </c>
      <c r="F82" s="72"/>
      <c r="G82" s="72"/>
      <c r="H82" s="72"/>
      <c r="I82" s="72"/>
      <c r="J82" s="72"/>
      <c r="K82" s="72"/>
      <c r="L82" s="152" t="str">
        <f t="shared" si="10"/>
        <v>YES</v>
      </c>
      <c r="M82" s="108" t="str">
        <f t="shared" si="11"/>
        <v/>
      </c>
      <c r="O82" s="100">
        <v>1</v>
      </c>
      <c r="P82" s="24" t="s">
        <v>119</v>
      </c>
      <c r="Y82" s="35"/>
      <c r="AA82" s="38" t="s">
        <v>98</v>
      </c>
      <c r="AB82" s="69"/>
      <c r="AD82" s="70" t="str">
        <f>IF(W127="","",W127)</f>
        <v/>
      </c>
      <c r="AH82" s="623">
        <v>34</v>
      </c>
      <c r="AI82" s="624">
        <v>50</v>
      </c>
      <c r="AJ82" s="625">
        <v>0</v>
      </c>
      <c r="AK82" s="624" t="str">
        <f t="shared" si="9"/>
        <v>Mo</v>
      </c>
      <c r="AL82" s="624" t="str">
        <f t="shared" si="8"/>
        <v>Rh</v>
      </c>
      <c r="AM82" s="624"/>
      <c r="AN82" s="624"/>
      <c r="AO82" s="624"/>
      <c r="AP82" s="624"/>
      <c r="AQ82" s="627" t="s">
        <v>581</v>
      </c>
    </row>
    <row r="83" spans="1:43" ht="14.1" customHeight="1">
      <c r="A83" s="20">
        <v>11</v>
      </c>
      <c r="B83" s="71"/>
      <c r="C83" s="72" t="s">
        <v>144</v>
      </c>
      <c r="D83" s="72"/>
      <c r="E83" s="72" t="s">
        <v>145</v>
      </c>
      <c r="F83" s="72"/>
      <c r="G83" s="72"/>
      <c r="H83" s="72"/>
      <c r="I83" s="72"/>
      <c r="J83" s="72"/>
      <c r="K83" s="72"/>
      <c r="L83" s="152" t="str">
        <f t="shared" si="10"/>
        <v>YES</v>
      </c>
      <c r="M83" s="108" t="str">
        <f t="shared" si="11"/>
        <v/>
      </c>
      <c r="O83" s="100">
        <v>1</v>
      </c>
      <c r="P83" s="24" t="s">
        <v>120</v>
      </c>
      <c r="Y83" s="35"/>
      <c r="AA83" s="38" t="s">
        <v>100</v>
      </c>
      <c r="AB83" s="69"/>
      <c r="AD83" s="70" t="str">
        <f>IF(X127="","",X127)</f>
        <v/>
      </c>
      <c r="AH83" s="623">
        <v>34</v>
      </c>
      <c r="AI83" s="624">
        <v>50</v>
      </c>
      <c r="AJ83" s="625">
        <v>0.5</v>
      </c>
      <c r="AK83" s="624" t="str">
        <f t="shared" si="9"/>
        <v>Mo</v>
      </c>
      <c r="AL83" s="624" t="str">
        <f t="shared" si="8"/>
        <v>Rh</v>
      </c>
      <c r="AM83" s="624"/>
      <c r="AN83" s="624"/>
      <c r="AO83" s="624"/>
      <c r="AP83" s="624"/>
      <c r="AQ83" s="627" t="s">
        <v>581</v>
      </c>
    </row>
    <row r="84" spans="1:43" ht="14.1" customHeight="1">
      <c r="A84" s="20">
        <v>12</v>
      </c>
      <c r="B84" s="71"/>
      <c r="C84" s="72" t="s">
        <v>147</v>
      </c>
      <c r="D84" s="72"/>
      <c r="E84" s="72" t="s">
        <v>125</v>
      </c>
      <c r="F84" s="72"/>
      <c r="G84" s="72"/>
      <c r="H84" s="72"/>
      <c r="I84" s="72"/>
      <c r="J84" s="72"/>
      <c r="K84" s="72"/>
      <c r="L84" s="152" t="str">
        <f t="shared" si="10"/>
        <v>YES</v>
      </c>
      <c r="M84" s="108" t="str">
        <f t="shared" si="11"/>
        <v/>
      </c>
      <c r="O84" s="100">
        <v>1</v>
      </c>
      <c r="P84" s="24" t="s">
        <v>122</v>
      </c>
      <c r="Y84" s="35"/>
      <c r="AH84" s="623">
        <v>34</v>
      </c>
      <c r="AI84" s="624">
        <v>50</v>
      </c>
      <c r="AJ84" s="625">
        <v>0.5</v>
      </c>
      <c r="AK84" s="624" t="str">
        <f t="shared" si="9"/>
        <v>Mo</v>
      </c>
      <c r="AL84" s="624" t="str">
        <f t="shared" si="8"/>
        <v>Rh</v>
      </c>
      <c r="AM84" s="624"/>
      <c r="AN84" s="624"/>
      <c r="AO84" s="624"/>
      <c r="AP84" s="624"/>
      <c r="AQ84" s="627" t="s">
        <v>581</v>
      </c>
    </row>
    <row r="85" spans="1:43" ht="14.1" customHeight="1">
      <c r="A85" s="20">
        <v>13</v>
      </c>
      <c r="B85" s="71"/>
      <c r="C85" s="72" t="s">
        <v>149</v>
      </c>
      <c r="D85" s="72"/>
      <c r="E85" s="72" t="s">
        <v>128</v>
      </c>
      <c r="F85" s="72"/>
      <c r="G85" s="72"/>
      <c r="H85" s="72"/>
      <c r="I85" s="72"/>
      <c r="J85" s="72"/>
      <c r="K85" s="72"/>
      <c r="L85" s="152" t="str">
        <f t="shared" si="10"/>
        <v>YES</v>
      </c>
      <c r="M85" s="108" t="str">
        <f t="shared" si="11"/>
        <v/>
      </c>
      <c r="O85" s="100">
        <v>1</v>
      </c>
      <c r="P85" s="24" t="s">
        <v>123</v>
      </c>
      <c r="Y85" s="35"/>
      <c r="AA85" s="38" t="s">
        <v>161</v>
      </c>
      <c r="AB85" s="69"/>
      <c r="AD85" s="120" t="str">
        <f>IF(X271="","",X271)</f>
        <v/>
      </c>
      <c r="AH85" s="623">
        <v>34</v>
      </c>
      <c r="AI85" s="624">
        <v>50</v>
      </c>
      <c r="AJ85" s="625">
        <v>0.6</v>
      </c>
      <c r="AK85" s="624" t="str">
        <f t="shared" si="9"/>
        <v>Mo</v>
      </c>
      <c r="AL85" s="624" t="str">
        <f t="shared" si="8"/>
        <v>Rh</v>
      </c>
      <c r="AM85" s="624"/>
      <c r="AN85" s="624"/>
      <c r="AO85" s="624"/>
      <c r="AP85" s="624"/>
      <c r="AQ85" s="627" t="s">
        <v>581</v>
      </c>
    </row>
    <row r="86" spans="1:43" ht="14.1" customHeight="1">
      <c r="A86" s="20">
        <v>14</v>
      </c>
      <c r="B86" s="71"/>
      <c r="C86" s="72" t="s">
        <v>149</v>
      </c>
      <c r="D86" s="72"/>
      <c r="E86" s="72" t="s">
        <v>131</v>
      </c>
      <c r="F86" s="72"/>
      <c r="G86" s="72"/>
      <c r="H86" s="72"/>
      <c r="I86" s="72"/>
      <c r="J86" s="72"/>
      <c r="K86" s="72"/>
      <c r="L86" s="152" t="str">
        <f t="shared" si="10"/>
        <v>YES</v>
      </c>
      <c r="M86" s="108" t="str">
        <f t="shared" si="11"/>
        <v/>
      </c>
      <c r="O86" s="100">
        <v>1</v>
      </c>
      <c r="P86" s="24" t="s">
        <v>124</v>
      </c>
      <c r="Y86" s="35"/>
      <c r="AA86" s="38" t="s">
        <v>540</v>
      </c>
      <c r="AB86" s="69"/>
      <c r="AD86" s="121" t="str">
        <f>IF(S347="","",S347)</f>
        <v/>
      </c>
      <c r="AH86" s="623">
        <v>34</v>
      </c>
      <c r="AI86" s="624">
        <v>50</v>
      </c>
      <c r="AJ86" s="625">
        <v>0.6</v>
      </c>
      <c r="AK86" s="624" t="str">
        <f t="shared" si="9"/>
        <v>Mo</v>
      </c>
      <c r="AL86" s="624" t="str">
        <f t="shared" si="8"/>
        <v>Rh</v>
      </c>
      <c r="AM86" s="624"/>
      <c r="AN86" s="624"/>
      <c r="AO86" s="624"/>
      <c r="AP86" s="624"/>
      <c r="AQ86" s="627" t="s">
        <v>581</v>
      </c>
    </row>
    <row r="87" spans="1:43" ht="14.1" customHeight="1">
      <c r="A87" s="20">
        <v>15</v>
      </c>
      <c r="B87" s="71"/>
      <c r="C87" s="72" t="s">
        <v>152</v>
      </c>
      <c r="D87" s="72"/>
      <c r="E87" s="72" t="s">
        <v>133</v>
      </c>
      <c r="F87" s="72"/>
      <c r="G87" s="72"/>
      <c r="H87" s="72"/>
      <c r="I87" s="72"/>
      <c r="J87" s="72"/>
      <c r="K87" s="72"/>
      <c r="L87" s="152" t="str">
        <f t="shared" si="10"/>
        <v>YES</v>
      </c>
      <c r="M87" s="108" t="str">
        <f t="shared" si="11"/>
        <v/>
      </c>
      <c r="O87" s="100">
        <v>1</v>
      </c>
      <c r="P87" s="24" t="s">
        <v>125</v>
      </c>
      <c r="Y87" s="35"/>
      <c r="AA87" s="38" t="s">
        <v>541</v>
      </c>
      <c r="AB87" s="69"/>
      <c r="AD87" s="120" t="str">
        <f>IF(T347="","",T347)</f>
        <v/>
      </c>
      <c r="AH87" s="623">
        <v>34</v>
      </c>
      <c r="AI87" s="624">
        <v>50</v>
      </c>
      <c r="AJ87" s="625">
        <v>0.7</v>
      </c>
      <c r="AK87" s="624" t="str">
        <f t="shared" si="9"/>
        <v>Mo</v>
      </c>
      <c r="AL87" s="624" t="str">
        <f t="shared" si="8"/>
        <v>Rh</v>
      </c>
      <c r="AM87" s="624"/>
      <c r="AN87" s="624"/>
      <c r="AO87" s="624"/>
      <c r="AP87" s="624"/>
      <c r="AQ87" s="627" t="s">
        <v>581</v>
      </c>
    </row>
    <row r="88" spans="1:43" ht="14.1" customHeight="1">
      <c r="A88" s="20">
        <v>16</v>
      </c>
      <c r="B88" s="71"/>
      <c r="C88" s="72" t="s">
        <v>154</v>
      </c>
      <c r="D88" s="72"/>
      <c r="E88" s="72" t="s">
        <v>136</v>
      </c>
      <c r="F88" s="72"/>
      <c r="G88" s="72"/>
      <c r="H88" s="72"/>
      <c r="I88" s="72"/>
      <c r="J88" s="72"/>
      <c r="K88" s="72"/>
      <c r="L88" s="152" t="str">
        <f t="shared" si="10"/>
        <v>YES</v>
      </c>
      <c r="M88" s="108" t="str">
        <f t="shared" si="11"/>
        <v/>
      </c>
      <c r="O88" s="100">
        <v>1</v>
      </c>
      <c r="P88" s="24" t="s">
        <v>128</v>
      </c>
      <c r="Y88" s="35"/>
      <c r="AA88" s="38" t="s">
        <v>542</v>
      </c>
      <c r="AB88" s="69"/>
      <c r="AD88" s="121" t="str">
        <f>IF(X347="","",X347)</f>
        <v/>
      </c>
      <c r="AH88" s="623">
        <v>34</v>
      </c>
      <c r="AI88" s="624">
        <v>50</v>
      </c>
      <c r="AJ88" s="625">
        <v>0.7</v>
      </c>
      <c r="AK88" s="624" t="str">
        <f t="shared" si="9"/>
        <v>Mo</v>
      </c>
      <c r="AL88" s="624" t="str">
        <f t="shared" si="8"/>
        <v>Rh</v>
      </c>
      <c r="AM88" s="624"/>
      <c r="AN88" s="624"/>
      <c r="AO88" s="624"/>
      <c r="AP88" s="624"/>
      <c r="AQ88" s="627" t="s">
        <v>581</v>
      </c>
    </row>
    <row r="89" spans="1:43" ht="14.1" customHeight="1">
      <c r="A89" s="20">
        <v>17</v>
      </c>
      <c r="B89" s="71"/>
      <c r="C89" s="343"/>
      <c r="D89" s="72"/>
      <c r="E89" s="72" t="s">
        <v>138</v>
      </c>
      <c r="F89" s="72"/>
      <c r="G89" s="72"/>
      <c r="H89" s="72"/>
      <c r="I89" s="72"/>
      <c r="J89" s="72"/>
      <c r="K89" s="72"/>
      <c r="L89" s="152" t="str">
        <f t="shared" si="10"/>
        <v>YES</v>
      </c>
      <c r="M89" s="108" t="str">
        <f t="shared" si="11"/>
        <v/>
      </c>
      <c r="O89" s="100">
        <v>1</v>
      </c>
      <c r="P89" s="24" t="s">
        <v>131</v>
      </c>
      <c r="Y89" s="35"/>
      <c r="AA89" s="38" t="s">
        <v>543</v>
      </c>
      <c r="AB89" s="69"/>
      <c r="AD89" s="120" t="str">
        <f>IF(Y347="","",Y347)</f>
        <v/>
      </c>
      <c r="AH89" s="210">
        <v>36</v>
      </c>
      <c r="AI89" s="14">
        <v>50</v>
      </c>
      <c r="AJ89" s="110">
        <v>0</v>
      </c>
      <c r="AK89" s="14" t="str">
        <f t="shared" si="9"/>
        <v>Mo</v>
      </c>
      <c r="AL89" s="14" t="str">
        <f t="shared" si="8"/>
        <v>Rh</v>
      </c>
      <c r="AM89" s="14"/>
      <c r="AN89" s="14"/>
      <c r="AO89" s="14"/>
      <c r="AP89" s="14"/>
      <c r="AQ89" s="228" t="s">
        <v>581</v>
      </c>
    </row>
    <row r="90" spans="1:43" ht="14.1" customHeight="1" thickBot="1">
      <c r="A90" s="20">
        <v>18</v>
      </c>
      <c r="B90" s="71"/>
      <c r="C90" s="72" t="s">
        <v>157</v>
      </c>
      <c r="D90" s="72"/>
      <c r="E90" s="72" t="s">
        <v>141</v>
      </c>
      <c r="F90" s="72"/>
      <c r="G90" s="72"/>
      <c r="H90" s="72"/>
      <c r="I90" s="72"/>
      <c r="J90" s="72"/>
      <c r="K90" s="72"/>
      <c r="L90" s="152" t="str">
        <f t="shared" si="10"/>
        <v>YES</v>
      </c>
      <c r="M90" s="108" t="str">
        <f t="shared" si="11"/>
        <v/>
      </c>
      <c r="O90" s="100">
        <v>1</v>
      </c>
      <c r="P90" s="24" t="s">
        <v>133</v>
      </c>
      <c r="Y90" s="35"/>
      <c r="AA90" s="79" t="s">
        <v>170</v>
      </c>
      <c r="AH90" s="211">
        <v>38</v>
      </c>
      <c r="AI90" s="212">
        <v>50</v>
      </c>
      <c r="AJ90" s="596">
        <v>0</v>
      </c>
      <c r="AK90" s="212" t="str">
        <f t="shared" si="9"/>
        <v>Mo</v>
      </c>
      <c r="AL90" s="212" t="str">
        <f t="shared" si="8"/>
        <v>Rh</v>
      </c>
      <c r="AM90" s="212"/>
      <c r="AN90" s="212"/>
      <c r="AO90" s="212"/>
      <c r="AP90" s="212"/>
      <c r="AQ90" s="181" t="s">
        <v>581</v>
      </c>
    </row>
    <row r="91" spans="1:43" ht="14.1" customHeight="1">
      <c r="A91" s="20">
        <v>19</v>
      </c>
      <c r="B91" s="71"/>
      <c r="C91" s="72" t="s">
        <v>159</v>
      </c>
      <c r="D91" s="72"/>
      <c r="E91" s="72" t="s">
        <v>143</v>
      </c>
      <c r="F91" s="72"/>
      <c r="G91" s="72"/>
      <c r="H91" s="72"/>
      <c r="I91" s="72"/>
      <c r="J91" s="72"/>
      <c r="K91" s="72"/>
      <c r="L91" s="152" t="str">
        <f t="shared" si="10"/>
        <v>YES</v>
      </c>
      <c r="M91" s="108" t="str">
        <f t="shared" si="11"/>
        <v/>
      </c>
      <c r="O91" s="100">
        <v>1</v>
      </c>
      <c r="P91" s="24" t="s">
        <v>136</v>
      </c>
      <c r="Y91" s="35"/>
      <c r="AA91" s="38" t="s">
        <v>173</v>
      </c>
      <c r="AB91" s="69"/>
      <c r="AD91" s="70" t="str">
        <f>IF(Q386="","",Q386)</f>
        <v/>
      </c>
      <c r="AH91" s="208">
        <v>28</v>
      </c>
      <c r="AI91" s="209">
        <v>50</v>
      </c>
      <c r="AJ91" s="595">
        <v>0</v>
      </c>
      <c r="AK91" s="209" t="str">
        <f>IF($V$22="","",$V$22)</f>
        <v>W</v>
      </c>
      <c r="AL91" s="209" t="str">
        <f>IF($V$25="","",$V$25)</f>
        <v>Rh</v>
      </c>
      <c r="AM91" s="209"/>
      <c r="AN91" s="209"/>
      <c r="AO91" s="209"/>
      <c r="AP91" s="209"/>
      <c r="AQ91" s="180" t="s">
        <v>581</v>
      </c>
    </row>
    <row r="92" spans="1:43" ht="14.1" customHeight="1">
      <c r="A92" s="20">
        <v>20</v>
      </c>
      <c r="B92" s="71"/>
      <c r="C92" s="72" t="s">
        <v>162</v>
      </c>
      <c r="D92" s="72"/>
      <c r="E92" s="72" t="s">
        <v>146</v>
      </c>
      <c r="F92" s="72"/>
      <c r="G92" s="72"/>
      <c r="H92" s="72"/>
      <c r="I92" s="72"/>
      <c r="J92" s="72"/>
      <c r="K92" s="72"/>
      <c r="L92" s="152" t="str">
        <f t="shared" si="10"/>
        <v>YES</v>
      </c>
      <c r="M92" s="108" t="str">
        <f t="shared" si="11"/>
        <v/>
      </c>
      <c r="O92" s="100">
        <v>1</v>
      </c>
      <c r="P92" s="24" t="s">
        <v>138</v>
      </c>
      <c r="Y92" s="35"/>
      <c r="AA92" s="38" t="s">
        <v>176</v>
      </c>
      <c r="AB92" s="69"/>
      <c r="AD92" s="70" t="str">
        <f>IF(Q387="","",Q387)</f>
        <v/>
      </c>
      <c r="AH92" s="628">
        <v>28</v>
      </c>
      <c r="AI92" s="629">
        <v>50</v>
      </c>
      <c r="AJ92" s="630">
        <v>0</v>
      </c>
      <c r="AK92" s="629" t="str">
        <f t="shared" ref="AK92:AK132" si="12">IF($V$22="","",$V$22)</f>
        <v>W</v>
      </c>
      <c r="AL92" s="629" t="str">
        <f t="shared" ref="AL92:AL132" si="13">IF($V$25="","",$V$25)</f>
        <v>Rh</v>
      </c>
      <c r="AM92" s="629"/>
      <c r="AN92" s="629"/>
      <c r="AO92" s="629"/>
      <c r="AP92" s="629"/>
      <c r="AQ92" s="631" t="s">
        <v>581</v>
      </c>
    </row>
    <row r="93" spans="1:43" ht="14.1" customHeight="1">
      <c r="A93" s="20">
        <v>21</v>
      </c>
      <c r="B93" s="71"/>
      <c r="C93" s="72" t="s">
        <v>164</v>
      </c>
      <c r="D93" s="72"/>
      <c r="E93" s="72" t="s">
        <v>165</v>
      </c>
      <c r="F93" s="72"/>
      <c r="G93" s="72"/>
      <c r="H93" s="72"/>
      <c r="I93" s="72"/>
      <c r="J93" s="72"/>
      <c r="K93" s="72"/>
      <c r="L93" s="152" t="str">
        <f t="shared" si="10"/>
        <v>YES</v>
      </c>
      <c r="M93" s="108" t="str">
        <f t="shared" si="11"/>
        <v/>
      </c>
      <c r="O93" s="100">
        <v>1</v>
      </c>
      <c r="P93" s="24" t="s">
        <v>141</v>
      </c>
      <c r="Y93" s="35"/>
      <c r="AA93" s="38" t="s">
        <v>179</v>
      </c>
      <c r="AB93" s="69"/>
      <c r="AD93" s="70" t="str">
        <f>IF(Q388="","",Q388)</f>
        <v/>
      </c>
      <c r="AH93" s="628">
        <v>28</v>
      </c>
      <c r="AI93" s="629">
        <v>50</v>
      </c>
      <c r="AJ93" s="630">
        <v>0</v>
      </c>
      <c r="AK93" s="629" t="str">
        <f t="shared" si="12"/>
        <v>W</v>
      </c>
      <c r="AL93" s="629" t="str">
        <f t="shared" si="13"/>
        <v>Rh</v>
      </c>
      <c r="AM93" s="629"/>
      <c r="AN93" s="629"/>
      <c r="AO93" s="629"/>
      <c r="AP93" s="629"/>
      <c r="AQ93" s="631" t="s">
        <v>581</v>
      </c>
    </row>
    <row r="94" spans="1:43" ht="14.1" customHeight="1">
      <c r="A94" s="20">
        <v>22</v>
      </c>
      <c r="B94" s="71"/>
      <c r="C94" s="72" t="s">
        <v>167</v>
      </c>
      <c r="D94" s="72"/>
      <c r="E94" s="72" t="s">
        <v>168</v>
      </c>
      <c r="F94" s="72"/>
      <c r="G94" s="72"/>
      <c r="H94" s="72"/>
      <c r="I94" s="72"/>
      <c r="J94" s="72"/>
      <c r="K94" s="72"/>
      <c r="L94" s="152" t="str">
        <f t="shared" si="10"/>
        <v>YES</v>
      </c>
      <c r="M94" s="108" t="str">
        <f t="shared" si="11"/>
        <v/>
      </c>
      <c r="O94" s="100">
        <v>1</v>
      </c>
      <c r="P94" s="24" t="s">
        <v>143</v>
      </c>
      <c r="Y94" s="35"/>
      <c r="AA94" s="38" t="s">
        <v>182</v>
      </c>
      <c r="AB94" s="69"/>
      <c r="AD94" s="70" t="str">
        <f>IF(Q389="","",Q389)</f>
        <v/>
      </c>
      <c r="AH94" s="628">
        <v>28</v>
      </c>
      <c r="AI94" s="629">
        <v>50</v>
      </c>
      <c r="AJ94" s="630">
        <v>0</v>
      </c>
      <c r="AK94" s="629" t="str">
        <f t="shared" si="12"/>
        <v>W</v>
      </c>
      <c r="AL94" s="629" t="str">
        <f t="shared" si="13"/>
        <v>Rh</v>
      </c>
      <c r="AM94" s="629"/>
      <c r="AN94" s="629"/>
      <c r="AO94" s="629"/>
      <c r="AP94" s="629"/>
      <c r="AQ94" s="631" t="s">
        <v>581</v>
      </c>
    </row>
    <row r="95" spans="1:43" ht="14.1" customHeight="1">
      <c r="A95" s="20">
        <v>23</v>
      </c>
      <c r="B95" s="71"/>
      <c r="C95" s="72" t="s">
        <v>171</v>
      </c>
      <c r="D95" s="72"/>
      <c r="E95" s="72" t="s">
        <v>151</v>
      </c>
      <c r="F95" s="72"/>
      <c r="G95" s="72"/>
      <c r="H95" s="72"/>
      <c r="I95" s="72"/>
      <c r="J95" s="72"/>
      <c r="K95" s="72"/>
      <c r="L95" s="152" t="str">
        <f t="shared" si="10"/>
        <v>YES</v>
      </c>
      <c r="M95" s="108" t="str">
        <f t="shared" si="11"/>
        <v/>
      </c>
      <c r="O95" s="100">
        <v>1</v>
      </c>
      <c r="P95" s="24" t="s">
        <v>146</v>
      </c>
      <c r="Y95" s="35"/>
      <c r="AA95" s="38" t="s">
        <v>184</v>
      </c>
      <c r="AB95" s="69"/>
      <c r="AD95" s="70" t="str">
        <f>IF(Q390="","",Q390)</f>
        <v/>
      </c>
      <c r="AH95" s="628">
        <v>28</v>
      </c>
      <c r="AI95" s="629">
        <v>50</v>
      </c>
      <c r="AJ95" s="630">
        <v>0.4</v>
      </c>
      <c r="AK95" s="629" t="str">
        <f t="shared" si="12"/>
        <v>W</v>
      </c>
      <c r="AL95" s="629" t="str">
        <f t="shared" si="13"/>
        <v>Rh</v>
      </c>
      <c r="AM95" s="629"/>
      <c r="AN95" s="629"/>
      <c r="AO95" s="629"/>
      <c r="AP95" s="629"/>
      <c r="AQ95" s="631" t="s">
        <v>581</v>
      </c>
    </row>
    <row r="96" spans="1:43" ht="14.1" customHeight="1">
      <c r="A96" s="20">
        <v>24</v>
      </c>
      <c r="B96" s="71"/>
      <c r="C96" s="72" t="s">
        <v>174</v>
      </c>
      <c r="D96" s="72"/>
      <c r="E96" s="72" t="s">
        <v>153</v>
      </c>
      <c r="F96" s="72"/>
      <c r="G96" s="72"/>
      <c r="H96" s="72"/>
      <c r="I96" s="72"/>
      <c r="J96" s="72"/>
      <c r="K96" s="72"/>
      <c r="L96" s="152" t="str">
        <f t="shared" si="10"/>
        <v>YES</v>
      </c>
      <c r="M96" s="108" t="str">
        <f t="shared" si="11"/>
        <v/>
      </c>
      <c r="O96" s="100">
        <v>1</v>
      </c>
      <c r="P96" s="24" t="s">
        <v>148</v>
      </c>
      <c r="Y96" s="35"/>
      <c r="AA96" s="38" t="s">
        <v>185</v>
      </c>
      <c r="AB96" s="69"/>
      <c r="AD96" s="70" t="str">
        <f>IF(Q391="","",Q391)</f>
        <v/>
      </c>
      <c r="AH96" s="628">
        <v>28</v>
      </c>
      <c r="AI96" s="629">
        <v>50</v>
      </c>
      <c r="AJ96" s="630">
        <v>0.4</v>
      </c>
      <c r="AK96" s="629" t="str">
        <f t="shared" si="12"/>
        <v>W</v>
      </c>
      <c r="AL96" s="629" t="str">
        <f t="shared" si="13"/>
        <v>Rh</v>
      </c>
      <c r="AM96" s="629"/>
      <c r="AN96" s="629"/>
      <c r="AO96" s="629"/>
      <c r="AP96" s="629"/>
      <c r="AQ96" s="631" t="s">
        <v>581</v>
      </c>
    </row>
    <row r="97" spans="1:43" ht="14.1" customHeight="1">
      <c r="A97" s="20">
        <v>25</v>
      </c>
      <c r="B97" s="71"/>
      <c r="C97" s="72" t="s">
        <v>177</v>
      </c>
      <c r="D97" s="72"/>
      <c r="E97" s="72" t="s">
        <v>155</v>
      </c>
      <c r="F97" s="72"/>
      <c r="G97" s="72"/>
      <c r="H97" s="72"/>
      <c r="I97" s="72"/>
      <c r="J97" s="72"/>
      <c r="K97" s="72"/>
      <c r="L97" s="152" t="str">
        <f t="shared" si="10"/>
        <v>YES</v>
      </c>
      <c r="M97" s="108" t="str">
        <f t="shared" si="11"/>
        <v/>
      </c>
      <c r="O97" s="100">
        <v>1</v>
      </c>
      <c r="P97" s="24" t="s">
        <v>150</v>
      </c>
      <c r="Y97" s="35"/>
      <c r="AA97" s="38" t="s">
        <v>187</v>
      </c>
      <c r="AB97" s="69"/>
      <c r="AD97" s="70" t="str">
        <f>IF(U386="","",U386)</f>
        <v/>
      </c>
      <c r="AH97" s="628">
        <v>28</v>
      </c>
      <c r="AI97" s="629">
        <v>50</v>
      </c>
      <c r="AJ97" s="630">
        <v>0.5</v>
      </c>
      <c r="AK97" s="629" t="str">
        <f t="shared" si="12"/>
        <v>W</v>
      </c>
      <c r="AL97" s="629" t="str">
        <f t="shared" si="13"/>
        <v>Rh</v>
      </c>
      <c r="AM97" s="629"/>
      <c r="AN97" s="629"/>
      <c r="AO97" s="629"/>
      <c r="AP97" s="629"/>
      <c r="AQ97" s="631" t="s">
        <v>581</v>
      </c>
    </row>
    <row r="98" spans="1:43" ht="14.1" customHeight="1">
      <c r="A98" s="20">
        <v>26</v>
      </c>
      <c r="B98" s="71"/>
      <c r="C98" s="72" t="s">
        <v>180</v>
      </c>
      <c r="D98" s="72"/>
      <c r="E98" s="72" t="s">
        <v>156</v>
      </c>
      <c r="F98" s="72"/>
      <c r="G98" s="72"/>
      <c r="H98" s="72"/>
      <c r="I98" s="72"/>
      <c r="J98" s="72"/>
      <c r="K98" s="72"/>
      <c r="L98" s="152" t="str">
        <f t="shared" si="10"/>
        <v>YES</v>
      </c>
      <c r="M98" s="108" t="str">
        <f t="shared" si="11"/>
        <v/>
      </c>
      <c r="O98" s="100">
        <v>1</v>
      </c>
      <c r="P98" s="24" t="s">
        <v>151</v>
      </c>
      <c r="Y98" s="35"/>
      <c r="AA98" s="38" t="s">
        <v>189</v>
      </c>
      <c r="AB98" s="69"/>
      <c r="AD98" s="70" t="str">
        <f>IF(U387="","",U387)</f>
        <v/>
      </c>
      <c r="AH98" s="628">
        <v>28</v>
      </c>
      <c r="AI98" s="629">
        <v>50</v>
      </c>
      <c r="AJ98" s="630">
        <v>0.5</v>
      </c>
      <c r="AK98" s="629" t="str">
        <f t="shared" si="12"/>
        <v>W</v>
      </c>
      <c r="AL98" s="629" t="str">
        <f t="shared" si="13"/>
        <v>Rh</v>
      </c>
      <c r="AM98" s="629"/>
      <c r="AN98" s="629"/>
      <c r="AO98" s="629"/>
      <c r="AP98" s="629"/>
      <c r="AQ98" s="631" t="s">
        <v>581</v>
      </c>
    </row>
    <row r="99" spans="1:43" ht="14.1" customHeight="1">
      <c r="A99" s="20">
        <v>27</v>
      </c>
      <c r="B99" s="71"/>
      <c r="C99" s="72" t="s">
        <v>183</v>
      </c>
      <c r="D99" s="72"/>
      <c r="E99" s="72" t="s">
        <v>158</v>
      </c>
      <c r="F99" s="72"/>
      <c r="G99" s="72"/>
      <c r="H99" s="72"/>
      <c r="I99" s="72"/>
      <c r="J99" s="72"/>
      <c r="K99" s="72"/>
      <c r="L99" s="152" t="str">
        <f t="shared" si="10"/>
        <v>YES</v>
      </c>
      <c r="M99" s="108" t="str">
        <f t="shared" si="11"/>
        <v/>
      </c>
      <c r="O99" s="100">
        <v>1</v>
      </c>
      <c r="P99" s="24" t="s">
        <v>153</v>
      </c>
      <c r="Y99" s="35"/>
      <c r="AA99" s="38" t="s">
        <v>191</v>
      </c>
      <c r="AB99" s="69"/>
      <c r="AD99" s="70" t="str">
        <f>IF(U388="","",U388)</f>
        <v/>
      </c>
      <c r="AH99" s="628">
        <v>28</v>
      </c>
      <c r="AI99" s="629">
        <v>50</v>
      </c>
      <c r="AJ99" s="630">
        <v>0.6</v>
      </c>
      <c r="AK99" s="629" t="str">
        <f t="shared" si="12"/>
        <v>W</v>
      </c>
      <c r="AL99" s="629" t="str">
        <f t="shared" si="13"/>
        <v>Rh</v>
      </c>
      <c r="AM99" s="629"/>
      <c r="AN99" s="629"/>
      <c r="AO99" s="629"/>
      <c r="AP99" s="629"/>
      <c r="AQ99" s="631" t="s">
        <v>581</v>
      </c>
    </row>
    <row r="100" spans="1:43" ht="14.1" customHeight="1">
      <c r="A100" s="20">
        <v>28</v>
      </c>
      <c r="B100" s="71"/>
      <c r="C100" s="343"/>
      <c r="D100" s="72"/>
      <c r="E100" s="72" t="s">
        <v>160</v>
      </c>
      <c r="F100" s="72"/>
      <c r="G100" s="72"/>
      <c r="H100" s="72"/>
      <c r="I100" s="72"/>
      <c r="J100" s="72"/>
      <c r="K100" s="72"/>
      <c r="L100" s="152" t="str">
        <f t="shared" si="10"/>
        <v>YES</v>
      </c>
      <c r="M100" s="108" t="str">
        <f t="shared" si="11"/>
        <v/>
      </c>
      <c r="O100" s="100">
        <v>1</v>
      </c>
      <c r="P100" s="24" t="s">
        <v>155</v>
      </c>
      <c r="Y100" s="35"/>
      <c r="AA100" s="79" t="s">
        <v>194</v>
      </c>
      <c r="AH100" s="628">
        <v>28</v>
      </c>
      <c r="AI100" s="629">
        <v>50</v>
      </c>
      <c r="AJ100" s="630">
        <v>0.6</v>
      </c>
      <c r="AK100" s="629" t="str">
        <f t="shared" si="12"/>
        <v>W</v>
      </c>
      <c r="AL100" s="629" t="str">
        <f t="shared" si="13"/>
        <v>Rh</v>
      </c>
      <c r="AM100" s="629"/>
      <c r="AN100" s="629"/>
      <c r="AO100" s="629"/>
      <c r="AP100" s="629"/>
      <c r="AQ100" s="631" t="s">
        <v>581</v>
      </c>
    </row>
    <row r="101" spans="1:43" ht="14.1" customHeight="1">
      <c r="A101" s="20">
        <v>29</v>
      </c>
      <c r="B101" s="71"/>
      <c r="C101" s="72"/>
      <c r="D101" s="72"/>
      <c r="E101" s="72" t="s">
        <v>163</v>
      </c>
      <c r="F101" s="72"/>
      <c r="G101" s="72"/>
      <c r="H101" s="72"/>
      <c r="I101" s="72"/>
      <c r="J101" s="72"/>
      <c r="K101" s="72"/>
      <c r="L101" s="152" t="str">
        <f t="shared" si="10"/>
        <v>YES</v>
      </c>
      <c r="M101" s="108" t="str">
        <f t="shared" si="11"/>
        <v/>
      </c>
      <c r="O101" s="100">
        <v>1</v>
      </c>
      <c r="P101" s="24" t="s">
        <v>156</v>
      </c>
      <c r="Y101" s="35"/>
      <c r="AA101" s="38" t="s">
        <v>173</v>
      </c>
      <c r="AB101" s="69"/>
      <c r="AD101" s="70" t="str">
        <f>IF(Q402="","",Q402)</f>
        <v/>
      </c>
      <c r="AH101" s="210">
        <v>30</v>
      </c>
      <c r="AI101" s="14">
        <v>50</v>
      </c>
      <c r="AJ101" s="110">
        <v>0</v>
      </c>
      <c r="AK101" s="14" t="str">
        <f t="shared" si="12"/>
        <v>W</v>
      </c>
      <c r="AL101" s="14" t="str">
        <f t="shared" si="13"/>
        <v>Rh</v>
      </c>
      <c r="AM101" s="14"/>
      <c r="AN101" s="14"/>
      <c r="AO101" s="14"/>
      <c r="AP101" s="14"/>
      <c r="AQ101" s="228" t="s">
        <v>581</v>
      </c>
    </row>
    <row r="102" spans="1:43" ht="14.1" customHeight="1">
      <c r="A102" s="20">
        <v>30</v>
      </c>
      <c r="B102" s="71"/>
      <c r="C102" s="72" t="s">
        <v>188</v>
      </c>
      <c r="D102" s="72"/>
      <c r="E102" s="72" t="s">
        <v>166</v>
      </c>
      <c r="F102" s="72"/>
      <c r="G102" s="72"/>
      <c r="H102" s="72"/>
      <c r="I102" s="72"/>
      <c r="J102" s="72"/>
      <c r="K102" s="72"/>
      <c r="L102" s="152" t="str">
        <f t="shared" si="10"/>
        <v>YES</v>
      </c>
      <c r="M102" s="108" t="str">
        <f t="shared" si="11"/>
        <v/>
      </c>
      <c r="O102" s="100">
        <v>1</v>
      </c>
      <c r="P102" s="24" t="s">
        <v>158</v>
      </c>
      <c r="Y102" s="35"/>
      <c r="AA102" s="38" t="s">
        <v>176</v>
      </c>
      <c r="AB102" s="69"/>
      <c r="AD102" s="70" t="str">
        <f>IF(Q403="","",Q403)</f>
        <v/>
      </c>
      <c r="AH102" s="628">
        <v>30</v>
      </c>
      <c r="AI102" s="629">
        <v>50</v>
      </c>
      <c r="AJ102" s="630">
        <v>0</v>
      </c>
      <c r="AK102" s="629" t="str">
        <f t="shared" si="12"/>
        <v>W</v>
      </c>
      <c r="AL102" s="629" t="str">
        <f t="shared" si="13"/>
        <v>Rh</v>
      </c>
      <c r="AM102" s="629"/>
      <c r="AN102" s="629"/>
      <c r="AO102" s="629"/>
      <c r="AP102" s="629"/>
      <c r="AQ102" s="631" t="s">
        <v>581</v>
      </c>
    </row>
    <row r="103" spans="1:43" ht="14.1" customHeight="1">
      <c r="A103" s="20">
        <v>31</v>
      </c>
      <c r="B103" s="71"/>
      <c r="C103" s="72" t="s">
        <v>190</v>
      </c>
      <c r="D103" s="72"/>
      <c r="E103" s="72" t="s">
        <v>169</v>
      </c>
      <c r="F103" s="72"/>
      <c r="G103" s="72"/>
      <c r="H103" s="72"/>
      <c r="I103" s="72"/>
      <c r="J103" s="72"/>
      <c r="K103" s="72"/>
      <c r="L103" s="152" t="str">
        <f t="shared" si="10"/>
        <v>NA</v>
      </c>
      <c r="M103" s="108" t="str">
        <f t="shared" si="11"/>
        <v/>
      </c>
      <c r="O103" s="100">
        <v>1</v>
      </c>
      <c r="P103" s="24" t="s">
        <v>160</v>
      </c>
      <c r="Y103" s="35"/>
      <c r="AA103" s="38" t="s">
        <v>187</v>
      </c>
      <c r="AB103" s="69"/>
      <c r="AD103" s="70" t="str">
        <f>IF(Q404="","",Q404)</f>
        <v/>
      </c>
      <c r="AH103" s="628">
        <v>30</v>
      </c>
      <c r="AI103" s="629">
        <v>50</v>
      </c>
      <c r="AJ103" s="630">
        <v>0.4</v>
      </c>
      <c r="AK103" s="629" t="str">
        <f t="shared" si="12"/>
        <v>W</v>
      </c>
      <c r="AL103" s="629" t="str">
        <f t="shared" si="13"/>
        <v>Rh</v>
      </c>
      <c r="AM103" s="629"/>
      <c r="AN103" s="629"/>
      <c r="AO103" s="629"/>
      <c r="AP103" s="629"/>
      <c r="AQ103" s="631" t="s">
        <v>581</v>
      </c>
    </row>
    <row r="104" spans="1:43" ht="14.1" customHeight="1">
      <c r="A104" s="20">
        <v>32</v>
      </c>
      <c r="B104" s="71"/>
      <c r="C104" s="72" t="s">
        <v>192</v>
      </c>
      <c r="D104" s="72"/>
      <c r="E104" s="72" t="s">
        <v>193</v>
      </c>
      <c r="F104" s="72"/>
      <c r="G104" s="72"/>
      <c r="H104" s="72"/>
      <c r="I104" s="72"/>
      <c r="J104" s="72"/>
      <c r="K104" s="72"/>
      <c r="L104" s="152" t="str">
        <f t="shared" si="10"/>
        <v>NA</v>
      </c>
      <c r="M104" s="108" t="str">
        <f t="shared" si="11"/>
        <v/>
      </c>
      <c r="O104" s="100">
        <v>1</v>
      </c>
      <c r="P104" s="24" t="s">
        <v>163</v>
      </c>
      <c r="Y104" s="35"/>
      <c r="AA104" s="38" t="s">
        <v>189</v>
      </c>
      <c r="AB104" s="69"/>
      <c r="AD104" s="70" t="str">
        <f>IF(Q405="","",Q405)</f>
        <v/>
      </c>
      <c r="AH104" s="628">
        <v>30</v>
      </c>
      <c r="AI104" s="629">
        <v>50</v>
      </c>
      <c r="AJ104" s="630">
        <v>0.4</v>
      </c>
      <c r="AK104" s="629" t="str">
        <f t="shared" si="12"/>
        <v>W</v>
      </c>
      <c r="AL104" s="629" t="str">
        <f t="shared" si="13"/>
        <v>Rh</v>
      </c>
      <c r="AM104" s="629"/>
      <c r="AN104" s="629"/>
      <c r="AO104" s="629"/>
      <c r="AP104" s="629"/>
      <c r="AQ104" s="631" t="s">
        <v>581</v>
      </c>
    </row>
    <row r="105" spans="1:43" ht="14.1" customHeight="1">
      <c r="A105" s="20">
        <v>33</v>
      </c>
      <c r="B105" s="71"/>
      <c r="C105" s="72" t="s">
        <v>195</v>
      </c>
      <c r="D105" s="72"/>
      <c r="E105" s="72" t="s">
        <v>175</v>
      </c>
      <c r="F105" s="72"/>
      <c r="G105" s="72"/>
      <c r="H105" s="72"/>
      <c r="I105" s="72"/>
      <c r="J105" s="72"/>
      <c r="K105" s="72"/>
      <c r="L105" s="152" t="str">
        <f t="shared" si="10"/>
        <v>NA</v>
      </c>
      <c r="M105" s="108" t="str">
        <f t="shared" si="11"/>
        <v/>
      </c>
      <c r="O105" s="100">
        <v>1</v>
      </c>
      <c r="P105" s="24" t="s">
        <v>166</v>
      </c>
      <c r="Y105" s="35"/>
      <c r="AA105" s="38" t="s">
        <v>191</v>
      </c>
      <c r="AB105" s="69"/>
      <c r="AD105" s="70" t="str">
        <f>IF(Q406="","",Q406)</f>
        <v/>
      </c>
      <c r="AH105" s="628">
        <v>30</v>
      </c>
      <c r="AI105" s="629">
        <v>50</v>
      </c>
      <c r="AJ105" s="630">
        <v>0.5</v>
      </c>
      <c r="AK105" s="629" t="str">
        <f t="shared" si="12"/>
        <v>W</v>
      </c>
      <c r="AL105" s="629" t="str">
        <f t="shared" si="13"/>
        <v>Rh</v>
      </c>
      <c r="AM105" s="629"/>
      <c r="AN105" s="629"/>
      <c r="AO105" s="629"/>
      <c r="AP105" s="629"/>
      <c r="AQ105" s="631" t="s">
        <v>581</v>
      </c>
    </row>
    <row r="106" spans="1:43" ht="14.1" customHeight="1">
      <c r="A106" s="20">
        <v>34</v>
      </c>
      <c r="B106" s="71"/>
      <c r="C106" s="72" t="s">
        <v>196</v>
      </c>
      <c r="D106" s="72"/>
      <c r="E106" s="72" t="s">
        <v>178</v>
      </c>
      <c r="F106" s="72"/>
      <c r="G106" s="72"/>
      <c r="H106" s="72"/>
      <c r="I106" s="72"/>
      <c r="J106" s="72"/>
      <c r="K106" s="72"/>
      <c r="L106" s="152" t="str">
        <f t="shared" si="10"/>
        <v>YES</v>
      </c>
      <c r="M106" s="108" t="str">
        <f t="shared" si="11"/>
        <v/>
      </c>
      <c r="O106" s="100">
        <v>3</v>
      </c>
      <c r="P106" s="24" t="s">
        <v>169</v>
      </c>
      <c r="Y106" s="35"/>
      <c r="AA106" s="38" t="s">
        <v>173</v>
      </c>
      <c r="AB106" s="69"/>
      <c r="AD106" s="70" t="str">
        <f>IF(R402="","",R402)</f>
        <v/>
      </c>
      <c r="AH106" s="628">
        <v>30</v>
      </c>
      <c r="AI106" s="629">
        <v>50</v>
      </c>
      <c r="AJ106" s="630">
        <v>0.5</v>
      </c>
      <c r="AK106" s="629" t="str">
        <f t="shared" si="12"/>
        <v>W</v>
      </c>
      <c r="AL106" s="629" t="str">
        <f t="shared" si="13"/>
        <v>Rh</v>
      </c>
      <c r="AM106" s="629"/>
      <c r="AN106" s="629"/>
      <c r="AO106" s="629"/>
      <c r="AP106" s="629"/>
      <c r="AQ106" s="631" t="s">
        <v>581</v>
      </c>
    </row>
    <row r="107" spans="1:43" ht="14.1" customHeight="1">
      <c r="A107" s="20">
        <v>35</v>
      </c>
      <c r="B107" s="71"/>
      <c r="C107" s="72" t="s">
        <v>197</v>
      </c>
      <c r="D107" s="72"/>
      <c r="E107" s="72" t="s">
        <v>181</v>
      </c>
      <c r="F107" s="72"/>
      <c r="G107" s="72"/>
      <c r="H107" s="72"/>
      <c r="I107" s="72"/>
      <c r="J107" s="72"/>
      <c r="K107" s="72"/>
      <c r="L107" s="152" t="str">
        <f t="shared" si="10"/>
        <v>YES</v>
      </c>
      <c r="M107" s="108" t="str">
        <f t="shared" si="11"/>
        <v/>
      </c>
      <c r="O107" s="100">
        <v>3</v>
      </c>
      <c r="P107" s="24" t="s">
        <v>172</v>
      </c>
      <c r="Y107" s="35"/>
      <c r="AA107" s="38" t="s">
        <v>176</v>
      </c>
      <c r="AB107" s="69"/>
      <c r="AD107" s="70" t="str">
        <f>IF(R403="","",R403)</f>
        <v/>
      </c>
      <c r="AH107" s="628">
        <v>30</v>
      </c>
      <c r="AI107" s="629">
        <v>50</v>
      </c>
      <c r="AJ107" s="630">
        <v>0.6</v>
      </c>
      <c r="AK107" s="629" t="str">
        <f t="shared" si="12"/>
        <v>W</v>
      </c>
      <c r="AL107" s="629" t="str">
        <f t="shared" si="13"/>
        <v>Rh</v>
      </c>
      <c r="AM107" s="629"/>
      <c r="AN107" s="629"/>
      <c r="AO107" s="629"/>
      <c r="AP107" s="629"/>
      <c r="AQ107" s="631" t="s">
        <v>581</v>
      </c>
    </row>
    <row r="108" spans="1:43" ht="14.1" customHeight="1">
      <c r="A108" s="20">
        <v>36</v>
      </c>
      <c r="B108" s="71"/>
      <c r="C108" s="72"/>
      <c r="D108" s="72"/>
      <c r="E108" s="72"/>
      <c r="F108" s="72"/>
      <c r="G108" s="72"/>
      <c r="H108" s="72"/>
      <c r="I108" s="72"/>
      <c r="J108" s="72"/>
      <c r="K108" s="72"/>
      <c r="L108" s="72"/>
      <c r="M108" s="73"/>
      <c r="O108" s="100">
        <v>3</v>
      </c>
      <c r="P108" s="24" t="s">
        <v>175</v>
      </c>
      <c r="Y108" s="35"/>
      <c r="AA108" s="38" t="s">
        <v>187</v>
      </c>
      <c r="AB108" s="69"/>
      <c r="AD108" s="70" t="str">
        <f>IF(R404="","",R404)</f>
        <v/>
      </c>
      <c r="AH108" s="628">
        <v>30</v>
      </c>
      <c r="AI108" s="629">
        <v>50</v>
      </c>
      <c r="AJ108" s="630">
        <v>0.6</v>
      </c>
      <c r="AK108" s="629" t="str">
        <f t="shared" si="12"/>
        <v>W</v>
      </c>
      <c r="AL108" s="629" t="str">
        <f t="shared" si="13"/>
        <v>Rh</v>
      </c>
      <c r="AM108" s="629"/>
      <c r="AN108" s="629"/>
      <c r="AO108" s="629"/>
      <c r="AP108" s="629"/>
      <c r="AQ108" s="631" t="s">
        <v>581</v>
      </c>
    </row>
    <row r="109" spans="1:43" ht="14.1" customHeight="1">
      <c r="A109" s="20">
        <v>37</v>
      </c>
      <c r="B109" s="71"/>
      <c r="C109" s="72"/>
      <c r="D109" s="72"/>
      <c r="E109" s="72" t="s">
        <v>522</v>
      </c>
      <c r="F109" s="72"/>
      <c r="G109" s="72"/>
      <c r="H109" s="72"/>
      <c r="I109" s="72"/>
      <c r="J109" s="72"/>
      <c r="K109" s="72"/>
      <c r="L109" s="152" t="str">
        <f t="shared" ref="L109:L125" si="14">IF(O45="","TBD",IF(O45=1,"YES",IF(O45=3,"NA","")))</f>
        <v>YES</v>
      </c>
      <c r="M109" s="108" t="str">
        <f t="shared" ref="M109:M125" si="15">IF(O45=2,"NO","")</f>
        <v/>
      </c>
      <c r="O109" s="100">
        <v>1</v>
      </c>
      <c r="P109" s="24" t="s">
        <v>178</v>
      </c>
      <c r="Y109" s="35"/>
      <c r="AA109" s="38" t="s">
        <v>189</v>
      </c>
      <c r="AB109" s="69"/>
      <c r="AD109" s="70" t="str">
        <f>IF(R405="","",R405)</f>
        <v/>
      </c>
      <c r="AH109" s="210">
        <v>32</v>
      </c>
      <c r="AI109" s="14">
        <v>50</v>
      </c>
      <c r="AJ109" s="110">
        <v>0</v>
      </c>
      <c r="AK109" s="14" t="str">
        <f t="shared" si="12"/>
        <v>W</v>
      </c>
      <c r="AL109" s="14" t="str">
        <f t="shared" si="13"/>
        <v>Rh</v>
      </c>
      <c r="AM109" s="14"/>
      <c r="AN109" s="14"/>
      <c r="AO109" s="14"/>
      <c r="AP109" s="14"/>
      <c r="AQ109" s="228" t="s">
        <v>581</v>
      </c>
    </row>
    <row r="110" spans="1:43" ht="14.1" customHeight="1">
      <c r="A110" s="20">
        <v>38</v>
      </c>
      <c r="B110" s="71"/>
      <c r="C110" s="72"/>
      <c r="D110" s="72"/>
      <c r="E110" s="72" t="s">
        <v>523</v>
      </c>
      <c r="F110" s="72"/>
      <c r="G110" s="72"/>
      <c r="H110" s="72"/>
      <c r="I110" s="72"/>
      <c r="J110" s="72"/>
      <c r="K110" s="72"/>
      <c r="L110" s="152" t="str">
        <f t="shared" si="14"/>
        <v>YES</v>
      </c>
      <c r="M110" s="108" t="str">
        <f t="shared" si="15"/>
        <v/>
      </c>
      <c r="O110" s="100">
        <v>1</v>
      </c>
      <c r="P110" s="24" t="s">
        <v>181</v>
      </c>
      <c r="Y110" s="35"/>
      <c r="AA110" s="38" t="s">
        <v>191</v>
      </c>
      <c r="AB110" s="69"/>
      <c r="AD110" s="70" t="str">
        <f>IF(R406="","",R406)</f>
        <v/>
      </c>
      <c r="AH110" s="628">
        <v>32</v>
      </c>
      <c r="AI110" s="629">
        <v>50</v>
      </c>
      <c r="AJ110" s="630">
        <v>0</v>
      </c>
      <c r="AK110" s="629" t="str">
        <f t="shared" si="12"/>
        <v>W</v>
      </c>
      <c r="AL110" s="629" t="str">
        <f t="shared" si="13"/>
        <v>Rh</v>
      </c>
      <c r="AM110" s="629"/>
      <c r="AN110" s="629"/>
      <c r="AO110" s="629"/>
      <c r="AP110" s="629"/>
      <c r="AQ110" s="631" t="s">
        <v>581</v>
      </c>
    </row>
    <row r="111" spans="1:43" ht="14.1" customHeight="1">
      <c r="A111" s="20">
        <v>39</v>
      </c>
      <c r="B111" s="71"/>
      <c r="C111" s="72"/>
      <c r="D111" s="72"/>
      <c r="E111" s="72" t="s">
        <v>524</v>
      </c>
      <c r="F111" s="72"/>
      <c r="G111" s="72"/>
      <c r="H111" s="72"/>
      <c r="I111" s="72"/>
      <c r="J111" s="72"/>
      <c r="K111" s="72"/>
      <c r="L111" s="152" t="str">
        <f t="shared" si="14"/>
        <v>YES</v>
      </c>
      <c r="M111" s="108" t="str">
        <f t="shared" si="15"/>
        <v/>
      </c>
      <c r="O111" s="502"/>
      <c r="T111" s="79" t="s">
        <v>552</v>
      </c>
      <c r="Y111" s="35"/>
      <c r="AA111" s="38" t="s">
        <v>173</v>
      </c>
      <c r="AB111" s="69"/>
      <c r="AD111" s="70" t="str">
        <f>IF(S402="","",S402)</f>
        <v/>
      </c>
      <c r="AH111" s="628">
        <v>32</v>
      </c>
      <c r="AI111" s="629">
        <v>50</v>
      </c>
      <c r="AJ111" s="630">
        <v>0.5</v>
      </c>
      <c r="AK111" s="629" t="str">
        <f t="shared" si="12"/>
        <v>W</v>
      </c>
      <c r="AL111" s="629" t="str">
        <f t="shared" si="13"/>
        <v>Rh</v>
      </c>
      <c r="AM111" s="629"/>
      <c r="AN111" s="629"/>
      <c r="AO111" s="629"/>
      <c r="AP111" s="629"/>
      <c r="AQ111" s="631" t="s">
        <v>581</v>
      </c>
    </row>
    <row r="112" spans="1:43" ht="14.1" customHeight="1">
      <c r="A112" s="20">
        <v>40</v>
      </c>
      <c r="B112" s="71"/>
      <c r="C112" s="72"/>
      <c r="D112" s="72"/>
      <c r="E112" s="72" t="s">
        <v>525</v>
      </c>
      <c r="F112" s="72"/>
      <c r="G112" s="72"/>
      <c r="H112" s="72"/>
      <c r="I112" s="72"/>
      <c r="J112" s="72"/>
      <c r="K112" s="72"/>
      <c r="L112" s="152" t="str">
        <f t="shared" si="14"/>
        <v>YES</v>
      </c>
      <c r="M112" s="108" t="str">
        <f t="shared" si="15"/>
        <v/>
      </c>
      <c r="O112" s="100">
        <v>1</v>
      </c>
      <c r="P112" s="72" t="s">
        <v>553</v>
      </c>
      <c r="Y112" s="35"/>
      <c r="AA112" s="38" t="s">
        <v>176</v>
      </c>
      <c r="AB112" s="69"/>
      <c r="AD112" s="70" t="str">
        <f>IF(S403="","",S403)</f>
        <v/>
      </c>
      <c r="AH112" s="628">
        <v>32</v>
      </c>
      <c r="AI112" s="629">
        <v>50</v>
      </c>
      <c r="AJ112" s="630">
        <v>0.5</v>
      </c>
      <c r="AK112" s="629" t="str">
        <f t="shared" si="12"/>
        <v>W</v>
      </c>
      <c r="AL112" s="629" t="str">
        <f t="shared" si="13"/>
        <v>Rh</v>
      </c>
      <c r="AM112" s="629"/>
      <c r="AN112" s="629"/>
      <c r="AO112" s="629"/>
      <c r="AP112" s="629"/>
      <c r="AQ112" s="631" t="s">
        <v>581</v>
      </c>
    </row>
    <row r="113" spans="1:43" ht="14.1" customHeight="1">
      <c r="A113" s="20">
        <v>41</v>
      </c>
      <c r="B113" s="71"/>
      <c r="C113" s="72"/>
      <c r="D113" s="72"/>
      <c r="E113" s="72" t="s">
        <v>526</v>
      </c>
      <c r="F113" s="72"/>
      <c r="G113" s="72"/>
      <c r="H113" s="72"/>
      <c r="I113" s="72"/>
      <c r="J113" s="72"/>
      <c r="K113" s="72"/>
      <c r="L113" s="152" t="str">
        <f t="shared" si="14"/>
        <v>YES</v>
      </c>
      <c r="M113" s="108" t="str">
        <f t="shared" si="15"/>
        <v/>
      </c>
      <c r="O113" s="100">
        <v>1</v>
      </c>
      <c r="P113" s="72" t="s">
        <v>554</v>
      </c>
      <c r="Y113" s="35"/>
      <c r="AA113" s="38" t="s">
        <v>187</v>
      </c>
      <c r="AB113" s="69"/>
      <c r="AD113" s="70" t="str">
        <f>IF(S404="","",S404)</f>
        <v/>
      </c>
      <c r="AH113" s="628">
        <v>32</v>
      </c>
      <c r="AI113" s="629">
        <v>50</v>
      </c>
      <c r="AJ113" s="630">
        <v>0.6</v>
      </c>
      <c r="AK113" s="629" t="str">
        <f t="shared" si="12"/>
        <v>W</v>
      </c>
      <c r="AL113" s="629" t="str">
        <f t="shared" si="13"/>
        <v>Rh</v>
      </c>
      <c r="AM113" s="629"/>
      <c r="AN113" s="629"/>
      <c r="AO113" s="629"/>
      <c r="AP113" s="629"/>
      <c r="AQ113" s="631" t="s">
        <v>581</v>
      </c>
    </row>
    <row r="114" spans="1:43" ht="14.1" customHeight="1">
      <c r="A114" s="20">
        <v>42</v>
      </c>
      <c r="B114" s="71"/>
      <c r="C114" s="72"/>
      <c r="D114" s="72"/>
      <c r="E114" s="72" t="s">
        <v>527</v>
      </c>
      <c r="F114" s="72"/>
      <c r="G114" s="72"/>
      <c r="H114" s="72"/>
      <c r="I114" s="72"/>
      <c r="J114" s="72"/>
      <c r="K114" s="72"/>
      <c r="L114" s="152" t="str">
        <f t="shared" si="14"/>
        <v>YES</v>
      </c>
      <c r="M114" s="108" t="str">
        <f t="shared" si="15"/>
        <v/>
      </c>
      <c r="O114" s="100">
        <v>1</v>
      </c>
      <c r="P114" s="72" t="s">
        <v>555</v>
      </c>
      <c r="Y114" s="35"/>
      <c r="AA114" s="38" t="s">
        <v>189</v>
      </c>
      <c r="AB114" s="69"/>
      <c r="AD114" s="70" t="str">
        <f>IF(S405="","",S405)</f>
        <v/>
      </c>
      <c r="AH114" s="628">
        <v>32</v>
      </c>
      <c r="AI114" s="629">
        <v>50</v>
      </c>
      <c r="AJ114" s="630">
        <v>0.6</v>
      </c>
      <c r="AK114" s="629" t="str">
        <f t="shared" si="12"/>
        <v>W</v>
      </c>
      <c r="AL114" s="629" t="str">
        <f t="shared" si="13"/>
        <v>Rh</v>
      </c>
      <c r="AM114" s="629"/>
      <c r="AN114" s="629"/>
      <c r="AO114" s="629"/>
      <c r="AP114" s="629"/>
      <c r="AQ114" s="631" t="s">
        <v>581</v>
      </c>
    </row>
    <row r="115" spans="1:43" ht="14.1" customHeight="1">
      <c r="A115" s="20">
        <v>43</v>
      </c>
      <c r="B115" s="71"/>
      <c r="C115" s="72"/>
      <c r="D115" s="72"/>
      <c r="E115" s="72" t="s">
        <v>528</v>
      </c>
      <c r="F115" s="72"/>
      <c r="G115" s="72"/>
      <c r="H115" s="72"/>
      <c r="I115" s="72"/>
      <c r="J115" s="72"/>
      <c r="K115" s="72"/>
      <c r="L115" s="152" t="str">
        <f t="shared" si="14"/>
        <v>YES</v>
      </c>
      <c r="M115" s="108" t="str">
        <f t="shared" si="15"/>
        <v/>
      </c>
      <c r="O115" s="100">
        <v>1</v>
      </c>
      <c r="P115" s="72" t="s">
        <v>556</v>
      </c>
      <c r="Y115" s="35"/>
      <c r="AA115" s="38" t="s">
        <v>191</v>
      </c>
      <c r="AB115" s="69"/>
      <c r="AD115" s="70" t="str">
        <f>IF(S406="","",S406)</f>
        <v/>
      </c>
      <c r="AH115" s="628">
        <v>32</v>
      </c>
      <c r="AI115" s="629">
        <v>50</v>
      </c>
      <c r="AJ115" s="630">
        <v>0.7</v>
      </c>
      <c r="AK115" s="629" t="str">
        <f t="shared" si="12"/>
        <v>W</v>
      </c>
      <c r="AL115" s="629" t="str">
        <f t="shared" si="13"/>
        <v>Rh</v>
      </c>
      <c r="AM115" s="629"/>
      <c r="AN115" s="629"/>
      <c r="AO115" s="629"/>
      <c r="AP115" s="629"/>
      <c r="AQ115" s="631" t="s">
        <v>581</v>
      </c>
    </row>
    <row r="116" spans="1:43" ht="14.1" customHeight="1">
      <c r="A116" s="20">
        <v>44</v>
      </c>
      <c r="B116" s="71"/>
      <c r="C116" s="72"/>
      <c r="D116" s="72"/>
      <c r="E116" s="72" t="s">
        <v>529</v>
      </c>
      <c r="F116" s="72"/>
      <c r="G116" s="72"/>
      <c r="H116" s="72"/>
      <c r="I116" s="72"/>
      <c r="J116" s="72"/>
      <c r="K116" s="72"/>
      <c r="L116" s="152" t="str">
        <f t="shared" si="14"/>
        <v>YES</v>
      </c>
      <c r="M116" s="108" t="str">
        <f t="shared" si="15"/>
        <v/>
      </c>
      <c r="O116" s="100">
        <v>1</v>
      </c>
      <c r="P116" s="72" t="s">
        <v>557</v>
      </c>
      <c r="Y116" s="35"/>
      <c r="AA116" s="38" t="s">
        <v>198</v>
      </c>
      <c r="AB116" s="69"/>
      <c r="AD116" s="70" t="str">
        <f>IF(U415="","",U415)</f>
        <v/>
      </c>
      <c r="AH116" s="628">
        <v>32</v>
      </c>
      <c r="AI116" s="629">
        <v>50</v>
      </c>
      <c r="AJ116" s="630">
        <v>0.7</v>
      </c>
      <c r="AK116" s="629" t="str">
        <f t="shared" si="12"/>
        <v>W</v>
      </c>
      <c r="AL116" s="629" t="str">
        <f t="shared" si="13"/>
        <v>Rh</v>
      </c>
      <c r="AM116" s="629"/>
      <c r="AN116" s="629"/>
      <c r="AO116" s="629"/>
      <c r="AP116" s="629"/>
      <c r="AQ116" s="631" t="s">
        <v>581</v>
      </c>
    </row>
    <row r="117" spans="1:43" ht="14.1" customHeight="1" thickBot="1">
      <c r="A117" s="20">
        <v>45</v>
      </c>
      <c r="B117" s="71"/>
      <c r="C117" s="72"/>
      <c r="D117" s="72"/>
      <c r="E117" s="72" t="s">
        <v>530</v>
      </c>
      <c r="F117" s="72"/>
      <c r="G117" s="72"/>
      <c r="H117" s="72"/>
      <c r="I117" s="72"/>
      <c r="J117" s="72"/>
      <c r="K117" s="72"/>
      <c r="L117" s="152" t="str">
        <f t="shared" si="14"/>
        <v>YES</v>
      </c>
      <c r="M117" s="108" t="str">
        <f t="shared" si="15"/>
        <v/>
      </c>
      <c r="O117" s="43"/>
      <c r="P117" s="44"/>
      <c r="Q117" s="44"/>
      <c r="R117" s="44"/>
      <c r="S117" s="44"/>
      <c r="T117" s="44"/>
      <c r="U117" s="44"/>
      <c r="V117" s="44"/>
      <c r="W117" s="44"/>
      <c r="X117" s="44"/>
      <c r="Y117" s="45"/>
      <c r="AA117" s="38" t="s">
        <v>199</v>
      </c>
      <c r="AB117" s="69"/>
      <c r="AD117" s="70" t="str">
        <f>IF(U416="","",U416)</f>
        <v/>
      </c>
      <c r="AH117" s="210">
        <v>34</v>
      </c>
      <c r="AI117" s="14">
        <v>50</v>
      </c>
      <c r="AJ117" s="110">
        <v>0</v>
      </c>
      <c r="AK117" s="14" t="str">
        <f t="shared" si="12"/>
        <v>W</v>
      </c>
      <c r="AL117" s="14" t="str">
        <f t="shared" si="13"/>
        <v>Rh</v>
      </c>
      <c r="AM117" s="14"/>
      <c r="AN117" s="14"/>
      <c r="AO117" s="14"/>
      <c r="AP117" s="14"/>
      <c r="AQ117" s="228" t="s">
        <v>581</v>
      </c>
    </row>
    <row r="118" spans="1:43" ht="14.1" customHeight="1">
      <c r="A118" s="20">
        <v>46</v>
      </c>
      <c r="B118" s="71"/>
      <c r="C118" s="72"/>
      <c r="D118" s="72"/>
      <c r="E118" s="72" t="s">
        <v>531</v>
      </c>
      <c r="F118" s="72"/>
      <c r="G118" s="72"/>
      <c r="H118" s="72"/>
      <c r="I118" s="72"/>
      <c r="J118" s="72"/>
      <c r="K118" s="72"/>
      <c r="L118" s="152" t="str">
        <f t="shared" si="14"/>
        <v>YES</v>
      </c>
      <c r="M118" s="108" t="str">
        <f t="shared" si="15"/>
        <v/>
      </c>
      <c r="AH118" s="628">
        <v>34</v>
      </c>
      <c r="AI118" s="629">
        <v>50</v>
      </c>
      <c r="AJ118" s="630">
        <v>0</v>
      </c>
      <c r="AK118" s="629" t="str">
        <f t="shared" si="12"/>
        <v>W</v>
      </c>
      <c r="AL118" s="629" t="str">
        <f t="shared" si="13"/>
        <v>Rh</v>
      </c>
      <c r="AM118" s="629"/>
      <c r="AN118" s="629"/>
      <c r="AO118" s="629"/>
      <c r="AP118" s="629"/>
      <c r="AQ118" s="631" t="s">
        <v>581</v>
      </c>
    </row>
    <row r="119" spans="1:43" ht="14.1" customHeight="1" thickBot="1">
      <c r="A119" s="20">
        <v>47</v>
      </c>
      <c r="B119" s="71"/>
      <c r="C119" s="72"/>
      <c r="D119" s="72"/>
      <c r="E119" s="72" t="s">
        <v>532</v>
      </c>
      <c r="F119" s="72"/>
      <c r="G119" s="72"/>
      <c r="H119" s="72"/>
      <c r="I119" s="72"/>
      <c r="J119" s="72"/>
      <c r="K119" s="72"/>
      <c r="L119" s="152" t="str">
        <f t="shared" si="14"/>
        <v>YES</v>
      </c>
      <c r="M119" s="108" t="str">
        <f t="shared" si="15"/>
        <v/>
      </c>
      <c r="T119" s="267" t="s">
        <v>186</v>
      </c>
      <c r="AH119" s="628">
        <v>34</v>
      </c>
      <c r="AI119" s="629">
        <v>50</v>
      </c>
      <c r="AJ119" s="630">
        <v>0.5</v>
      </c>
      <c r="AK119" s="629" t="str">
        <f t="shared" si="12"/>
        <v>W</v>
      </c>
      <c r="AL119" s="629" t="str">
        <f t="shared" si="13"/>
        <v>Rh</v>
      </c>
      <c r="AM119" s="629"/>
      <c r="AN119" s="629"/>
      <c r="AO119" s="629"/>
      <c r="AP119" s="629"/>
      <c r="AQ119" s="631" t="s">
        <v>581</v>
      </c>
    </row>
    <row r="120" spans="1:43" ht="14.1" customHeight="1" thickBot="1">
      <c r="A120" s="20">
        <v>48</v>
      </c>
      <c r="B120" s="71"/>
      <c r="C120" s="72"/>
      <c r="D120" s="72"/>
      <c r="E120" s="72" t="s">
        <v>533</v>
      </c>
      <c r="F120" s="72"/>
      <c r="G120" s="72"/>
      <c r="H120" s="72"/>
      <c r="I120" s="72"/>
      <c r="J120" s="72"/>
      <c r="K120" s="72"/>
      <c r="L120" s="152" t="str">
        <f t="shared" si="14"/>
        <v>YES</v>
      </c>
      <c r="M120" s="108" t="str">
        <f t="shared" si="15"/>
        <v/>
      </c>
      <c r="O120" s="66"/>
      <c r="P120" s="26"/>
      <c r="Q120" s="26"/>
      <c r="R120" s="26"/>
      <c r="S120" s="26"/>
      <c r="T120" s="26"/>
      <c r="U120" s="26"/>
      <c r="V120" s="26"/>
      <c r="W120" s="26"/>
      <c r="X120" s="26"/>
      <c r="Y120" s="27"/>
      <c r="AH120" s="628">
        <v>34</v>
      </c>
      <c r="AI120" s="629">
        <v>50</v>
      </c>
      <c r="AJ120" s="630">
        <v>0.5</v>
      </c>
      <c r="AK120" s="629" t="str">
        <f t="shared" si="12"/>
        <v>W</v>
      </c>
      <c r="AL120" s="629" t="str">
        <f t="shared" si="13"/>
        <v>Rh</v>
      </c>
      <c r="AM120" s="629"/>
      <c r="AN120" s="629"/>
      <c r="AO120" s="629"/>
      <c r="AP120" s="629"/>
      <c r="AQ120" s="631" t="s">
        <v>581</v>
      </c>
    </row>
    <row r="121" spans="1:43" ht="14.1" customHeight="1">
      <c r="A121" s="20">
        <v>49</v>
      </c>
      <c r="B121" s="71"/>
      <c r="C121" s="72"/>
      <c r="D121" s="72"/>
      <c r="E121" s="72" t="s">
        <v>534</v>
      </c>
      <c r="F121" s="72"/>
      <c r="G121" s="72"/>
      <c r="H121" s="72"/>
      <c r="I121" s="72"/>
      <c r="J121" s="72"/>
      <c r="K121" s="72"/>
      <c r="L121" s="152" t="str">
        <f t="shared" si="14"/>
        <v>YES</v>
      </c>
      <c r="M121" s="108" t="str">
        <f t="shared" si="15"/>
        <v/>
      </c>
      <c r="O121" s="87" t="s">
        <v>64</v>
      </c>
      <c r="P121" s="771" t="s">
        <v>65</v>
      </c>
      <c r="Q121" s="772"/>
      <c r="R121" s="773"/>
      <c r="S121" s="771" t="s">
        <v>539</v>
      </c>
      <c r="T121" s="772"/>
      <c r="U121" s="773"/>
      <c r="V121" s="771" t="s">
        <v>67</v>
      </c>
      <c r="W121" s="772"/>
      <c r="X121" s="787"/>
      <c r="Y121" s="35"/>
      <c r="AH121" s="628">
        <v>34</v>
      </c>
      <c r="AI121" s="629">
        <v>50</v>
      </c>
      <c r="AJ121" s="630">
        <v>0.6</v>
      </c>
      <c r="AK121" s="629" t="str">
        <f t="shared" si="12"/>
        <v>W</v>
      </c>
      <c r="AL121" s="629" t="str">
        <f t="shared" si="13"/>
        <v>Rh</v>
      </c>
      <c r="AM121" s="629"/>
      <c r="AN121" s="629"/>
      <c r="AO121" s="629"/>
      <c r="AP121" s="629"/>
      <c r="AQ121" s="631" t="s">
        <v>581</v>
      </c>
    </row>
    <row r="122" spans="1:43" ht="14.1" customHeight="1">
      <c r="A122" s="20">
        <v>50</v>
      </c>
      <c r="B122" s="71"/>
      <c r="C122" s="72"/>
      <c r="D122" s="72"/>
      <c r="E122" s="72" t="s">
        <v>535</v>
      </c>
      <c r="F122" s="72"/>
      <c r="G122" s="72"/>
      <c r="H122" s="72"/>
      <c r="I122" s="72"/>
      <c r="J122" s="72"/>
      <c r="K122" s="72"/>
      <c r="L122" s="152" t="str">
        <f t="shared" si="14"/>
        <v>YES</v>
      </c>
      <c r="M122" s="108" t="str">
        <f t="shared" si="15"/>
        <v/>
      </c>
      <c r="O122" s="88" t="s">
        <v>68</v>
      </c>
      <c r="P122" s="774"/>
      <c r="Q122" s="775"/>
      <c r="R122" s="776"/>
      <c r="S122" s="774"/>
      <c r="T122" s="775"/>
      <c r="U122" s="776"/>
      <c r="V122" s="774"/>
      <c r="W122" s="775"/>
      <c r="X122" s="788"/>
      <c r="Y122" s="35"/>
      <c r="AH122" s="628">
        <v>34</v>
      </c>
      <c r="AI122" s="629">
        <v>50</v>
      </c>
      <c r="AJ122" s="630">
        <v>0.6</v>
      </c>
      <c r="AK122" s="629" t="str">
        <f t="shared" si="12"/>
        <v>W</v>
      </c>
      <c r="AL122" s="629" t="str">
        <f t="shared" si="13"/>
        <v>Rh</v>
      </c>
      <c r="AM122" s="629"/>
      <c r="AN122" s="629"/>
      <c r="AO122" s="629"/>
      <c r="AP122" s="629"/>
      <c r="AQ122" s="631" t="s">
        <v>581</v>
      </c>
    </row>
    <row r="123" spans="1:43" ht="14.1" customHeight="1" thickBot="1">
      <c r="A123" s="20">
        <v>51</v>
      </c>
      <c r="B123" s="71"/>
      <c r="C123" s="72"/>
      <c r="D123" s="72"/>
      <c r="E123" s="72" t="s">
        <v>536</v>
      </c>
      <c r="F123" s="72"/>
      <c r="G123" s="72"/>
      <c r="H123" s="72"/>
      <c r="I123" s="72"/>
      <c r="J123" s="72"/>
      <c r="K123" s="72"/>
      <c r="L123" s="152" t="str">
        <f t="shared" si="14"/>
        <v>YES</v>
      </c>
      <c r="M123" s="108" t="str">
        <f t="shared" si="15"/>
        <v/>
      </c>
      <c r="O123" s="88" t="s">
        <v>70</v>
      </c>
      <c r="P123" s="89" t="s">
        <v>71</v>
      </c>
      <c r="Q123" s="90" t="s">
        <v>25</v>
      </c>
      <c r="R123" s="91" t="s">
        <v>72</v>
      </c>
      <c r="S123" s="89" t="s">
        <v>71</v>
      </c>
      <c r="T123" s="90" t="s">
        <v>25</v>
      </c>
      <c r="U123" s="91" t="s">
        <v>72</v>
      </c>
      <c r="V123" s="89" t="s">
        <v>71</v>
      </c>
      <c r="W123" s="90" t="s">
        <v>25</v>
      </c>
      <c r="X123" s="91" t="s">
        <v>72</v>
      </c>
      <c r="Y123" s="35"/>
      <c r="AH123" s="628">
        <v>34</v>
      </c>
      <c r="AI123" s="629">
        <v>50</v>
      </c>
      <c r="AJ123" s="630">
        <v>0.7</v>
      </c>
      <c r="AK123" s="629" t="str">
        <f t="shared" si="12"/>
        <v>W</v>
      </c>
      <c r="AL123" s="629" t="str">
        <f t="shared" si="13"/>
        <v>Rh</v>
      </c>
      <c r="AM123" s="629"/>
      <c r="AN123" s="629"/>
      <c r="AO123" s="629"/>
      <c r="AP123" s="629"/>
      <c r="AQ123" s="631" t="s">
        <v>581</v>
      </c>
    </row>
    <row r="124" spans="1:43" ht="14.1" customHeight="1" thickTop="1">
      <c r="A124" s="20">
        <v>52</v>
      </c>
      <c r="B124" s="71"/>
      <c r="C124" s="72"/>
      <c r="D124" s="72"/>
      <c r="E124" s="72" t="s">
        <v>537</v>
      </c>
      <c r="F124" s="72"/>
      <c r="G124" s="72"/>
      <c r="H124" s="72"/>
      <c r="I124" s="72"/>
      <c r="J124" s="72"/>
      <c r="K124" s="72"/>
      <c r="L124" s="152" t="str">
        <f t="shared" si="14"/>
        <v>YES</v>
      </c>
      <c r="M124" s="108" t="str">
        <f t="shared" si="15"/>
        <v/>
      </c>
      <c r="O124" s="92" t="s">
        <v>74</v>
      </c>
      <c r="P124" s="122" t="str">
        <f>IF(P132&lt;&gt;"",P132,IF(AB46="","",AB46))</f>
        <v/>
      </c>
      <c r="Q124" s="123" t="str">
        <f>IF(Q132&lt;&gt;"",Q132,IF(AB47="","",AB47))</f>
        <v/>
      </c>
      <c r="R124" s="124" t="str">
        <f>IF(R132&lt;&gt;"",R132,IF(AB48="","",AB48))</f>
        <v/>
      </c>
      <c r="S124" s="122" t="str">
        <f>IF(S132&lt;&gt;"",S132,IF(AB59="","",AB59))</f>
        <v/>
      </c>
      <c r="T124" s="123" t="str">
        <f>IF(T132&lt;&gt;"",T132,IF(AB60="","",AB60))</f>
        <v/>
      </c>
      <c r="U124" s="124" t="str">
        <f>IF(U132&lt;&gt;"",U132,IF(AB61="","",AB61))</f>
        <v/>
      </c>
      <c r="V124" s="122" t="str">
        <f>IF(V132&lt;&gt;"",V132,IF(AB72="","",AB72))</f>
        <v/>
      </c>
      <c r="W124" s="123" t="str">
        <f>IF(W132&lt;&gt;"",W132,IF(AB73="","",AB73))</f>
        <v/>
      </c>
      <c r="X124" s="124" t="str">
        <f>IF(X132&lt;&gt;"",X132,IF(AB74="","",AB74))</f>
        <v/>
      </c>
      <c r="Y124" s="35"/>
      <c r="AH124" s="628">
        <v>34</v>
      </c>
      <c r="AI124" s="629">
        <v>50</v>
      </c>
      <c r="AJ124" s="630">
        <v>0.7</v>
      </c>
      <c r="AK124" s="629" t="str">
        <f t="shared" si="12"/>
        <v>W</v>
      </c>
      <c r="AL124" s="629" t="str">
        <f t="shared" si="13"/>
        <v>Rh</v>
      </c>
      <c r="AM124" s="629"/>
      <c r="AN124" s="629"/>
      <c r="AO124" s="629"/>
      <c r="AP124" s="629"/>
      <c r="AQ124" s="631" t="s">
        <v>581</v>
      </c>
    </row>
    <row r="125" spans="1:43" ht="14.1" customHeight="1">
      <c r="A125" s="20">
        <v>53</v>
      </c>
      <c r="B125" s="71"/>
      <c r="C125" s="72"/>
      <c r="D125" s="72"/>
      <c r="E125" s="72" t="s">
        <v>538</v>
      </c>
      <c r="F125" s="72"/>
      <c r="G125" s="72"/>
      <c r="H125" s="72"/>
      <c r="I125" s="72"/>
      <c r="J125" s="72"/>
      <c r="K125" s="72"/>
      <c r="L125" s="152" t="str">
        <f t="shared" si="14"/>
        <v>YES</v>
      </c>
      <c r="M125" s="108" t="str">
        <f t="shared" si="15"/>
        <v/>
      </c>
      <c r="O125" s="97" t="s">
        <v>77</v>
      </c>
      <c r="P125" s="125" t="str">
        <f>IF(P133&lt;&gt;"",P133,IF(AB49="","",AB49))</f>
        <v/>
      </c>
      <c r="Q125" s="126" t="str">
        <f>IF(Q133&lt;&gt;"",Q133,IF(AB50="","",AB50))</f>
        <v/>
      </c>
      <c r="R125" s="127" t="str">
        <f>IF(R133&lt;&gt;"",R133,IF(AB51="","",AB51))</f>
        <v/>
      </c>
      <c r="S125" s="125" t="str">
        <f>IF(S133&lt;&gt;"",S133,IF(AB60="","",AB60))</f>
        <v/>
      </c>
      <c r="T125" s="126" t="str">
        <f>IF(T133&lt;&gt;"",T133,IF(AB63="","",AB63))</f>
        <v/>
      </c>
      <c r="U125" s="127" t="str">
        <f>IF(U133&lt;&gt;"",U133,IF(AB64="","",AB64))</f>
        <v/>
      </c>
      <c r="V125" s="125" t="str">
        <f>IF(V133&lt;&gt;"",V133,IF(AB75="","",AB75))</f>
        <v/>
      </c>
      <c r="W125" s="126" t="str">
        <f>IF(W133&lt;&gt;"",W133,IF(AB76="","",AB76))</f>
        <v/>
      </c>
      <c r="X125" s="127" t="str">
        <f>IF(X133&lt;&gt;"",X133,IF(AB77="","",AB77))</f>
        <v/>
      </c>
      <c r="Y125" s="35"/>
      <c r="AH125" s="210">
        <v>38</v>
      </c>
      <c r="AI125" s="14">
        <v>50</v>
      </c>
      <c r="AJ125" s="110">
        <v>0</v>
      </c>
      <c r="AK125" s="14" t="str">
        <f t="shared" si="12"/>
        <v>W</v>
      </c>
      <c r="AL125" s="14" t="str">
        <f t="shared" si="13"/>
        <v>Rh</v>
      </c>
      <c r="AM125" s="14"/>
      <c r="AN125" s="14"/>
      <c r="AO125" s="14"/>
      <c r="AP125" s="14"/>
      <c r="AQ125" s="228" t="s">
        <v>581</v>
      </c>
    </row>
    <row r="126" spans="1:43" ht="14.1" customHeight="1">
      <c r="A126" s="20">
        <v>54</v>
      </c>
      <c r="B126" s="71"/>
      <c r="C126" s="72"/>
      <c r="D126" s="72"/>
      <c r="E126" s="72"/>
      <c r="F126" s="72"/>
      <c r="G126" s="72"/>
      <c r="H126" s="72"/>
      <c r="I126" s="72"/>
      <c r="J126" s="72"/>
      <c r="K126" s="72"/>
      <c r="L126" s="72"/>
      <c r="M126" s="73"/>
      <c r="O126" s="97" t="s">
        <v>80</v>
      </c>
      <c r="P126" s="125" t="str">
        <f>IF(P134&lt;&gt;"",P134,IF(AB52="","",AB52))</f>
        <v/>
      </c>
      <c r="Q126" s="126" t="str">
        <f>IF(Q134&lt;&gt;"",Q134,IF(AB53="","",AB53))</f>
        <v/>
      </c>
      <c r="R126" s="127" t="str">
        <f>IF(R134&lt;&gt;"",R134,IF(AB54="","",AB54))</f>
        <v/>
      </c>
      <c r="S126" s="125" t="str">
        <f>IF(S134&lt;&gt;"",S134,IF(AB61="","",AB61))</f>
        <v/>
      </c>
      <c r="T126" s="126" t="str">
        <f>IF(T134&lt;&gt;"",T134,IF(AB66="","",AB66))</f>
        <v/>
      </c>
      <c r="U126" s="127" t="str">
        <f>IF(U134&lt;&gt;"",U134,IF(AB67="","",AB67))</f>
        <v/>
      </c>
      <c r="V126" s="125" t="str">
        <f>IF(V134&lt;&gt;"",V134,IF(AB78="","",AB78))</f>
        <v/>
      </c>
      <c r="W126" s="126" t="str">
        <f>IF(W134&lt;&gt;"",W134,IF(AB79="","",AB79))</f>
        <v/>
      </c>
      <c r="X126" s="127" t="str">
        <f>IF(X134&lt;&gt;"",X134,IF(AB80="","",AB80))</f>
        <v/>
      </c>
      <c r="Y126" s="35"/>
      <c r="AH126" s="628">
        <v>38</v>
      </c>
      <c r="AI126" s="629">
        <v>50</v>
      </c>
      <c r="AJ126" s="630">
        <v>0</v>
      </c>
      <c r="AK126" s="629" t="str">
        <f t="shared" si="12"/>
        <v>W</v>
      </c>
      <c r="AL126" s="629" t="str">
        <f t="shared" si="13"/>
        <v>Rh</v>
      </c>
      <c r="AM126" s="629"/>
      <c r="AN126" s="629"/>
      <c r="AO126" s="629"/>
      <c r="AP126" s="629"/>
      <c r="AQ126" s="631" t="s">
        <v>581</v>
      </c>
    </row>
    <row r="127" spans="1:43" ht="14.1" customHeight="1" thickBot="1">
      <c r="A127" s="20">
        <v>55</v>
      </c>
      <c r="B127" s="71"/>
      <c r="C127" s="72"/>
      <c r="D127" s="72"/>
      <c r="E127" s="343"/>
      <c r="F127" s="72"/>
      <c r="G127" s="72"/>
      <c r="H127" s="505" t="s">
        <v>552</v>
      </c>
      <c r="I127" s="72"/>
      <c r="J127" s="72"/>
      <c r="K127" s="72"/>
      <c r="L127" s="72"/>
      <c r="M127" s="73"/>
      <c r="O127" s="101" t="s">
        <v>83</v>
      </c>
      <c r="P127" s="128" t="str">
        <f>IF(P135&lt;&gt;"",P135,IF(AB55="","",AB55))</f>
        <v/>
      </c>
      <c r="Q127" s="129" t="str">
        <f>IF(Q135&lt;&gt;"",Q135,IF(AB56="","",AB56))</f>
        <v/>
      </c>
      <c r="R127" s="130" t="str">
        <f>IF(R135&lt;&gt;"",R135,IF(AB57="","",AB57))</f>
        <v/>
      </c>
      <c r="S127" s="128" t="str">
        <f>IF(S135&lt;&gt;"",S135,IF(AB62="","",AB62))</f>
        <v/>
      </c>
      <c r="T127" s="129" t="str">
        <f>IF(T135&lt;&gt;"",T135,IF(AB69="","",AB69))</f>
        <v/>
      </c>
      <c r="U127" s="130" t="str">
        <f>IF(U135&lt;&gt;"",U135,IF(AB70="","",AB70))</f>
        <v/>
      </c>
      <c r="V127" s="128" t="str">
        <f>IF(V135&lt;&gt;"",V135,IF(AB81="","",AB81))</f>
        <v/>
      </c>
      <c r="W127" s="129" t="str">
        <f>IF(W135&lt;&gt;"",W135,IF(AB82="","",AB82))</f>
        <v/>
      </c>
      <c r="X127" s="130" t="str">
        <f>IF(X135&lt;&gt;"",X135,IF(AB83="","",AB83))</f>
        <v/>
      </c>
      <c r="Y127" s="35"/>
      <c r="AH127" s="628">
        <v>38</v>
      </c>
      <c r="AI127" s="629">
        <v>50</v>
      </c>
      <c r="AJ127" s="630">
        <v>0.6</v>
      </c>
      <c r="AK127" s="629" t="str">
        <f t="shared" si="12"/>
        <v>W</v>
      </c>
      <c r="AL127" s="629" t="str">
        <f t="shared" si="13"/>
        <v>Rh</v>
      </c>
      <c r="AM127" s="629"/>
      <c r="AN127" s="629"/>
      <c r="AO127" s="629"/>
      <c r="AP127" s="629"/>
      <c r="AQ127" s="631" t="s">
        <v>581</v>
      </c>
    </row>
    <row r="128" spans="1:43" ht="14.1" customHeight="1" thickBot="1">
      <c r="A128" s="20">
        <v>56</v>
      </c>
      <c r="B128" s="71"/>
      <c r="C128" s="72"/>
      <c r="D128" s="72"/>
      <c r="E128" s="72" t="s">
        <v>553</v>
      </c>
      <c r="F128" s="72"/>
      <c r="G128" s="72"/>
      <c r="H128" s="72"/>
      <c r="I128" s="72"/>
      <c r="J128" s="72"/>
      <c r="K128" s="72"/>
      <c r="L128" s="152" t="str">
        <f>IF(O112="","TBD",IF(O112=1,"YES",IF(O112=3,"NA","")))</f>
        <v>YES</v>
      </c>
      <c r="M128" s="108" t="str">
        <f>IF(O112=2,"NO","")</f>
        <v/>
      </c>
      <c r="O128" s="33"/>
      <c r="Y128" s="35"/>
      <c r="AH128" s="628">
        <v>38</v>
      </c>
      <c r="AI128" s="629">
        <v>50</v>
      </c>
      <c r="AJ128" s="630">
        <v>0.6</v>
      </c>
      <c r="AK128" s="629" t="str">
        <f t="shared" si="12"/>
        <v>W</v>
      </c>
      <c r="AL128" s="629" t="str">
        <f t="shared" si="13"/>
        <v>Rh</v>
      </c>
      <c r="AM128" s="629"/>
      <c r="AN128" s="629"/>
      <c r="AO128" s="629"/>
      <c r="AP128" s="629"/>
      <c r="AQ128" s="631" t="s">
        <v>581</v>
      </c>
    </row>
    <row r="129" spans="1:43" ht="14.1" customHeight="1">
      <c r="A129" s="20">
        <v>57</v>
      </c>
      <c r="B129" s="71"/>
      <c r="C129" s="72"/>
      <c r="D129" s="72"/>
      <c r="E129" s="72" t="s">
        <v>554</v>
      </c>
      <c r="F129" s="72"/>
      <c r="G129" s="72"/>
      <c r="H129" s="72"/>
      <c r="I129" s="72"/>
      <c r="J129" s="72"/>
      <c r="K129" s="72"/>
      <c r="L129" s="152" t="str">
        <f>IF(O113="","TBD",IF(O113=1,"YES",IF(O113=3,"NA","")))</f>
        <v>YES</v>
      </c>
      <c r="M129" s="108" t="str">
        <f>IF(O113=2,"NO","")</f>
        <v/>
      </c>
      <c r="O129" s="87" t="s">
        <v>64</v>
      </c>
      <c r="P129" s="771" t="s">
        <v>65</v>
      </c>
      <c r="Q129" s="772"/>
      <c r="R129" s="773"/>
      <c r="S129" s="771" t="s">
        <v>539</v>
      </c>
      <c r="T129" s="772"/>
      <c r="U129" s="773"/>
      <c r="V129" s="777" t="s">
        <v>67</v>
      </c>
      <c r="W129" s="778"/>
      <c r="X129" s="779"/>
      <c r="Y129" s="35"/>
      <c r="AH129" s="628">
        <v>38</v>
      </c>
      <c r="AI129" s="629">
        <v>50</v>
      </c>
      <c r="AJ129" s="630">
        <v>0.7</v>
      </c>
      <c r="AK129" s="629" t="str">
        <f t="shared" si="12"/>
        <v>W</v>
      </c>
      <c r="AL129" s="629" t="str">
        <f t="shared" si="13"/>
        <v>Rh</v>
      </c>
      <c r="AM129" s="629"/>
      <c r="AN129" s="629"/>
      <c r="AO129" s="629"/>
      <c r="AP129" s="629"/>
      <c r="AQ129" s="631" t="s">
        <v>581</v>
      </c>
    </row>
    <row r="130" spans="1:43" ht="14.1" customHeight="1">
      <c r="A130" s="20">
        <v>58</v>
      </c>
      <c r="B130" s="71"/>
      <c r="C130" s="72"/>
      <c r="D130" s="72"/>
      <c r="E130" s="72" t="s">
        <v>555</v>
      </c>
      <c r="F130" s="72"/>
      <c r="G130" s="72"/>
      <c r="H130" s="72"/>
      <c r="I130" s="72"/>
      <c r="J130" s="72"/>
      <c r="K130" s="72"/>
      <c r="L130" s="152" t="str">
        <f>IF(O114="","TBD",IF(O114=1,"YES",IF(O114=3,"NA","")))</f>
        <v>YES</v>
      </c>
      <c r="M130" s="108" t="str">
        <f>IF(O114=2,"NO","")</f>
        <v/>
      </c>
      <c r="O130" s="88" t="s">
        <v>68</v>
      </c>
      <c r="P130" s="774"/>
      <c r="Q130" s="775"/>
      <c r="R130" s="776"/>
      <c r="S130" s="774"/>
      <c r="T130" s="775"/>
      <c r="U130" s="776"/>
      <c r="V130" s="780"/>
      <c r="W130" s="781"/>
      <c r="X130" s="782"/>
      <c r="Y130" s="35"/>
      <c r="AH130" s="628">
        <v>38</v>
      </c>
      <c r="AI130" s="629">
        <v>50</v>
      </c>
      <c r="AJ130" s="630">
        <v>0.7</v>
      </c>
      <c r="AK130" s="629" t="str">
        <f t="shared" si="12"/>
        <v>W</v>
      </c>
      <c r="AL130" s="629" t="str">
        <f t="shared" si="13"/>
        <v>Rh</v>
      </c>
      <c r="AM130" s="629"/>
      <c r="AN130" s="629"/>
      <c r="AO130" s="629"/>
      <c r="AP130" s="629"/>
      <c r="AQ130" s="631" t="s">
        <v>581</v>
      </c>
    </row>
    <row r="131" spans="1:43" ht="14.1" customHeight="1" thickBot="1">
      <c r="A131" s="20">
        <v>59</v>
      </c>
      <c r="B131" s="71"/>
      <c r="C131" s="72"/>
      <c r="D131" s="72"/>
      <c r="E131" s="72" t="s">
        <v>556</v>
      </c>
      <c r="F131" s="72"/>
      <c r="G131" s="72"/>
      <c r="H131" s="72"/>
      <c r="I131" s="72"/>
      <c r="J131" s="72"/>
      <c r="K131" s="72"/>
      <c r="L131" s="152" t="str">
        <f>IF(O115="","TBD",IF(O115=1,"YES",IF(O115=3,"NA","")))</f>
        <v>YES</v>
      </c>
      <c r="M131" s="108" t="str">
        <f>IF(O115=2,"NO","")</f>
        <v/>
      </c>
      <c r="O131" s="88" t="s">
        <v>70</v>
      </c>
      <c r="P131" s="89" t="s">
        <v>71</v>
      </c>
      <c r="Q131" s="90" t="s">
        <v>25</v>
      </c>
      <c r="R131" s="91" t="s">
        <v>72</v>
      </c>
      <c r="S131" s="89" t="s">
        <v>71</v>
      </c>
      <c r="T131" s="90" t="s">
        <v>25</v>
      </c>
      <c r="U131" s="91" t="s">
        <v>72</v>
      </c>
      <c r="V131" s="89" t="s">
        <v>71</v>
      </c>
      <c r="W131" s="90" t="s">
        <v>25</v>
      </c>
      <c r="X131" s="91" t="s">
        <v>72</v>
      </c>
      <c r="Y131" s="35"/>
      <c r="AH131" s="628">
        <v>38</v>
      </c>
      <c r="AI131" s="629">
        <v>50</v>
      </c>
      <c r="AJ131" s="630">
        <v>0.8</v>
      </c>
      <c r="AK131" s="629" t="str">
        <f t="shared" si="12"/>
        <v>W</v>
      </c>
      <c r="AL131" s="629" t="str">
        <f t="shared" si="13"/>
        <v>Rh</v>
      </c>
      <c r="AM131" s="629"/>
      <c r="AN131" s="629"/>
      <c r="AO131" s="629"/>
      <c r="AP131" s="629"/>
      <c r="AQ131" s="631" t="s">
        <v>581</v>
      </c>
    </row>
    <row r="132" spans="1:43" ht="14.1" customHeight="1" thickTop="1" thickBot="1">
      <c r="A132" s="20">
        <v>60</v>
      </c>
      <c r="B132" s="71"/>
      <c r="C132" s="72"/>
      <c r="D132" s="72"/>
      <c r="E132" s="72" t="s">
        <v>557</v>
      </c>
      <c r="F132" s="72"/>
      <c r="G132" s="72"/>
      <c r="H132" s="72"/>
      <c r="I132" s="72"/>
      <c r="J132" s="72"/>
      <c r="K132" s="72"/>
      <c r="L132" s="152" t="str">
        <f>IF(O116="","TBD",IF(O116=1,"YES",IF(O116=3,"NA","")))</f>
        <v>YES</v>
      </c>
      <c r="M132" s="108" t="str">
        <f>IF(O116=2,"NO","")</f>
        <v/>
      </c>
      <c r="O132" s="92" t="s">
        <v>74</v>
      </c>
      <c r="P132" s="131"/>
      <c r="Q132" s="132"/>
      <c r="R132" s="133"/>
      <c r="S132" s="131"/>
      <c r="T132" s="132"/>
      <c r="U132" s="133"/>
      <c r="V132" s="131"/>
      <c r="W132" s="132"/>
      <c r="X132" s="133"/>
      <c r="Y132" s="35"/>
      <c r="AH132" s="632">
        <v>38</v>
      </c>
      <c r="AI132" s="633">
        <v>50</v>
      </c>
      <c r="AJ132" s="634">
        <v>0.8</v>
      </c>
      <c r="AK132" s="633" t="str">
        <f t="shared" si="12"/>
        <v>W</v>
      </c>
      <c r="AL132" s="633" t="str">
        <f t="shared" si="13"/>
        <v>Rh</v>
      </c>
      <c r="AM132" s="633"/>
      <c r="AN132" s="633"/>
      <c r="AO132" s="633"/>
      <c r="AP132" s="633"/>
      <c r="AQ132" s="635" t="s">
        <v>581</v>
      </c>
    </row>
    <row r="133" spans="1:43" ht="14.1" customHeight="1">
      <c r="A133" s="20">
        <v>61</v>
      </c>
      <c r="B133" s="71"/>
      <c r="C133" s="72"/>
      <c r="D133" s="72"/>
      <c r="E133" s="72"/>
      <c r="F133" s="72"/>
      <c r="G133" s="72"/>
      <c r="H133" s="72"/>
      <c r="I133" s="72"/>
      <c r="J133" s="72"/>
      <c r="K133" s="72"/>
      <c r="L133" s="72"/>
      <c r="M133" s="73"/>
      <c r="O133" s="97" t="s">
        <v>77</v>
      </c>
      <c r="P133" s="134"/>
      <c r="Q133" s="135"/>
      <c r="R133" s="136"/>
      <c r="S133" s="134"/>
      <c r="T133" s="135"/>
      <c r="U133" s="136"/>
      <c r="V133" s="134"/>
      <c r="W133" s="135"/>
      <c r="X133" s="136"/>
      <c r="Y133" s="35"/>
    </row>
    <row r="134" spans="1:43" ht="14.1" customHeight="1">
      <c r="A134" s="20">
        <v>62</v>
      </c>
      <c r="B134" s="71"/>
      <c r="C134" s="72"/>
      <c r="D134" s="72"/>
      <c r="E134" s="72"/>
      <c r="F134" s="72"/>
      <c r="G134" s="72"/>
      <c r="H134" s="72"/>
      <c r="I134" s="72"/>
      <c r="J134" s="72"/>
      <c r="K134" s="72"/>
      <c r="L134" s="72"/>
      <c r="M134" s="73"/>
      <c r="O134" s="97" t="s">
        <v>80</v>
      </c>
      <c r="P134" s="134"/>
      <c r="Q134" s="135"/>
      <c r="R134" s="136"/>
      <c r="S134" s="134"/>
      <c r="T134" s="135"/>
      <c r="U134" s="136"/>
      <c r="V134" s="134"/>
      <c r="W134" s="135"/>
      <c r="X134" s="136"/>
      <c r="Y134" s="35"/>
    </row>
    <row r="135" spans="1:43" ht="14.1" customHeight="1" thickBot="1">
      <c r="A135" s="20">
        <v>63</v>
      </c>
      <c r="B135" s="71"/>
      <c r="C135" s="72"/>
      <c r="D135" s="72"/>
      <c r="E135" s="72"/>
      <c r="F135" s="72"/>
      <c r="G135" s="72"/>
      <c r="H135" s="72"/>
      <c r="I135" s="72"/>
      <c r="J135" s="72"/>
      <c r="K135" s="72"/>
      <c r="L135" s="72"/>
      <c r="M135" s="73"/>
      <c r="O135" s="101" t="s">
        <v>83</v>
      </c>
      <c r="P135" s="137"/>
      <c r="Q135" s="138"/>
      <c r="R135" s="139"/>
      <c r="S135" s="137"/>
      <c r="T135" s="138"/>
      <c r="U135" s="139"/>
      <c r="V135" s="137"/>
      <c r="W135" s="138"/>
      <c r="X135" s="139"/>
      <c r="Y135" s="45"/>
    </row>
    <row r="136" spans="1:43" ht="14.1" customHeight="1">
      <c r="A136" s="20">
        <v>64</v>
      </c>
      <c r="B136" s="71"/>
      <c r="C136" s="72"/>
      <c r="D136" s="72"/>
      <c r="E136" s="72"/>
      <c r="F136" s="72"/>
      <c r="G136" s="72"/>
      <c r="H136" s="72"/>
      <c r="I136" s="72"/>
      <c r="J136" s="72"/>
      <c r="K136" s="72"/>
      <c r="L136" s="72"/>
      <c r="M136" s="73"/>
      <c r="O136" s="6"/>
      <c r="P136" s="6"/>
      <c r="Q136" s="6"/>
      <c r="R136" s="6"/>
      <c r="S136" s="6"/>
      <c r="T136" s="6"/>
      <c r="U136" s="6"/>
      <c r="V136" s="6"/>
      <c r="W136" s="6"/>
      <c r="X136" s="6"/>
    </row>
    <row r="137" spans="1:43" ht="14.1" customHeight="1" thickBot="1">
      <c r="A137" s="20">
        <v>65</v>
      </c>
      <c r="B137" s="71"/>
      <c r="C137" s="72"/>
      <c r="D137" s="72"/>
      <c r="E137" s="72"/>
      <c r="F137" s="72"/>
      <c r="G137" s="72"/>
      <c r="H137" s="72"/>
      <c r="I137" s="72"/>
      <c r="J137" s="72"/>
      <c r="K137" s="72"/>
      <c r="L137" s="72"/>
      <c r="M137" s="73"/>
      <c r="T137" s="267" t="s">
        <v>73</v>
      </c>
    </row>
    <row r="138" spans="1:43" ht="14.1" customHeight="1">
      <c r="A138" s="20">
        <v>66</v>
      </c>
      <c r="B138" s="71"/>
      <c r="C138" s="72"/>
      <c r="D138" s="72"/>
      <c r="E138" s="72"/>
      <c r="F138" s="72"/>
      <c r="G138" s="72"/>
      <c r="H138" s="72"/>
      <c r="I138" s="72"/>
      <c r="J138" s="72"/>
      <c r="K138" s="72"/>
      <c r="L138" s="72"/>
      <c r="M138" s="73"/>
      <c r="O138" s="140" t="s">
        <v>200</v>
      </c>
      <c r="P138" s="26"/>
      <c r="Q138" s="26"/>
      <c r="R138" s="26"/>
      <c r="S138" s="26"/>
      <c r="T138" s="26"/>
      <c r="U138" s="26"/>
      <c r="V138" s="26"/>
      <c r="W138" s="26"/>
      <c r="X138" s="26"/>
      <c r="Y138" s="27"/>
    </row>
    <row r="139" spans="1:43" ht="14.1" customHeight="1">
      <c r="A139" s="20">
        <v>67</v>
      </c>
      <c r="B139" s="71"/>
      <c r="C139" s="72"/>
      <c r="D139" s="72"/>
      <c r="E139" s="72"/>
      <c r="F139" s="72"/>
      <c r="G139" s="72"/>
      <c r="H139" s="72"/>
      <c r="I139" s="72"/>
      <c r="J139" s="72"/>
      <c r="K139" s="72"/>
      <c r="L139" s="72"/>
      <c r="M139" s="73"/>
      <c r="O139" s="33"/>
      <c r="P139" s="6"/>
      <c r="Q139" s="38" t="s">
        <v>201</v>
      </c>
      <c r="R139" s="141"/>
      <c r="S139" s="6"/>
      <c r="T139" s="6"/>
      <c r="Y139" s="35"/>
    </row>
    <row r="140" spans="1:43" ht="14.1" customHeight="1">
      <c r="A140" s="20">
        <v>68</v>
      </c>
      <c r="B140" s="71"/>
      <c r="C140" s="72"/>
      <c r="D140" s="72"/>
      <c r="E140" s="72"/>
      <c r="F140" s="72"/>
      <c r="G140" s="72"/>
      <c r="H140" s="72"/>
      <c r="I140" s="72"/>
      <c r="J140" s="72"/>
      <c r="K140" s="72"/>
      <c r="L140" s="72"/>
      <c r="M140" s="73"/>
      <c r="O140" s="33"/>
      <c r="P140" s="6"/>
      <c r="Q140" s="38" t="s">
        <v>202</v>
      </c>
      <c r="R140" s="141"/>
      <c r="S140" s="6"/>
      <c r="T140" s="6"/>
      <c r="Y140" s="35"/>
    </row>
    <row r="141" spans="1:43" ht="14.1" customHeight="1">
      <c r="A141" s="20">
        <v>69</v>
      </c>
      <c r="B141" s="71"/>
      <c r="C141" s="72"/>
      <c r="D141" s="72"/>
      <c r="E141" s="72"/>
      <c r="F141" s="72"/>
      <c r="G141" s="72"/>
      <c r="H141" s="72"/>
      <c r="I141" s="72"/>
      <c r="J141" s="72"/>
      <c r="K141" s="72"/>
      <c r="L141" s="72"/>
      <c r="M141" s="73"/>
      <c r="O141" s="33"/>
      <c r="P141" s="6"/>
      <c r="Q141" s="38" t="s">
        <v>203</v>
      </c>
      <c r="R141" s="141"/>
      <c r="S141" s="6"/>
      <c r="T141" s="6"/>
      <c r="Y141" s="35"/>
    </row>
    <row r="142" spans="1:43" ht="14.1" customHeight="1" thickBot="1">
      <c r="A142" s="20">
        <v>70</v>
      </c>
      <c r="B142" s="84"/>
      <c r="C142" s="85"/>
      <c r="D142" s="85"/>
      <c r="E142" s="341"/>
      <c r="F142" s="85"/>
      <c r="G142" s="85"/>
      <c r="H142" s="85"/>
      <c r="I142" s="85"/>
      <c r="J142" s="85"/>
      <c r="K142" s="85"/>
      <c r="L142" s="85"/>
      <c r="M142" s="86"/>
      <c r="O142" s="33"/>
      <c r="P142" s="6"/>
      <c r="Q142" s="6"/>
      <c r="R142" s="4" t="str">
        <f>IF(R140="","",IF(AND(R140&gt;=120,R140&lt;=200),"Pass","Fail"))</f>
        <v/>
      </c>
      <c r="Y142" s="35"/>
    </row>
    <row r="143" spans="1:43" ht="14.1" customHeight="1" thickTop="1">
      <c r="A143" s="20">
        <v>71</v>
      </c>
      <c r="C143" s="113" t="s">
        <v>11</v>
      </c>
      <c r="D143" s="387" t="str">
        <f>IF($P$7="","",$P$7)</f>
        <v/>
      </c>
      <c r="E143" s="30"/>
      <c r="F143" s="30"/>
      <c r="G143" s="30"/>
      <c r="H143" s="30"/>
      <c r="I143" s="30"/>
      <c r="J143" s="30"/>
      <c r="K143" s="30"/>
      <c r="L143" s="113" t="s">
        <v>12</v>
      </c>
      <c r="M143" s="388" t="str">
        <f>IF($X$7="","",$X$7)</f>
        <v>Eugene Mah</v>
      </c>
      <c r="O143" s="33"/>
      <c r="P143" s="117" t="s">
        <v>204</v>
      </c>
      <c r="Q143" s="142" t="s">
        <v>205</v>
      </c>
      <c r="Y143" s="35"/>
    </row>
    <row r="144" spans="1:43" ht="14.1" customHeight="1">
      <c r="A144" s="20">
        <v>72</v>
      </c>
      <c r="C144" s="113" t="s">
        <v>121</v>
      </c>
      <c r="D144" s="388" t="str">
        <f>IF($R$14="","",$R$14)</f>
        <v/>
      </c>
      <c r="E144" s="30"/>
      <c r="F144" s="30"/>
      <c r="G144" s="30"/>
      <c r="H144" s="30"/>
      <c r="I144" s="30"/>
      <c r="J144" s="30"/>
      <c r="K144" s="30"/>
      <c r="L144" s="113" t="s">
        <v>37</v>
      </c>
      <c r="M144" s="388" t="str">
        <f>IF($R$13="","",$R$13)</f>
        <v/>
      </c>
      <c r="O144" s="33"/>
      <c r="Y144" s="35"/>
    </row>
    <row r="145" spans="1:25" ht="14.1" customHeight="1">
      <c r="A145" s="20">
        <v>1</v>
      </c>
      <c r="M145" s="116" t="str">
        <f>$H$2</f>
        <v>Medical University of South Carolina</v>
      </c>
      <c r="O145" s="143" t="s">
        <v>206</v>
      </c>
      <c r="Y145" s="35"/>
    </row>
    <row r="146" spans="1:25" ht="14.1" customHeight="1" thickBot="1">
      <c r="A146" s="20">
        <v>2</v>
      </c>
      <c r="H146" s="54" t="s">
        <v>73</v>
      </c>
      <c r="M146" s="117" t="str">
        <f>$H$5</f>
        <v>Mammography System Compliance Inspection</v>
      </c>
      <c r="O146" s="33"/>
      <c r="P146" s="24" t="s">
        <v>207</v>
      </c>
      <c r="Q146" s="602" t="s">
        <v>208</v>
      </c>
      <c r="R146" s="602" t="s">
        <v>209</v>
      </c>
      <c r="Y146" s="35"/>
    </row>
    <row r="147" spans="1:25" ht="14.1" customHeight="1" thickTop="1" thickBot="1">
      <c r="A147" s="20">
        <v>3</v>
      </c>
      <c r="B147" s="62"/>
      <c r="C147" s="64" t="s">
        <v>200</v>
      </c>
      <c r="D147" s="63"/>
      <c r="E147" s="63"/>
      <c r="F147" s="63"/>
      <c r="G147" s="63"/>
      <c r="H147" s="63"/>
      <c r="I147" s="63"/>
      <c r="J147" s="63"/>
      <c r="K147" s="63"/>
      <c r="L147" s="63"/>
      <c r="M147" s="65"/>
      <c r="O147" s="33"/>
      <c r="P147" s="602">
        <v>1</v>
      </c>
      <c r="Q147" s="141"/>
      <c r="R147" s="144" t="str">
        <f t="shared" ref="R147:R154" si="16">IF(Q147="","",ABS(Q147-P147))</f>
        <v/>
      </c>
      <c r="Y147" s="35"/>
    </row>
    <row r="148" spans="1:25" ht="14.1" customHeight="1" thickBot="1">
      <c r="A148" s="20">
        <v>4</v>
      </c>
      <c r="B148" s="71"/>
      <c r="C148" s="72"/>
      <c r="D148" s="72"/>
      <c r="E148" s="166" t="s">
        <v>201</v>
      </c>
      <c r="F148" s="345" t="str">
        <f>IF(R139="","",R139)</f>
        <v/>
      </c>
      <c r="G148" s="72"/>
      <c r="H148" s="166" t="s">
        <v>218</v>
      </c>
      <c r="I148" s="148" t="str">
        <f>IF(R142="","",R142)</f>
        <v/>
      </c>
      <c r="J148" s="72"/>
      <c r="K148" s="72"/>
      <c r="L148" s="72"/>
      <c r="M148" s="73"/>
      <c r="O148" s="33"/>
      <c r="P148" s="602">
        <v>2</v>
      </c>
      <c r="Q148" s="141"/>
      <c r="R148" s="144" t="str">
        <f t="shared" si="16"/>
        <v/>
      </c>
      <c r="Y148" s="35"/>
    </row>
    <row r="149" spans="1:25" ht="14.1" customHeight="1" thickBot="1">
      <c r="A149" s="20">
        <v>5</v>
      </c>
      <c r="B149" s="71"/>
      <c r="C149" s="72"/>
      <c r="D149" s="72"/>
      <c r="E149" s="166" t="s">
        <v>202</v>
      </c>
      <c r="F149" s="447" t="str">
        <f>IF(R140="","",R140)</f>
        <v/>
      </c>
      <c r="G149" s="601"/>
      <c r="H149" s="601"/>
      <c r="I149" s="72"/>
      <c r="J149" s="72"/>
      <c r="K149" s="72"/>
      <c r="L149" s="72"/>
      <c r="M149" s="73"/>
      <c r="O149" s="33"/>
      <c r="P149" s="602">
        <v>4</v>
      </c>
      <c r="Q149" s="141"/>
      <c r="R149" s="144" t="str">
        <f t="shared" si="16"/>
        <v/>
      </c>
      <c r="S149" s="38" t="s">
        <v>210</v>
      </c>
      <c r="T149" s="145" t="str">
        <f>IF(OR(Q149="",Q150="",Q151="",Q152=""),"",AVERAGE(Q149:Q152))</f>
        <v/>
      </c>
      <c r="Y149" s="35"/>
    </row>
    <row r="150" spans="1:25" ht="14.1" customHeight="1" thickBot="1">
      <c r="A150" s="20">
        <v>6</v>
      </c>
      <c r="B150" s="71"/>
      <c r="C150" s="72"/>
      <c r="D150" s="72"/>
      <c r="E150" s="166" t="s">
        <v>203</v>
      </c>
      <c r="F150" s="448" t="str">
        <f>IF(R141="","",IF(R141=1,"Pass","Fail"))</f>
        <v/>
      </c>
      <c r="G150" s="601"/>
      <c r="H150" s="72"/>
      <c r="I150" s="72"/>
      <c r="J150" s="72"/>
      <c r="K150" s="72"/>
      <c r="L150" s="72"/>
      <c r="M150" s="73"/>
      <c r="O150" s="33"/>
      <c r="P150" s="602">
        <v>4</v>
      </c>
      <c r="Q150" s="141"/>
      <c r="R150" s="144" t="str">
        <f t="shared" si="16"/>
        <v/>
      </c>
      <c r="S150" s="38" t="s">
        <v>211</v>
      </c>
      <c r="T150" s="146" t="str">
        <f>IF(OR(Q149="",Q150="",Q151="",Q152=""),"",_xlfn.STDEV.S(Q149:Q152))</f>
        <v/>
      </c>
      <c r="Y150" s="35"/>
    </row>
    <row r="151" spans="1:25" ht="14.1" customHeight="1">
      <c r="A151" s="20">
        <v>7</v>
      </c>
      <c r="B151" s="71"/>
      <c r="C151" s="72"/>
      <c r="D151" s="5" t="s">
        <v>204</v>
      </c>
      <c r="E151" s="105" t="s">
        <v>205</v>
      </c>
      <c r="F151" s="72"/>
      <c r="G151" s="72"/>
      <c r="H151" s="72"/>
      <c r="I151" s="72"/>
      <c r="J151" s="72"/>
      <c r="K151" s="72"/>
      <c r="L151" s="72"/>
      <c r="M151" s="73"/>
      <c r="O151" s="33"/>
      <c r="P151" s="602">
        <v>4</v>
      </c>
      <c r="Q151" s="141"/>
      <c r="R151" s="144" t="str">
        <f t="shared" si="16"/>
        <v/>
      </c>
      <c r="Y151" s="35"/>
    </row>
    <row r="152" spans="1:25" ht="14.1" customHeight="1">
      <c r="A152" s="20">
        <v>8</v>
      </c>
      <c r="B152" s="71"/>
      <c r="C152" s="72"/>
      <c r="D152" s="197"/>
      <c r="E152" s="197"/>
      <c r="F152" s="72"/>
      <c r="G152" s="72"/>
      <c r="H152" s="72"/>
      <c r="I152" s="72"/>
      <c r="J152" s="72"/>
      <c r="K152" s="72"/>
      <c r="L152" s="72"/>
      <c r="M152" s="73"/>
      <c r="O152" s="33"/>
      <c r="P152" s="602">
        <v>4</v>
      </c>
      <c r="Q152" s="141"/>
      <c r="R152" s="144" t="str">
        <f t="shared" si="16"/>
        <v/>
      </c>
      <c r="T152" s="113" t="s">
        <v>204</v>
      </c>
      <c r="U152" s="30" t="s">
        <v>212</v>
      </c>
      <c r="Y152" s="35"/>
    </row>
    <row r="153" spans="1:25" ht="14.1" customHeight="1" thickBot="1">
      <c r="A153" s="20">
        <v>9</v>
      </c>
      <c r="B153" s="71"/>
      <c r="C153" s="150" t="s">
        <v>206</v>
      </c>
      <c r="D153" s="72"/>
      <c r="E153" s="72"/>
      <c r="F153" s="72"/>
      <c r="G153" s="72"/>
      <c r="H153" s="72"/>
      <c r="I153" s="72"/>
      <c r="J153" s="72"/>
      <c r="K153" s="72"/>
      <c r="L153" s="72"/>
      <c r="M153" s="73"/>
      <c r="O153" s="33"/>
      <c r="P153" s="602">
        <v>6</v>
      </c>
      <c r="Q153" s="141"/>
      <c r="R153" s="144" t="str">
        <f t="shared" si="16"/>
        <v/>
      </c>
      <c r="U153" s="30" t="s">
        <v>213</v>
      </c>
      <c r="Y153" s="35"/>
    </row>
    <row r="154" spans="1:25" ht="14.1" customHeight="1" thickBot="1">
      <c r="A154" s="20">
        <v>10</v>
      </c>
      <c r="B154" s="71"/>
      <c r="C154" s="398" t="s">
        <v>207</v>
      </c>
      <c r="D154" s="432" t="s">
        <v>208</v>
      </c>
      <c r="E154" s="433" t="s">
        <v>209</v>
      </c>
      <c r="F154" s="72"/>
      <c r="G154" s="72"/>
      <c r="H154" s="343"/>
      <c r="I154" s="166" t="s">
        <v>222</v>
      </c>
      <c r="J154" s="389" t="str">
        <f>IF(O156="","TBD",IF(O156=1,"YES",IF(O156=3,"NA","")))</f>
        <v>TBD</v>
      </c>
      <c r="K154" s="72"/>
      <c r="L154" s="152" t="str">
        <f>IF(O156=2,"NO","")</f>
        <v/>
      </c>
      <c r="M154" s="73"/>
      <c r="O154" s="33"/>
      <c r="P154" s="602">
        <v>8</v>
      </c>
      <c r="Q154" s="141"/>
      <c r="R154" s="144" t="str">
        <f t="shared" si="16"/>
        <v/>
      </c>
      <c r="Y154" s="35"/>
    </row>
    <row r="155" spans="1:25" ht="14.1" customHeight="1" thickBot="1">
      <c r="A155" s="20">
        <v>11</v>
      </c>
      <c r="B155" s="71"/>
      <c r="C155" s="349">
        <v>1</v>
      </c>
      <c r="D155" s="320" t="str">
        <f t="shared" ref="D155:E162" si="17">IF(Q147="","",Q147)</f>
        <v/>
      </c>
      <c r="E155" s="350" t="str">
        <f t="shared" si="17"/>
        <v/>
      </c>
      <c r="F155" s="72"/>
      <c r="G155" s="72"/>
      <c r="H155" s="343"/>
      <c r="I155" s="166" t="s">
        <v>223</v>
      </c>
      <c r="J155" s="389" t="str">
        <f>IF(O157="","TBD",IF(O157=1,"YES",IF(O157=3,"NA","")))</f>
        <v>TBD</v>
      </c>
      <c r="K155" s="72"/>
      <c r="L155" s="152" t="str">
        <f>IF(O157=2,"NO","")</f>
        <v/>
      </c>
      <c r="M155" s="73"/>
      <c r="O155" s="33"/>
      <c r="Y155" s="35"/>
    </row>
    <row r="156" spans="1:25" ht="14.1" customHeight="1" thickBot="1">
      <c r="A156" s="20">
        <v>12</v>
      </c>
      <c r="B156" s="71"/>
      <c r="C156" s="349">
        <v>2</v>
      </c>
      <c r="D156" s="320" t="str">
        <f t="shared" si="17"/>
        <v/>
      </c>
      <c r="E156" s="350" t="str">
        <f t="shared" si="17"/>
        <v/>
      </c>
      <c r="F156" s="72"/>
      <c r="G156" s="72"/>
      <c r="H156" s="72"/>
      <c r="I156" s="166" t="s">
        <v>215</v>
      </c>
      <c r="J156" s="389" t="str">
        <f>IF(S156="","TBD",S156)</f>
        <v>TBD</v>
      </c>
      <c r="K156" s="72"/>
      <c r="L156" s="72"/>
      <c r="M156" s="73"/>
      <c r="O156" s="100"/>
      <c r="P156" s="24" t="s">
        <v>214</v>
      </c>
      <c r="S156" s="144" t="str">
        <f>IF(R147="","",IF(OR(R147&gt;0.5,R148&gt;0.5,R149&gt;0.5,R150&gt;0.5,R151&gt;0.5,R152&gt;0.5,R153&gt;0.5,R154&gt;0.5),"Fail","Pass"))</f>
        <v/>
      </c>
      <c r="T156" s="39" t="s">
        <v>215</v>
      </c>
      <c r="Y156" s="35"/>
    </row>
    <row r="157" spans="1:25" ht="14.1" customHeight="1">
      <c r="A157" s="20">
        <v>13</v>
      </c>
      <c r="B157" s="71"/>
      <c r="C157" s="349">
        <v>4</v>
      </c>
      <c r="D157" s="320" t="str">
        <f t="shared" si="17"/>
        <v/>
      </c>
      <c r="E157" s="350" t="str">
        <f t="shared" si="17"/>
        <v/>
      </c>
      <c r="F157" s="72"/>
      <c r="G157" s="72"/>
      <c r="H157" s="72"/>
      <c r="I157" s="166" t="s">
        <v>210</v>
      </c>
      <c r="J157" s="145" t="str">
        <f>IF(T149="","",T149)</f>
        <v/>
      </c>
      <c r="K157" s="72"/>
      <c r="L157" s="72"/>
      <c r="M157" s="73"/>
      <c r="O157" s="100"/>
      <c r="P157" s="24" t="s">
        <v>216</v>
      </c>
      <c r="Y157" s="35"/>
    </row>
    <row r="158" spans="1:25" ht="14.1" customHeight="1">
      <c r="A158" s="20">
        <v>14</v>
      </c>
      <c r="B158" s="71"/>
      <c r="C158" s="349">
        <v>4</v>
      </c>
      <c r="D158" s="320" t="str">
        <f t="shared" si="17"/>
        <v/>
      </c>
      <c r="E158" s="350" t="str">
        <f t="shared" si="17"/>
        <v/>
      </c>
      <c r="F158" s="72"/>
      <c r="G158" s="72"/>
      <c r="H158" s="72"/>
      <c r="I158" s="166" t="s">
        <v>211</v>
      </c>
      <c r="J158" s="146" t="str">
        <f>IF(T150="","",T150)</f>
        <v/>
      </c>
      <c r="K158" s="72"/>
      <c r="L158" s="72"/>
      <c r="M158" s="73"/>
      <c r="O158" s="33"/>
      <c r="Y158" s="35"/>
    </row>
    <row r="159" spans="1:25" ht="14.1" customHeight="1">
      <c r="A159" s="20">
        <v>15</v>
      </c>
      <c r="B159" s="71"/>
      <c r="C159" s="349">
        <v>4</v>
      </c>
      <c r="D159" s="320" t="str">
        <f t="shared" si="17"/>
        <v/>
      </c>
      <c r="E159" s="350" t="str">
        <f t="shared" si="17"/>
        <v/>
      </c>
      <c r="F159" s="72"/>
      <c r="G159" s="72"/>
      <c r="H159" s="72"/>
      <c r="I159" s="72"/>
      <c r="J159" s="72"/>
      <c r="K159" s="72"/>
      <c r="L159" s="72"/>
      <c r="M159" s="73"/>
      <c r="O159" s="143" t="s">
        <v>217</v>
      </c>
      <c r="Y159" s="35"/>
    </row>
    <row r="160" spans="1:25" ht="14.1" customHeight="1">
      <c r="A160" s="20">
        <v>16</v>
      </c>
      <c r="B160" s="71"/>
      <c r="C160" s="349">
        <v>4</v>
      </c>
      <c r="D160" s="320" t="str">
        <f t="shared" si="17"/>
        <v/>
      </c>
      <c r="E160" s="350" t="str">
        <f t="shared" si="17"/>
        <v/>
      </c>
      <c r="F160" s="5" t="s">
        <v>204</v>
      </c>
      <c r="G160" s="105" t="s">
        <v>212</v>
      </c>
      <c r="H160" s="72"/>
      <c r="I160" s="72"/>
      <c r="J160" s="72"/>
      <c r="K160" s="72"/>
      <c r="L160" s="72"/>
      <c r="M160" s="73"/>
      <c r="O160" s="33"/>
      <c r="P160" s="38" t="s">
        <v>51</v>
      </c>
      <c r="Q160" s="19" t="s">
        <v>32</v>
      </c>
      <c r="R160" s="19" t="s">
        <v>32</v>
      </c>
      <c r="S160" s="19" t="s">
        <v>52</v>
      </c>
      <c r="T160" s="147"/>
      <c r="Y160" s="35"/>
    </row>
    <row r="161" spans="1:25" ht="14.1" customHeight="1">
      <c r="A161" s="20">
        <v>17</v>
      </c>
      <c r="B161" s="71"/>
      <c r="C161" s="349">
        <v>6</v>
      </c>
      <c r="D161" s="320" t="str">
        <f t="shared" si="17"/>
        <v/>
      </c>
      <c r="E161" s="350" t="str">
        <f t="shared" si="17"/>
        <v/>
      </c>
      <c r="F161" s="150"/>
      <c r="G161" s="105" t="s">
        <v>213</v>
      </c>
      <c r="H161" s="72"/>
      <c r="I161" s="72"/>
      <c r="J161" s="72"/>
      <c r="K161" s="72"/>
      <c r="L161" s="72"/>
      <c r="M161" s="73"/>
      <c r="O161" s="33"/>
      <c r="P161" s="38" t="s">
        <v>54</v>
      </c>
      <c r="Q161" s="19" t="s">
        <v>32</v>
      </c>
      <c r="R161" s="19" t="s">
        <v>55</v>
      </c>
      <c r="S161" s="19" t="s">
        <v>55</v>
      </c>
      <c r="T161" s="147"/>
      <c r="Y161" s="35"/>
    </row>
    <row r="162" spans="1:25" ht="14.1" customHeight="1" thickBot="1">
      <c r="A162" s="20">
        <v>18</v>
      </c>
      <c r="B162" s="71"/>
      <c r="C162" s="399">
        <v>8</v>
      </c>
      <c r="D162" s="363" t="str">
        <f t="shared" si="17"/>
        <v/>
      </c>
      <c r="E162" s="400" t="str">
        <f t="shared" si="17"/>
        <v/>
      </c>
      <c r="F162" s="72"/>
      <c r="G162" s="72"/>
      <c r="H162" s="72"/>
      <c r="I162" s="72"/>
      <c r="J162" s="72"/>
      <c r="K162" s="72"/>
      <c r="L162" s="72"/>
      <c r="M162" s="73"/>
      <c r="O162" s="33"/>
      <c r="P162" s="38" t="s">
        <v>173</v>
      </c>
      <c r="Q162" s="149"/>
      <c r="R162" s="149"/>
      <c r="S162" s="149"/>
      <c r="T162" s="147"/>
      <c r="Y162" s="35"/>
    </row>
    <row r="163" spans="1:25" ht="14.1" customHeight="1" thickBot="1">
      <c r="A163" s="20">
        <v>19</v>
      </c>
      <c r="B163" s="163"/>
      <c r="C163" s="44"/>
      <c r="D163" s="44"/>
      <c r="E163" s="44"/>
      <c r="F163" s="44"/>
      <c r="G163" s="44"/>
      <c r="H163" s="44"/>
      <c r="I163" s="44"/>
      <c r="J163" s="44"/>
      <c r="K163" s="44"/>
      <c r="L163" s="44"/>
      <c r="M163" s="164"/>
      <c r="O163" s="33"/>
      <c r="P163" s="38" t="s">
        <v>219</v>
      </c>
      <c r="Q163" s="149"/>
      <c r="R163" s="149"/>
      <c r="S163" s="149"/>
      <c r="T163" s="147"/>
      <c r="Y163" s="35"/>
    </row>
    <row r="164" spans="1:25" ht="14.1" customHeight="1" thickBot="1">
      <c r="A164" s="20">
        <v>20</v>
      </c>
      <c r="B164" s="71"/>
      <c r="C164" s="150" t="s">
        <v>217</v>
      </c>
      <c r="D164" s="72"/>
      <c r="E164" s="72"/>
      <c r="F164" s="72"/>
      <c r="G164" s="72"/>
      <c r="H164" s="72"/>
      <c r="I164" s="72"/>
      <c r="J164" s="72"/>
      <c r="K164" s="72"/>
      <c r="L164" s="72"/>
      <c r="M164" s="73"/>
      <c r="O164" s="33"/>
      <c r="P164" s="38" t="s">
        <v>220</v>
      </c>
      <c r="Q164" s="149"/>
      <c r="R164" s="149"/>
      <c r="S164" s="149"/>
      <c r="T164" s="147"/>
      <c r="Y164" s="35"/>
    </row>
    <row r="165" spans="1:25" ht="14.1" customHeight="1">
      <c r="A165" s="20">
        <v>21</v>
      </c>
      <c r="B165" s="71"/>
      <c r="C165" s="166" t="s">
        <v>51</v>
      </c>
      <c r="D165" s="390" t="str">
        <f t="shared" ref="D165:F167" si="18">IF(Q160="","",Q160)</f>
        <v>Mo</v>
      </c>
      <c r="E165" s="391" t="str">
        <f t="shared" si="18"/>
        <v>Mo</v>
      </c>
      <c r="F165" s="392" t="str">
        <f t="shared" si="18"/>
        <v>W</v>
      </c>
      <c r="G165" s="72"/>
      <c r="H165" s="601" t="str">
        <f>IF(T160="","",T160)</f>
        <v/>
      </c>
      <c r="I165" s="72"/>
      <c r="J165" s="72"/>
      <c r="K165" s="72"/>
      <c r="L165" s="72"/>
      <c r="M165" s="73"/>
      <c r="O165" s="33"/>
      <c r="P165" s="38" t="s">
        <v>218</v>
      </c>
      <c r="Q165" s="149"/>
      <c r="R165" s="149"/>
      <c r="S165" s="149"/>
      <c r="T165" s="147"/>
      <c r="Y165" s="35"/>
    </row>
    <row r="166" spans="1:25" ht="14.1" customHeight="1">
      <c r="A166" s="20">
        <v>22</v>
      </c>
      <c r="B166" s="71"/>
      <c r="C166" s="166" t="s">
        <v>54</v>
      </c>
      <c r="D166" s="393" t="str">
        <f t="shared" si="18"/>
        <v>Mo</v>
      </c>
      <c r="E166" s="19" t="str">
        <f t="shared" si="18"/>
        <v>Rh</v>
      </c>
      <c r="F166" s="394" t="str">
        <f t="shared" si="18"/>
        <v>Rh</v>
      </c>
      <c r="G166" s="72"/>
      <c r="H166" s="601" t="str">
        <f>IF(T160="","",T160)</f>
        <v/>
      </c>
      <c r="I166" s="72"/>
      <c r="J166" s="72"/>
      <c r="K166" s="72"/>
      <c r="L166" s="72"/>
      <c r="M166" s="73"/>
      <c r="O166" s="33"/>
      <c r="P166" s="5" t="s">
        <v>204</v>
      </c>
      <c r="Q166" s="12" t="s">
        <v>221</v>
      </c>
      <c r="R166" s="6"/>
      <c r="S166" s="6"/>
      <c r="T166" s="151"/>
      <c r="Y166" s="35"/>
    </row>
    <row r="167" spans="1:25" ht="14.1" customHeight="1">
      <c r="A167" s="20">
        <v>23</v>
      </c>
      <c r="B167" s="71"/>
      <c r="C167" s="166" t="s">
        <v>239</v>
      </c>
      <c r="D167" s="393" t="str">
        <f t="shared" si="18"/>
        <v/>
      </c>
      <c r="E167" s="19" t="str">
        <f t="shared" si="18"/>
        <v/>
      </c>
      <c r="F167" s="394" t="str">
        <f t="shared" si="18"/>
        <v/>
      </c>
      <c r="G167" s="72"/>
      <c r="H167" s="601" t="str">
        <f>IF(T161="","",T161)</f>
        <v/>
      </c>
      <c r="I167" s="72"/>
      <c r="J167" s="72"/>
      <c r="K167" s="72"/>
      <c r="L167" s="72"/>
      <c r="M167" s="73"/>
      <c r="O167" s="33"/>
      <c r="P167" s="6"/>
      <c r="Q167" s="6"/>
      <c r="R167" s="6"/>
      <c r="S167" s="6"/>
      <c r="T167" s="6"/>
      <c r="Y167" s="35"/>
    </row>
    <row r="168" spans="1:25" ht="14.1" customHeight="1">
      <c r="A168" s="20">
        <v>24</v>
      </c>
      <c r="B168" s="71"/>
      <c r="C168" s="166" t="s">
        <v>173</v>
      </c>
      <c r="D168" s="393" t="str">
        <f t="shared" ref="D168:F171" si="19">IF(Q162="","",Q162)</f>
        <v/>
      </c>
      <c r="E168" s="19" t="str">
        <f t="shared" si="19"/>
        <v/>
      </c>
      <c r="F168" s="394" t="str">
        <f t="shared" si="19"/>
        <v/>
      </c>
      <c r="G168" s="72"/>
      <c r="H168" s="601" t="str">
        <f>IF(T162="","",T162)</f>
        <v/>
      </c>
      <c r="I168" s="72"/>
      <c r="J168" s="72"/>
      <c r="K168" s="72"/>
      <c r="L168" s="72"/>
      <c r="M168" s="73"/>
      <c r="O168" s="33"/>
      <c r="P168" s="113" t="s">
        <v>224</v>
      </c>
      <c r="Q168" s="153" t="str">
        <f>IF(Q170&lt;&gt;"",Q170,IF(AB190="","",AB190))</f>
        <v/>
      </c>
      <c r="R168" s="154"/>
      <c r="S168" s="154"/>
      <c r="T168" s="154"/>
      <c r="U168" s="154"/>
      <c r="V168" s="154"/>
      <c r="W168" s="154"/>
      <c r="X168" s="154"/>
      <c r="Y168" s="35"/>
    </row>
    <row r="169" spans="1:25" ht="14.1" customHeight="1">
      <c r="A169" s="20">
        <v>25</v>
      </c>
      <c r="B169" s="71"/>
      <c r="C169" s="166" t="s">
        <v>219</v>
      </c>
      <c r="D169" s="393" t="str">
        <f t="shared" si="19"/>
        <v/>
      </c>
      <c r="E169" s="19" t="str">
        <f t="shared" si="19"/>
        <v/>
      </c>
      <c r="F169" s="394" t="str">
        <f t="shared" si="19"/>
        <v/>
      </c>
      <c r="G169" s="72"/>
      <c r="H169" s="601" t="str">
        <f>IF(T162="","",T162)</f>
        <v/>
      </c>
      <c r="I169" s="72"/>
      <c r="J169" s="72"/>
      <c r="K169" s="72"/>
      <c r="L169" s="72"/>
      <c r="M169" s="73"/>
      <c r="O169" s="33"/>
      <c r="P169" s="155" t="s">
        <v>225</v>
      </c>
      <c r="Q169" s="156"/>
      <c r="R169" s="157"/>
      <c r="S169" s="157"/>
      <c r="T169" s="157"/>
      <c r="U169" s="157"/>
      <c r="V169" s="157"/>
      <c r="W169" s="157"/>
      <c r="X169" s="157"/>
      <c r="Y169" s="35"/>
    </row>
    <row r="170" spans="1:25" ht="14.1" customHeight="1">
      <c r="A170" s="20">
        <v>26</v>
      </c>
      <c r="B170" s="71"/>
      <c r="C170" s="166" t="s">
        <v>220</v>
      </c>
      <c r="D170" s="393" t="str">
        <f t="shared" si="19"/>
        <v/>
      </c>
      <c r="E170" s="19" t="str">
        <f t="shared" si="19"/>
        <v/>
      </c>
      <c r="F170" s="394" t="str">
        <f t="shared" si="19"/>
        <v/>
      </c>
      <c r="G170" s="72"/>
      <c r="H170" s="601" t="str">
        <f>IF(T163="","",T163)</f>
        <v/>
      </c>
      <c r="I170" s="72"/>
      <c r="J170" s="72"/>
      <c r="K170" s="72"/>
      <c r="L170" s="72"/>
      <c r="M170" s="73"/>
      <c r="O170" s="33"/>
      <c r="P170" s="113" t="s">
        <v>226</v>
      </c>
      <c r="Q170" s="158"/>
      <c r="R170" s="157"/>
      <c r="S170" s="157"/>
      <c r="T170" s="157"/>
      <c r="U170" s="157"/>
      <c r="V170" s="157"/>
      <c r="W170" s="157"/>
      <c r="X170" s="157"/>
      <c r="Y170" s="35"/>
    </row>
    <row r="171" spans="1:25" ht="14.1" customHeight="1" thickBot="1">
      <c r="A171" s="20">
        <v>27</v>
      </c>
      <c r="B171" s="71"/>
      <c r="C171" s="166" t="s">
        <v>218</v>
      </c>
      <c r="D171" s="395" t="str">
        <f t="shared" si="19"/>
        <v/>
      </c>
      <c r="E171" s="396" t="str">
        <f t="shared" si="19"/>
        <v/>
      </c>
      <c r="F171" s="397" t="str">
        <f t="shared" si="19"/>
        <v/>
      </c>
      <c r="G171" s="72"/>
      <c r="H171" s="601" t="str">
        <f>IF(T164="","",T164)</f>
        <v/>
      </c>
      <c r="I171" s="72"/>
      <c r="J171" s="72"/>
      <c r="K171" s="72"/>
      <c r="L171" s="72"/>
      <c r="M171" s="73"/>
      <c r="O171" s="43"/>
      <c r="P171" s="44"/>
      <c r="Q171" s="44"/>
      <c r="R171" s="44"/>
      <c r="S171" s="44"/>
      <c r="T171" s="44"/>
      <c r="U171" s="44"/>
      <c r="V171" s="44"/>
      <c r="W171" s="44"/>
      <c r="X171" s="44"/>
      <c r="Y171" s="45"/>
    </row>
    <row r="172" spans="1:25" ht="14.1" customHeight="1">
      <c r="A172" s="20">
        <v>28</v>
      </c>
      <c r="B172" s="71"/>
      <c r="C172" s="72"/>
      <c r="D172" s="72"/>
      <c r="E172" s="72"/>
      <c r="F172" s="72"/>
      <c r="G172" s="72"/>
      <c r="H172" s="601" t="str">
        <f>IF(T165="","",T165)</f>
        <v/>
      </c>
      <c r="I172" s="72"/>
      <c r="J172" s="72"/>
      <c r="K172" s="72"/>
      <c r="L172" s="72"/>
      <c r="M172" s="73"/>
      <c r="O172" s="143" t="s">
        <v>227</v>
      </c>
      <c r="R172" s="141"/>
      <c r="S172" s="79" t="s">
        <v>75</v>
      </c>
      <c r="Y172" s="35"/>
    </row>
    <row r="173" spans="1:25" ht="14.1" customHeight="1">
      <c r="A173" s="20">
        <v>29</v>
      </c>
      <c r="B173" s="71"/>
      <c r="C173" s="5" t="s">
        <v>204</v>
      </c>
      <c r="D173" s="12" t="s">
        <v>221</v>
      </c>
      <c r="E173" s="72"/>
      <c r="F173" s="72"/>
      <c r="G173" s="72"/>
      <c r="H173" s="72"/>
      <c r="I173" s="72"/>
      <c r="J173" s="72"/>
      <c r="K173" s="72"/>
      <c r="L173" s="72"/>
      <c r="M173" s="73"/>
      <c r="O173" s="33"/>
      <c r="P173" s="783" t="s">
        <v>228</v>
      </c>
      <c r="Q173" s="783"/>
      <c r="R173" s="783"/>
      <c r="S173" s="783"/>
      <c r="U173" s="601" t="s">
        <v>229</v>
      </c>
      <c r="V173" s="601"/>
      <c r="Y173" s="35"/>
    </row>
    <row r="174" spans="1:25" ht="14.1" customHeight="1">
      <c r="A174" s="20">
        <v>30</v>
      </c>
      <c r="B174" s="71"/>
      <c r="C174" s="72"/>
      <c r="D174" s="507" t="str">
        <f>P168</f>
        <v>Comments:</v>
      </c>
      <c r="E174" s="115" t="str">
        <f>IF(Q168="","",IF(LEN(Q168)&lt;=135,Q168,IF(LEN(Q168)&lt;=260,LEFT(Q168,SEARCH(" ",Q168,125)),LEFT(Q168,SEARCH(" ",Q168,130)))))</f>
        <v/>
      </c>
      <c r="F174" s="114"/>
      <c r="G174" s="114"/>
      <c r="H174" s="114"/>
      <c r="I174" s="114"/>
      <c r="J174" s="114"/>
      <c r="K174" s="114"/>
      <c r="L174" s="114"/>
      <c r="M174" s="173"/>
      <c r="O174" s="33"/>
      <c r="P174" s="159" t="s">
        <v>230</v>
      </c>
      <c r="Q174" s="159" t="s">
        <v>231</v>
      </c>
      <c r="R174" s="159" t="s">
        <v>232</v>
      </c>
      <c r="S174" s="160" t="s">
        <v>233</v>
      </c>
      <c r="U174" s="324" t="s">
        <v>234</v>
      </c>
      <c r="V174" s="601"/>
      <c r="Y174" s="35"/>
    </row>
    <row r="175" spans="1:25" ht="14.1" customHeight="1">
      <c r="A175" s="20">
        <v>31</v>
      </c>
      <c r="B175" s="71"/>
      <c r="C175" s="72"/>
      <c r="D175" s="197"/>
      <c r="E175" s="177" t="str">
        <f>IF(LEN(Q168)&lt;=135,"",IF(LEN(Q168)&lt;=260,RIGHT(Q168,LEN(Q168)-SEARCH(" ",Q168,125)),MID(Q168,SEARCH(" ",Q168,130),IF(LEN(Q168)&lt;=265,LEN(Q168),SEARCH(" ",Q168,255)-SEARCH(" ",Q168,130)))))</f>
        <v/>
      </c>
      <c r="F175" s="178"/>
      <c r="G175" s="178"/>
      <c r="H175" s="178"/>
      <c r="I175" s="178"/>
      <c r="J175" s="178"/>
      <c r="K175" s="178"/>
      <c r="L175" s="178"/>
      <c r="M175" s="179"/>
      <c r="O175" s="33"/>
      <c r="P175" s="161"/>
      <c r="Q175" s="161"/>
      <c r="R175" s="161"/>
      <c r="S175" s="162"/>
      <c r="U175" s="323" t="str">
        <f>IF(OR(R172=2,R172=3),"NA",IF(OR(P175="",Q175="",R175="",S175=""),"TBD",AVERAGE(P175:S175)))</f>
        <v>TBD</v>
      </c>
      <c r="V175" s="322"/>
      <c r="Y175" s="35"/>
    </row>
    <row r="176" spans="1:25" ht="14.1" customHeight="1">
      <c r="A176" s="20">
        <v>32</v>
      </c>
      <c r="B176" s="71"/>
      <c r="C176" s="72"/>
      <c r="D176" s="197"/>
      <c r="E176" s="177" t="str">
        <f>IF(LEN(Q168)&lt;=265,"",RIGHT(Q168,LEN(Q168)-SEARCH(" ",Q168,255)))</f>
        <v/>
      </c>
      <c r="F176" s="178"/>
      <c r="G176" s="178"/>
      <c r="H176" s="178"/>
      <c r="I176" s="178"/>
      <c r="J176" s="178"/>
      <c r="K176" s="178"/>
      <c r="L176" s="178"/>
      <c r="M176" s="179"/>
      <c r="O176" s="33"/>
      <c r="P176" s="117" t="s">
        <v>204</v>
      </c>
      <c r="Q176" s="142" t="s">
        <v>235</v>
      </c>
      <c r="Y176" s="35"/>
    </row>
    <row r="177" spans="1:25" ht="14.1" customHeight="1" thickBot="1">
      <c r="A177" s="20">
        <v>33</v>
      </c>
      <c r="B177" s="163"/>
      <c r="C177" s="44"/>
      <c r="D177" s="44"/>
      <c r="E177" s="44"/>
      <c r="F177" s="44"/>
      <c r="G177" s="44"/>
      <c r="H177" s="44"/>
      <c r="I177" s="44"/>
      <c r="J177" s="44"/>
      <c r="K177" s="44"/>
      <c r="L177" s="44"/>
      <c r="M177" s="164"/>
      <c r="O177" s="33"/>
      <c r="P177" s="6"/>
      <c r="Q177" s="6"/>
      <c r="R177" s="6"/>
      <c r="S177" s="6"/>
      <c r="T177" s="6"/>
      <c r="U177" s="6"/>
      <c r="V177" s="6"/>
      <c r="W177" s="6"/>
      <c r="Y177" s="35"/>
    </row>
    <row r="178" spans="1:25" ht="14.1" customHeight="1">
      <c r="A178" s="20">
        <v>34</v>
      </c>
      <c r="B178" s="71"/>
      <c r="C178" s="150" t="s">
        <v>227</v>
      </c>
      <c r="D178" s="72"/>
      <c r="E178" s="72"/>
      <c r="F178" s="72"/>
      <c r="G178" s="72"/>
      <c r="H178" s="72"/>
      <c r="I178" s="72"/>
      <c r="J178" s="72"/>
      <c r="K178" s="72"/>
      <c r="L178" s="72"/>
      <c r="M178" s="73"/>
      <c r="O178" s="143" t="s">
        <v>236</v>
      </c>
      <c r="Y178" s="35"/>
    </row>
    <row r="179" spans="1:25" ht="14.1" customHeight="1">
      <c r="A179" s="20">
        <v>35</v>
      </c>
      <c r="B179" s="71"/>
      <c r="C179" s="72"/>
      <c r="D179" s="783" t="s">
        <v>228</v>
      </c>
      <c r="E179" s="783"/>
      <c r="F179" s="783"/>
      <c r="G179" s="783"/>
      <c r="H179" s="72"/>
      <c r="I179" s="601" t="s">
        <v>229</v>
      </c>
      <c r="J179" s="601"/>
      <c r="K179" s="72"/>
      <c r="L179" s="72"/>
      <c r="M179" s="73"/>
      <c r="O179" s="165"/>
      <c r="P179" s="166" t="s">
        <v>95</v>
      </c>
      <c r="Q179" s="141" t="s">
        <v>237</v>
      </c>
      <c r="T179" s="166" t="s">
        <v>95</v>
      </c>
      <c r="U179" s="141" t="s">
        <v>238</v>
      </c>
      <c r="V179" s="6"/>
      <c r="X179" s="6"/>
      <c r="Y179" s="35"/>
    </row>
    <row r="180" spans="1:25" ht="14.1" customHeight="1">
      <c r="A180" s="20">
        <v>36</v>
      </c>
      <c r="B180" s="71"/>
      <c r="C180" s="72"/>
      <c r="D180" s="159" t="s">
        <v>230</v>
      </c>
      <c r="E180" s="159" t="s">
        <v>231</v>
      </c>
      <c r="F180" s="159" t="s">
        <v>232</v>
      </c>
      <c r="G180" s="160" t="s">
        <v>233</v>
      </c>
      <c r="H180" s="72"/>
      <c r="I180" s="319" t="s">
        <v>234</v>
      </c>
      <c r="J180" s="147"/>
      <c r="K180" s="72"/>
      <c r="L180" s="72"/>
      <c r="M180" s="73"/>
      <c r="O180" s="165"/>
      <c r="P180" s="166" t="s">
        <v>173</v>
      </c>
      <c r="Q180" s="141">
        <v>28</v>
      </c>
      <c r="R180" s="6"/>
      <c r="S180" s="6"/>
      <c r="T180" s="166" t="s">
        <v>173</v>
      </c>
      <c r="U180" s="141">
        <v>32</v>
      </c>
      <c r="V180" s="6"/>
      <c r="W180" s="6"/>
      <c r="X180" s="6"/>
      <c r="Y180" s="35"/>
    </row>
    <row r="181" spans="1:25" ht="14.1" customHeight="1">
      <c r="A181" s="20">
        <v>37</v>
      </c>
      <c r="B181" s="71"/>
      <c r="C181" s="72"/>
      <c r="D181" s="182" t="str">
        <f>IF(P175="","",P175)</f>
        <v/>
      </c>
      <c r="E181" s="182" t="str">
        <f>IF(Q175="","",Q175)</f>
        <v/>
      </c>
      <c r="F181" s="182" t="str">
        <f>IF(R175="","",R175)</f>
        <v/>
      </c>
      <c r="G181" s="183" t="str">
        <f>IF(S175="","",S175)</f>
        <v/>
      </c>
      <c r="H181" s="72"/>
      <c r="I181" s="184" t="str">
        <f>IF(U175="","",U175)</f>
        <v>TBD</v>
      </c>
      <c r="J181" s="382"/>
      <c r="K181" s="72"/>
      <c r="L181" s="72"/>
      <c r="M181" s="73"/>
      <c r="O181" s="165"/>
      <c r="P181" s="166" t="s">
        <v>219</v>
      </c>
      <c r="Q181" s="141">
        <v>50</v>
      </c>
      <c r="R181" s="6"/>
      <c r="S181" s="6"/>
      <c r="T181" s="166" t="s">
        <v>219</v>
      </c>
      <c r="U181" s="141">
        <v>71</v>
      </c>
      <c r="V181" s="6"/>
      <c r="W181" s="6"/>
      <c r="X181" s="6"/>
      <c r="Y181" s="35"/>
    </row>
    <row r="182" spans="1:25" ht="14.1" customHeight="1">
      <c r="A182" s="20">
        <v>38</v>
      </c>
      <c r="B182" s="71"/>
      <c r="C182" s="72"/>
      <c r="D182" s="5" t="s">
        <v>204</v>
      </c>
      <c r="E182" s="105" t="s">
        <v>253</v>
      </c>
      <c r="F182" s="72"/>
      <c r="G182" s="72"/>
      <c r="H182" s="72"/>
      <c r="I182" s="72"/>
      <c r="J182" s="72"/>
      <c r="K182" s="72"/>
      <c r="L182" s="72"/>
      <c r="M182" s="73"/>
      <c r="O182" s="33"/>
      <c r="P182" s="72"/>
      <c r="Q182" s="784" t="s">
        <v>240</v>
      </c>
      <c r="R182" s="784"/>
      <c r="S182" s="784"/>
      <c r="T182" s="6"/>
      <c r="U182" s="784" t="s">
        <v>240</v>
      </c>
      <c r="V182" s="784"/>
      <c r="W182" s="784"/>
      <c r="X182" s="6"/>
      <c r="Y182" s="35"/>
    </row>
    <row r="183" spans="1:25" ht="14.1" customHeight="1" thickBot="1">
      <c r="A183" s="20">
        <v>39</v>
      </c>
      <c r="B183" s="163"/>
      <c r="C183" s="44"/>
      <c r="D183" s="44"/>
      <c r="E183" s="44"/>
      <c r="F183" s="44"/>
      <c r="G183" s="44"/>
      <c r="H183" s="44"/>
      <c r="I183" s="44"/>
      <c r="J183" s="44"/>
      <c r="K183" s="44"/>
      <c r="L183" s="44"/>
      <c r="M183" s="164"/>
      <c r="O183" s="33"/>
      <c r="P183" s="72"/>
      <c r="Q183" s="602" t="s">
        <v>241</v>
      </c>
      <c r="R183" s="602" t="s">
        <v>242</v>
      </c>
      <c r="S183" s="111" t="s">
        <v>243</v>
      </c>
      <c r="T183" s="6"/>
      <c r="U183" s="602" t="s">
        <v>241</v>
      </c>
      <c r="V183" s="602" t="s">
        <v>242</v>
      </c>
      <c r="W183" s="111" t="s">
        <v>243</v>
      </c>
      <c r="X183" s="6"/>
      <c r="Y183" s="35"/>
    </row>
    <row r="184" spans="1:25" ht="14.1" customHeight="1">
      <c r="A184" s="20">
        <v>40</v>
      </c>
      <c r="B184" s="508"/>
      <c r="C184" s="67" t="s">
        <v>236</v>
      </c>
      <c r="D184" s="26"/>
      <c r="E184" s="26"/>
      <c r="F184" s="26"/>
      <c r="G184" s="67"/>
      <c r="H184" s="67" t="s">
        <v>252</v>
      </c>
      <c r="I184" s="26"/>
      <c r="J184" s="26"/>
      <c r="K184" s="26"/>
      <c r="L184" s="26"/>
      <c r="M184" s="486"/>
      <c r="O184" s="165"/>
      <c r="P184" s="166" t="s">
        <v>244</v>
      </c>
      <c r="Q184" s="167"/>
      <c r="R184" s="168"/>
      <c r="S184" s="169"/>
      <c r="T184" s="6"/>
      <c r="U184" s="167"/>
      <c r="V184" s="168"/>
      <c r="W184" s="169"/>
      <c r="X184" s="6"/>
      <c r="Y184" s="35"/>
    </row>
    <row r="185" spans="1:25" ht="14.1" customHeight="1" thickBot="1">
      <c r="A185" s="20">
        <v>41</v>
      </c>
      <c r="B185" s="71"/>
      <c r="C185" s="166" t="s">
        <v>95</v>
      </c>
      <c r="D185" s="111" t="str">
        <f>IF(Q179="","",Q179)</f>
        <v>Mo/Mo</v>
      </c>
      <c r="E185" s="72"/>
      <c r="F185" s="72"/>
      <c r="G185" s="72"/>
      <c r="H185" s="166" t="s">
        <v>95</v>
      </c>
      <c r="I185" s="111" t="str">
        <f>IF(Q194="","",Q194)</f>
        <v>Mo/Mo</v>
      </c>
      <c r="J185" s="72"/>
      <c r="K185" s="166" t="s">
        <v>95</v>
      </c>
      <c r="L185" s="111" t="str">
        <f>IF(U194="","",U194)</f>
        <v>W/Rh</v>
      </c>
      <c r="M185" s="73"/>
      <c r="O185" s="165"/>
      <c r="P185" s="166" t="s">
        <v>245</v>
      </c>
      <c r="Q185" s="170"/>
      <c r="R185" s="171"/>
      <c r="S185" s="172"/>
      <c r="T185" s="6"/>
      <c r="U185" s="170"/>
      <c r="V185" s="171"/>
      <c r="W185" s="172"/>
      <c r="X185" s="6"/>
      <c r="Y185" s="35"/>
    </row>
    <row r="186" spans="1:25" ht="14.1" customHeight="1">
      <c r="A186" s="20">
        <v>42</v>
      </c>
      <c r="B186" s="71"/>
      <c r="C186" s="111"/>
      <c r="D186" s="795" t="s">
        <v>240</v>
      </c>
      <c r="E186" s="796"/>
      <c r="F186" s="797"/>
      <c r="G186" s="166"/>
      <c r="H186" s="795" t="s">
        <v>240</v>
      </c>
      <c r="I186" s="796"/>
      <c r="J186" s="797"/>
      <c r="K186" s="795" t="s">
        <v>240</v>
      </c>
      <c r="L186" s="796"/>
      <c r="M186" s="798"/>
      <c r="O186" s="165"/>
      <c r="P186" s="166" t="s">
        <v>246</v>
      </c>
      <c r="Q186" s="170"/>
      <c r="R186" s="171"/>
      <c r="S186" s="172"/>
      <c r="T186" s="6"/>
      <c r="U186" s="170"/>
      <c r="V186" s="171"/>
      <c r="W186" s="172"/>
      <c r="X186" s="6"/>
      <c r="Y186" s="35"/>
    </row>
    <row r="187" spans="1:25" ht="14.1" customHeight="1" thickBot="1">
      <c r="A187" s="20">
        <v>43</v>
      </c>
      <c r="B187" s="71"/>
      <c r="C187" s="343"/>
      <c r="D187" s="349" t="s">
        <v>241</v>
      </c>
      <c r="E187" s="304" t="s">
        <v>242</v>
      </c>
      <c r="F187" s="350" t="s">
        <v>243</v>
      </c>
      <c r="G187" s="111"/>
      <c r="H187" s="349" t="s">
        <v>241</v>
      </c>
      <c r="I187" s="304" t="s">
        <v>242</v>
      </c>
      <c r="J187" s="350" t="s">
        <v>243</v>
      </c>
      <c r="K187" s="349" t="s">
        <v>241</v>
      </c>
      <c r="L187" s="304" t="s">
        <v>242</v>
      </c>
      <c r="M187" s="509" t="s">
        <v>243</v>
      </c>
      <c r="O187" s="165"/>
      <c r="P187" s="166" t="s">
        <v>247</v>
      </c>
      <c r="Q187" s="174"/>
      <c r="R187" s="175"/>
      <c r="S187" s="176"/>
      <c r="T187" s="6"/>
      <c r="U187" s="174"/>
      <c r="V187" s="175"/>
      <c r="W187" s="176"/>
      <c r="Y187" s="35"/>
    </row>
    <row r="188" spans="1:25" ht="14.1" customHeight="1">
      <c r="A188" s="20">
        <v>44</v>
      </c>
      <c r="B188" s="71"/>
      <c r="C188" s="166" t="s">
        <v>244</v>
      </c>
      <c r="D188" s="360" t="str">
        <f>IF(Q184="","",Q184)</f>
        <v/>
      </c>
      <c r="E188" s="320" t="str">
        <f t="shared" ref="E188:F188" si="20">IF(R184="","",R184)</f>
        <v/>
      </c>
      <c r="F188" s="361" t="str">
        <f t="shared" si="20"/>
        <v/>
      </c>
      <c r="G188" s="359" t="s">
        <v>244</v>
      </c>
      <c r="H188" s="351" t="str">
        <f>IF(Q199="","",Q199)</f>
        <v/>
      </c>
      <c r="I188" s="347" t="str">
        <f t="shared" ref="I188:J195" si="21">IF(R199="","",R199)</f>
        <v/>
      </c>
      <c r="J188" s="352" t="str">
        <f t="shared" si="21"/>
        <v/>
      </c>
      <c r="K188" s="356" t="str">
        <f>IF(U199="","",U199)</f>
        <v/>
      </c>
      <c r="L188" s="346" t="str">
        <f t="shared" ref="L188:M195" si="22">IF(V199="","",V199)</f>
        <v/>
      </c>
      <c r="M188" s="510" t="str">
        <f t="shared" si="22"/>
        <v/>
      </c>
      <c r="O188" s="165"/>
      <c r="P188" s="166" t="s">
        <v>248</v>
      </c>
      <c r="Q188" s="208" t="str">
        <f>IF(OR(Q184="",Q185=""),"",ABS(Q184)+ABS(Q185))</f>
        <v/>
      </c>
      <c r="R188" s="209" t="str">
        <f>IF(OR(R184="",R185=""),"",ABS(R184)+ABS(R185))</f>
        <v/>
      </c>
      <c r="S188" s="180" t="str">
        <f>IF(OR(S184="",S185=""),"",ABS(S184)+ABS(S185))</f>
        <v/>
      </c>
      <c r="U188" s="208" t="str">
        <f>IF(OR(U184="",U185=""),"",ABS(U184)+ABS(U185))</f>
        <v/>
      </c>
      <c r="V188" s="209" t="str">
        <f>IF(OR(V184="",V185=""),"",ABS(V184)+ABS(V185))</f>
        <v/>
      </c>
      <c r="W188" s="180" t="str">
        <f>IF(OR(W184="",W185=""),"",ABS(W184)+ABS(W185))</f>
        <v/>
      </c>
      <c r="Y188" s="35"/>
    </row>
    <row r="189" spans="1:25" ht="14.1" customHeight="1" thickBot="1">
      <c r="A189" s="20">
        <v>45</v>
      </c>
      <c r="B189" s="71"/>
      <c r="C189" s="166" t="s">
        <v>245</v>
      </c>
      <c r="D189" s="360" t="str">
        <f t="shared" ref="D189:F193" si="23">IF(Q185="","",Q185)</f>
        <v/>
      </c>
      <c r="E189" s="320" t="str">
        <f t="shared" si="23"/>
        <v/>
      </c>
      <c r="F189" s="361" t="str">
        <f t="shared" si="23"/>
        <v/>
      </c>
      <c r="G189" s="359" t="s">
        <v>245</v>
      </c>
      <c r="H189" s="351" t="str">
        <f t="shared" ref="H189:H195" si="24">IF(Q200="","",Q200)</f>
        <v/>
      </c>
      <c r="I189" s="347" t="str">
        <f t="shared" si="21"/>
        <v/>
      </c>
      <c r="J189" s="352" t="str">
        <f t="shared" si="21"/>
        <v/>
      </c>
      <c r="K189" s="356" t="str">
        <f t="shared" ref="K189:K195" si="25">IF(U200="","",U200)</f>
        <v/>
      </c>
      <c r="L189" s="346" t="str">
        <f t="shared" si="22"/>
        <v/>
      </c>
      <c r="M189" s="510" t="str">
        <f t="shared" si="22"/>
        <v/>
      </c>
      <c r="O189" s="165"/>
      <c r="P189" s="166" t="s">
        <v>249</v>
      </c>
      <c r="Q189" s="211" t="str">
        <f>IF(OR(Q186="",Q187=""),"",ABS(Q186)+ABS(Q187))</f>
        <v/>
      </c>
      <c r="R189" s="212" t="str">
        <f>IF(OR(R186="",R187=""),"",ABS(R186)+ABS(R187))</f>
        <v/>
      </c>
      <c r="S189" s="181" t="str">
        <f>IF(OR(S186="",S187=""),"",ABS(S186)+ABS(S187))</f>
        <v/>
      </c>
      <c r="U189" s="211" t="str">
        <f>IF(OR(U186="",U187=""),"",ABS(U186)+ABS(U187))</f>
        <v/>
      </c>
      <c r="V189" s="212" t="str">
        <f>IF(OR(V186="",V187=""),"",ABS(V186)+ABS(V187))</f>
        <v/>
      </c>
      <c r="W189" s="181" t="str">
        <f>IF(OR(W186="",W187=""),"",ABS(W186)+ABS(W187))</f>
        <v/>
      </c>
      <c r="Y189" s="35"/>
    </row>
    <row r="190" spans="1:25" ht="14.1" customHeight="1">
      <c r="A190" s="20">
        <v>46</v>
      </c>
      <c r="B190" s="71"/>
      <c r="C190" s="166" t="s">
        <v>246</v>
      </c>
      <c r="D190" s="360" t="str">
        <f t="shared" si="23"/>
        <v/>
      </c>
      <c r="E190" s="320" t="str">
        <f t="shared" si="23"/>
        <v/>
      </c>
      <c r="F190" s="361" t="str">
        <f t="shared" si="23"/>
        <v/>
      </c>
      <c r="G190" s="359" t="s">
        <v>246</v>
      </c>
      <c r="H190" s="351" t="str">
        <f t="shared" si="24"/>
        <v/>
      </c>
      <c r="I190" s="347" t="str">
        <f t="shared" si="21"/>
        <v/>
      </c>
      <c r="J190" s="352" t="str">
        <f t="shared" si="21"/>
        <v/>
      </c>
      <c r="K190" s="356" t="str">
        <f t="shared" si="25"/>
        <v/>
      </c>
      <c r="L190" s="346" t="str">
        <f t="shared" si="22"/>
        <v/>
      </c>
      <c r="M190" s="510" t="str">
        <f t="shared" si="22"/>
        <v/>
      </c>
      <c r="O190" s="33"/>
      <c r="P190" s="117" t="s">
        <v>204</v>
      </c>
      <c r="Q190" s="142" t="s">
        <v>250</v>
      </c>
      <c r="R190" s="6"/>
      <c r="X190" s="6"/>
      <c r="Y190" s="35"/>
    </row>
    <row r="191" spans="1:25" ht="14.1" customHeight="1" thickBot="1">
      <c r="A191" s="20">
        <v>47</v>
      </c>
      <c r="B191" s="71"/>
      <c r="C191" s="166" t="s">
        <v>247</v>
      </c>
      <c r="D191" s="362" t="str">
        <f t="shared" si="23"/>
        <v/>
      </c>
      <c r="E191" s="363" t="str">
        <f t="shared" si="23"/>
        <v/>
      </c>
      <c r="F191" s="364" t="str">
        <f t="shared" si="23"/>
        <v/>
      </c>
      <c r="G191" s="359" t="s">
        <v>247</v>
      </c>
      <c r="H191" s="353" t="str">
        <f t="shared" si="24"/>
        <v/>
      </c>
      <c r="I191" s="354" t="str">
        <f t="shared" si="21"/>
        <v/>
      </c>
      <c r="J191" s="355" t="str">
        <f t="shared" si="21"/>
        <v/>
      </c>
      <c r="K191" s="357" t="str">
        <f t="shared" si="25"/>
        <v/>
      </c>
      <c r="L191" s="358" t="str">
        <f t="shared" si="22"/>
        <v/>
      </c>
      <c r="M191" s="511" t="str">
        <f t="shared" si="22"/>
        <v/>
      </c>
      <c r="O191" s="33"/>
      <c r="P191" s="30"/>
      <c r="Q191" s="142" t="s">
        <v>251</v>
      </c>
      <c r="R191" s="6"/>
      <c r="S191" s="6"/>
      <c r="T191" s="6"/>
      <c r="U191" s="6"/>
      <c r="V191" s="6"/>
      <c r="W191" s="6"/>
      <c r="X191" s="6"/>
      <c r="Y191" s="35"/>
    </row>
    <row r="192" spans="1:25" ht="14.1" customHeight="1">
      <c r="A192" s="20">
        <v>48</v>
      </c>
      <c r="B192" s="71"/>
      <c r="C192" s="166" t="s">
        <v>248</v>
      </c>
      <c r="D192" s="370" t="str">
        <f t="shared" si="23"/>
        <v/>
      </c>
      <c r="E192" s="371" t="str">
        <f t="shared" si="23"/>
        <v/>
      </c>
      <c r="F192" s="372" t="str">
        <f t="shared" si="23"/>
        <v/>
      </c>
      <c r="G192" s="359" t="s">
        <v>248</v>
      </c>
      <c r="H192" s="376" t="str">
        <f t="shared" si="24"/>
        <v/>
      </c>
      <c r="I192" s="377" t="str">
        <f t="shared" si="21"/>
        <v/>
      </c>
      <c r="J192" s="378" t="str">
        <f t="shared" si="21"/>
        <v/>
      </c>
      <c r="K192" s="373" t="str">
        <f t="shared" si="25"/>
        <v/>
      </c>
      <c r="L192" s="374" t="str">
        <f t="shared" si="22"/>
        <v/>
      </c>
      <c r="M192" s="512" t="str">
        <f t="shared" si="22"/>
        <v/>
      </c>
      <c r="O192" s="33"/>
      <c r="P192" s="6"/>
      <c r="Q192" s="6"/>
      <c r="R192" s="6"/>
      <c r="S192" s="6"/>
      <c r="T192" s="6"/>
      <c r="U192" s="6"/>
      <c r="V192" s="6"/>
      <c r="W192" s="6"/>
      <c r="Y192" s="35"/>
    </row>
    <row r="193" spans="1:29" ht="14.1" customHeight="1" thickBot="1">
      <c r="A193" s="20">
        <v>49</v>
      </c>
      <c r="B193" s="71"/>
      <c r="C193" s="166" t="s">
        <v>249</v>
      </c>
      <c r="D193" s="362" t="str">
        <f t="shared" si="23"/>
        <v/>
      </c>
      <c r="E193" s="363" t="str">
        <f t="shared" si="23"/>
        <v/>
      </c>
      <c r="F193" s="364" t="str">
        <f t="shared" si="23"/>
        <v/>
      </c>
      <c r="G193" s="348" t="s">
        <v>249</v>
      </c>
      <c r="H193" s="353" t="str">
        <f t="shared" si="24"/>
        <v/>
      </c>
      <c r="I193" s="354" t="str">
        <f t="shared" si="21"/>
        <v/>
      </c>
      <c r="J193" s="355" t="str">
        <f t="shared" si="21"/>
        <v/>
      </c>
      <c r="K193" s="357" t="str">
        <f t="shared" si="25"/>
        <v/>
      </c>
      <c r="L193" s="358" t="str">
        <f t="shared" si="22"/>
        <v/>
      </c>
      <c r="M193" s="511" t="str">
        <f t="shared" si="22"/>
        <v/>
      </c>
      <c r="O193" s="143" t="s">
        <v>252</v>
      </c>
      <c r="Y193" s="35"/>
    </row>
    <row r="194" spans="1:29" ht="14.1" customHeight="1" thickBot="1">
      <c r="A194" s="20">
        <v>50</v>
      </c>
      <c r="B194" s="71"/>
      <c r="C194" s="166" t="s">
        <v>95</v>
      </c>
      <c r="D194" s="111" t="str">
        <f>IF(U179="","",U179)</f>
        <v>W/Rh</v>
      </c>
      <c r="E194" s="72"/>
      <c r="F194" s="72"/>
      <c r="G194" s="359" t="s">
        <v>257</v>
      </c>
      <c r="H194" s="376" t="str">
        <f t="shared" si="24"/>
        <v/>
      </c>
      <c r="I194" s="377" t="str">
        <f t="shared" si="21"/>
        <v/>
      </c>
      <c r="J194" s="378" t="str">
        <f t="shared" si="21"/>
        <v/>
      </c>
      <c r="K194" s="373" t="str">
        <f t="shared" si="25"/>
        <v/>
      </c>
      <c r="L194" s="374" t="str">
        <f t="shared" si="22"/>
        <v/>
      </c>
      <c r="M194" s="512" t="str">
        <f t="shared" si="22"/>
        <v/>
      </c>
      <c r="O194" s="165"/>
      <c r="P194" s="166" t="s">
        <v>95</v>
      </c>
      <c r="Q194" s="141" t="s">
        <v>237</v>
      </c>
      <c r="T194" s="166" t="s">
        <v>95</v>
      </c>
      <c r="U194" s="141" t="s">
        <v>238</v>
      </c>
      <c r="V194" s="6"/>
      <c r="X194" s="6"/>
      <c r="Y194" s="35"/>
    </row>
    <row r="195" spans="1:29" ht="14.1" customHeight="1" thickBot="1">
      <c r="A195" s="20">
        <v>51</v>
      </c>
      <c r="B195" s="71"/>
      <c r="C195" s="166" t="s">
        <v>244</v>
      </c>
      <c r="D195" s="365" t="str">
        <f>IF(U184="","",U184)</f>
        <v/>
      </c>
      <c r="E195" s="366" t="str">
        <f t="shared" ref="E195:F200" si="26">IF(V184="","",V184)</f>
        <v/>
      </c>
      <c r="F195" s="367" t="str">
        <f t="shared" si="26"/>
        <v/>
      </c>
      <c r="G195" s="359" t="s">
        <v>258</v>
      </c>
      <c r="H195" s="353" t="str">
        <f t="shared" si="24"/>
        <v/>
      </c>
      <c r="I195" s="354" t="str">
        <f t="shared" si="21"/>
        <v/>
      </c>
      <c r="J195" s="355" t="str">
        <f t="shared" si="21"/>
        <v/>
      </c>
      <c r="K195" s="357" t="str">
        <f t="shared" si="25"/>
        <v/>
      </c>
      <c r="L195" s="358" t="str">
        <f t="shared" si="22"/>
        <v/>
      </c>
      <c r="M195" s="511" t="str">
        <f t="shared" si="22"/>
        <v/>
      </c>
      <c r="O195" s="165"/>
      <c r="P195" s="166" t="s">
        <v>173</v>
      </c>
      <c r="Q195" s="141">
        <v>28</v>
      </c>
      <c r="R195" s="6"/>
      <c r="S195" s="6"/>
      <c r="T195" s="166" t="s">
        <v>173</v>
      </c>
      <c r="U195" s="141">
        <v>32</v>
      </c>
      <c r="V195" s="6"/>
      <c r="W195" s="6"/>
      <c r="X195" s="6"/>
      <c r="Y195" s="35"/>
    </row>
    <row r="196" spans="1:29" ht="14.1" customHeight="1">
      <c r="A196" s="20">
        <v>52</v>
      </c>
      <c r="B196" s="71"/>
      <c r="C196" s="166" t="s">
        <v>245</v>
      </c>
      <c r="D196" s="356" t="str">
        <f t="shared" ref="D196:D200" si="27">IF(U185="","",U185)</f>
        <v/>
      </c>
      <c r="E196" s="346" t="str">
        <f t="shared" si="26"/>
        <v/>
      </c>
      <c r="F196" s="368" t="str">
        <f t="shared" si="26"/>
        <v/>
      </c>
      <c r="G196" s="72"/>
      <c r="H196" s="345" t="str">
        <f>IF(MAX(D192:F193,D199:F200)&gt;13,"Fail","Pass")</f>
        <v>Pass</v>
      </c>
      <c r="I196" s="72" t="s">
        <v>544</v>
      </c>
      <c r="J196" s="72"/>
      <c r="K196" s="72"/>
      <c r="L196" s="72"/>
      <c r="M196" s="73"/>
      <c r="O196" s="165"/>
      <c r="P196" s="166" t="s">
        <v>219</v>
      </c>
      <c r="Q196" s="141">
        <v>50</v>
      </c>
      <c r="R196" s="6"/>
      <c r="S196" s="6"/>
      <c r="T196" s="166" t="s">
        <v>219</v>
      </c>
      <c r="U196" s="141">
        <v>71</v>
      </c>
      <c r="V196" s="6"/>
      <c r="W196" s="6"/>
      <c r="X196" s="6"/>
      <c r="Y196" s="35"/>
    </row>
    <row r="197" spans="1:29" ht="14.1" customHeight="1">
      <c r="A197" s="20">
        <v>53</v>
      </c>
      <c r="B197" s="71"/>
      <c r="C197" s="166" t="s">
        <v>246</v>
      </c>
      <c r="D197" s="356" t="str">
        <f t="shared" si="27"/>
        <v/>
      </c>
      <c r="E197" s="346" t="str">
        <f t="shared" si="26"/>
        <v/>
      </c>
      <c r="F197" s="368" t="str">
        <f t="shared" si="26"/>
        <v/>
      </c>
      <c r="G197" s="72"/>
      <c r="H197" s="345" t="str">
        <f>IF(MAX(H192:M193)&gt;13,"Fail","Pass")</f>
        <v>Pass</v>
      </c>
      <c r="I197" s="72" t="s">
        <v>545</v>
      </c>
      <c r="J197" s="72"/>
      <c r="K197" s="72"/>
      <c r="L197" s="72"/>
      <c r="M197" s="73"/>
      <c r="O197" s="33"/>
      <c r="P197" s="72"/>
      <c r="Q197" s="784" t="s">
        <v>240</v>
      </c>
      <c r="R197" s="784"/>
      <c r="S197" s="784"/>
      <c r="T197" s="6"/>
      <c r="U197" s="784" t="s">
        <v>240</v>
      </c>
      <c r="V197" s="784"/>
      <c r="W197" s="784"/>
      <c r="X197" s="6"/>
      <c r="Y197" s="35"/>
    </row>
    <row r="198" spans="1:29" ht="14.1" customHeight="1" thickBot="1">
      <c r="A198" s="20">
        <v>54</v>
      </c>
      <c r="B198" s="71"/>
      <c r="C198" s="166" t="s">
        <v>247</v>
      </c>
      <c r="D198" s="357" t="str">
        <f t="shared" si="27"/>
        <v/>
      </c>
      <c r="E198" s="358" t="str">
        <f t="shared" si="26"/>
        <v/>
      </c>
      <c r="F198" s="369" t="str">
        <f t="shared" si="26"/>
        <v/>
      </c>
      <c r="G198" s="72"/>
      <c r="H198" s="345" t="str">
        <f>IF(OR(MAX(H194:M194)&gt;6.5,MAX(H195:M195)&gt;5),"Fail","Pass")</f>
        <v>Pass</v>
      </c>
      <c r="I198" s="72" t="s">
        <v>546</v>
      </c>
      <c r="J198" s="72"/>
      <c r="K198" s="72"/>
      <c r="L198" s="72"/>
      <c r="M198" s="73"/>
      <c r="O198" s="33"/>
      <c r="P198" s="72"/>
      <c r="Q198" s="602" t="s">
        <v>241</v>
      </c>
      <c r="R198" s="602" t="s">
        <v>242</v>
      </c>
      <c r="S198" s="111" t="s">
        <v>243</v>
      </c>
      <c r="T198" s="6"/>
      <c r="U198" s="602" t="s">
        <v>241</v>
      </c>
      <c r="V198" s="602" t="s">
        <v>242</v>
      </c>
      <c r="W198" s="111" t="s">
        <v>243</v>
      </c>
      <c r="X198" s="6"/>
      <c r="Y198" s="35"/>
    </row>
    <row r="199" spans="1:29" ht="14.1" customHeight="1">
      <c r="A199" s="20">
        <v>55</v>
      </c>
      <c r="B199" s="71"/>
      <c r="C199" s="166" t="s">
        <v>248</v>
      </c>
      <c r="D199" s="373" t="str">
        <f t="shared" si="27"/>
        <v/>
      </c>
      <c r="E199" s="374" t="str">
        <f t="shared" si="26"/>
        <v/>
      </c>
      <c r="F199" s="375" t="str">
        <f t="shared" si="26"/>
        <v/>
      </c>
      <c r="G199" s="5" t="s">
        <v>204</v>
      </c>
      <c r="H199" s="105" t="s">
        <v>250</v>
      </c>
      <c r="I199" s="72"/>
      <c r="J199" s="72"/>
      <c r="K199" s="72"/>
      <c r="L199" s="72"/>
      <c r="M199" s="73"/>
      <c r="O199" s="165"/>
      <c r="P199" s="166" t="s">
        <v>244</v>
      </c>
      <c r="Q199" s="167"/>
      <c r="R199" s="168"/>
      <c r="S199" s="169"/>
      <c r="T199" s="6"/>
      <c r="U199" s="167"/>
      <c r="V199" s="168"/>
      <c r="W199" s="169"/>
      <c r="X199" s="6"/>
      <c r="Y199" s="35"/>
    </row>
    <row r="200" spans="1:29" ht="14.1" customHeight="1" thickBot="1">
      <c r="A200" s="20">
        <v>56</v>
      </c>
      <c r="B200" s="71"/>
      <c r="C200" s="166" t="s">
        <v>249</v>
      </c>
      <c r="D200" s="357" t="str">
        <f t="shared" si="27"/>
        <v/>
      </c>
      <c r="E200" s="358" t="str">
        <f t="shared" si="26"/>
        <v/>
      </c>
      <c r="F200" s="369" t="str">
        <f t="shared" si="26"/>
        <v/>
      </c>
      <c r="G200" s="383"/>
      <c r="H200" s="105" t="s">
        <v>251</v>
      </c>
      <c r="I200" s="72"/>
      <c r="J200" s="72"/>
      <c r="K200" s="72"/>
      <c r="L200" s="72"/>
      <c r="M200" s="73"/>
      <c r="O200" s="165"/>
      <c r="P200" s="166" t="s">
        <v>245</v>
      </c>
      <c r="Q200" s="170"/>
      <c r="R200" s="171"/>
      <c r="S200" s="172"/>
      <c r="T200" s="6"/>
      <c r="U200" s="170"/>
      <c r="V200" s="171"/>
      <c r="W200" s="172"/>
      <c r="X200" s="6"/>
      <c r="Y200" s="35"/>
    </row>
    <row r="201" spans="1:29" ht="14.1" customHeight="1">
      <c r="A201" s="20">
        <v>57</v>
      </c>
      <c r="B201" s="71"/>
      <c r="C201" s="72"/>
      <c r="D201" s="72"/>
      <c r="E201" s="197"/>
      <c r="F201" s="72"/>
      <c r="G201" s="5"/>
      <c r="H201" s="105" t="s">
        <v>259</v>
      </c>
      <c r="I201" s="72"/>
      <c r="J201" s="72"/>
      <c r="K201" s="72"/>
      <c r="L201" s="72"/>
      <c r="M201" s="73"/>
      <c r="O201" s="165"/>
      <c r="P201" s="166" t="s">
        <v>246</v>
      </c>
      <c r="Q201" s="170"/>
      <c r="R201" s="171"/>
      <c r="S201" s="172"/>
      <c r="T201" s="6"/>
      <c r="U201" s="170"/>
      <c r="V201" s="171"/>
      <c r="W201" s="172"/>
      <c r="X201" s="72"/>
      <c r="Y201" s="35"/>
    </row>
    <row r="202" spans="1:29" ht="14.1" customHeight="1" thickBot="1">
      <c r="A202" s="20">
        <v>58</v>
      </c>
      <c r="B202" s="384"/>
      <c r="C202" s="385"/>
      <c r="D202" s="385"/>
      <c r="E202" s="385"/>
      <c r="F202" s="385"/>
      <c r="G202" s="379"/>
      <c r="H202" s="380" t="s">
        <v>260</v>
      </c>
      <c r="I202" s="385"/>
      <c r="J202" s="385"/>
      <c r="K202" s="385"/>
      <c r="L202" s="385"/>
      <c r="M202" s="386"/>
      <c r="O202" s="165"/>
      <c r="P202" s="166" t="s">
        <v>247</v>
      </c>
      <c r="Q202" s="174"/>
      <c r="R202" s="175"/>
      <c r="S202" s="176"/>
      <c r="T202" s="6"/>
      <c r="U202" s="174"/>
      <c r="V202" s="175"/>
      <c r="W202" s="176"/>
      <c r="X202" s="72"/>
      <c r="Y202" s="35"/>
    </row>
    <row r="203" spans="1:29" ht="14.1" customHeight="1" thickBot="1">
      <c r="A203" s="20">
        <v>59</v>
      </c>
      <c r="B203" s="71"/>
      <c r="C203" s="150" t="s">
        <v>261</v>
      </c>
      <c r="D203" s="72"/>
      <c r="E203" s="72"/>
      <c r="F203" s="72"/>
      <c r="G203" s="72"/>
      <c r="H203" s="72"/>
      <c r="I203" s="72"/>
      <c r="J203" s="72"/>
      <c r="K203" s="72"/>
      <c r="L203" s="72"/>
      <c r="M203" s="73"/>
      <c r="O203" s="165"/>
      <c r="P203" s="166" t="s">
        <v>248</v>
      </c>
      <c r="Q203" s="208" t="str">
        <f>IF(OR(Q199="",Q200=""),"",ABS(Q199)+ABS(Q200))</f>
        <v/>
      </c>
      <c r="R203" s="209" t="str">
        <f>IF(OR(R199="",R200=""),"",ABS(R199)+ABS(R200))</f>
        <v/>
      </c>
      <c r="S203" s="180" t="str">
        <f>IF(OR(S199="",S200=""),"",ABS(S199)+ABS(S200))</f>
        <v/>
      </c>
      <c r="U203" s="208" t="str">
        <f>IF(OR(U199="",U200=""),"",ABS(U199)+ABS(U200))</f>
        <v/>
      </c>
      <c r="V203" s="209" t="str">
        <f>IF(OR(V199="",V200=""),"",ABS(V199)+ABS(V200))</f>
        <v/>
      </c>
      <c r="W203" s="180" t="str">
        <f>IF(OR(W199="",W200=""),"",ABS(W199)+ABS(W200))</f>
        <v/>
      </c>
      <c r="Y203" s="35"/>
    </row>
    <row r="204" spans="1:29" ht="14.1" customHeight="1" thickBot="1">
      <c r="A204" s="20">
        <v>60</v>
      </c>
      <c r="B204" s="71"/>
      <c r="C204" s="166" t="s">
        <v>51</v>
      </c>
      <c r="D204" s="401" t="str">
        <f t="shared" ref="D204:E207" si="28">IF(Q213="","",Q213)</f>
        <v>Mo/Mo</v>
      </c>
      <c r="E204" s="402" t="str">
        <f t="shared" si="28"/>
        <v>W/Rh</v>
      </c>
      <c r="F204" s="72"/>
      <c r="G204" s="72"/>
      <c r="H204" s="72"/>
      <c r="I204" s="72"/>
      <c r="J204" s="72"/>
      <c r="K204" s="72"/>
      <c r="L204" s="72"/>
      <c r="M204" s="73"/>
      <c r="O204" s="165"/>
      <c r="P204" s="166" t="s">
        <v>249</v>
      </c>
      <c r="Q204" s="211" t="str">
        <f>IF(OR(Q201="",Q202=""),"",ABS(Q201)+ABS(Q202))</f>
        <v/>
      </c>
      <c r="R204" s="212" t="str">
        <f>IF(OR(R201="",R202=""),"",ABS(R201)+ABS(R202))</f>
        <v/>
      </c>
      <c r="S204" s="181" t="str">
        <f>IF(OR(S201="",S202=""),"",ABS(S201)+ABS(S202))</f>
        <v/>
      </c>
      <c r="U204" s="211" t="str">
        <f>IF(OR(U201="",U202=""),"",ABS(U201)+ABS(U202))</f>
        <v/>
      </c>
      <c r="V204" s="212" t="str">
        <f>IF(OR(V201="",V202=""),"",ABS(V201)+ABS(V202))</f>
        <v/>
      </c>
      <c r="W204" s="181" t="str">
        <f>IF(OR(W201="",W202=""),"",ABS(W201)+ABS(W202))</f>
        <v/>
      </c>
      <c r="Y204" s="35"/>
    </row>
    <row r="205" spans="1:29" ht="14.1" customHeight="1" thickBot="1">
      <c r="A205" s="20">
        <v>61</v>
      </c>
      <c r="B205" s="71"/>
      <c r="C205" s="166" t="s">
        <v>173</v>
      </c>
      <c r="D205" s="403" t="str">
        <f t="shared" si="28"/>
        <v/>
      </c>
      <c r="E205" s="404" t="str">
        <f t="shared" si="28"/>
        <v/>
      </c>
      <c r="F205" s="72"/>
      <c r="G205" s="166" t="s">
        <v>218</v>
      </c>
      <c r="H205" s="148" t="str">
        <f>IF(AND(Q217="",R217=""),"",IF(OR(Q217="Fail",R217="Fail"),"Fail","Pass"))</f>
        <v/>
      </c>
      <c r="I205" s="72"/>
      <c r="J205" s="72"/>
      <c r="K205" s="72"/>
      <c r="L205" s="72"/>
      <c r="M205" s="73"/>
      <c r="O205" s="165"/>
      <c r="P205" s="166" t="s">
        <v>256</v>
      </c>
      <c r="Q205" s="167"/>
      <c r="R205" s="168"/>
      <c r="S205" s="169"/>
      <c r="U205" s="167"/>
      <c r="V205" s="168"/>
      <c r="W205" s="169"/>
      <c r="Y205" s="35"/>
    </row>
    <row r="206" spans="1:29" ht="14.1" customHeight="1" thickBot="1">
      <c r="A206" s="20">
        <v>62</v>
      </c>
      <c r="B206" s="71"/>
      <c r="C206" s="166" t="s">
        <v>219</v>
      </c>
      <c r="D206" s="403" t="str">
        <f t="shared" si="28"/>
        <v/>
      </c>
      <c r="E206" s="404" t="str">
        <f t="shared" si="28"/>
        <v/>
      </c>
      <c r="F206" s="72"/>
      <c r="G206" s="5"/>
      <c r="H206" s="197"/>
      <c r="I206" s="72"/>
      <c r="J206" s="72"/>
      <c r="K206" s="72"/>
      <c r="L206" s="72"/>
      <c r="M206" s="73"/>
      <c r="O206" s="190"/>
      <c r="P206" s="166" t="s">
        <v>258</v>
      </c>
      <c r="Q206" s="191"/>
      <c r="R206" s="192"/>
      <c r="S206" s="193"/>
      <c r="U206" s="191"/>
      <c r="V206" s="192"/>
      <c r="W206" s="193"/>
      <c r="Y206" s="35"/>
    </row>
    <row r="207" spans="1:29" ht="14.1" customHeight="1" thickBot="1">
      <c r="A207" s="20">
        <v>63</v>
      </c>
      <c r="B207" s="71"/>
      <c r="C207" s="166" t="s">
        <v>263</v>
      </c>
      <c r="D207" s="405" t="str">
        <f t="shared" si="28"/>
        <v/>
      </c>
      <c r="E207" s="406" t="str">
        <f t="shared" si="28"/>
        <v/>
      </c>
      <c r="F207" s="72"/>
      <c r="G207" s="72"/>
      <c r="H207" s="72"/>
      <c r="I207" s="72"/>
      <c r="J207" s="72"/>
      <c r="K207" s="72"/>
      <c r="L207" s="72"/>
      <c r="M207" s="73"/>
      <c r="O207" s="143"/>
      <c r="P207" s="117" t="s">
        <v>204</v>
      </c>
      <c r="Q207" s="142" t="s">
        <v>250</v>
      </c>
      <c r="R207" s="6"/>
      <c r="Y207" s="35"/>
    </row>
    <row r="208" spans="1:29" ht="14.1" customHeight="1">
      <c r="A208" s="20">
        <v>64</v>
      </c>
      <c r="B208" s="71"/>
      <c r="C208" s="5" t="s">
        <v>204</v>
      </c>
      <c r="D208" s="105" t="str">
        <f>Q218</f>
        <v>Limiting system resolution must be 6 lp/mm or higher</v>
      </c>
      <c r="E208" s="72"/>
      <c r="F208" s="72"/>
      <c r="G208" s="72"/>
      <c r="H208" s="72"/>
      <c r="I208" s="72"/>
      <c r="J208" s="72"/>
      <c r="K208" s="72"/>
      <c r="L208" s="72"/>
      <c r="M208" s="73"/>
      <c r="O208" s="33"/>
      <c r="P208" s="30"/>
      <c r="Q208" s="142" t="s">
        <v>251</v>
      </c>
      <c r="R208" s="6"/>
      <c r="Y208" s="35"/>
      <c r="AA208" s="602"/>
      <c r="AB208" s="602"/>
      <c r="AC208" s="602"/>
    </row>
    <row r="209" spans="1:29" ht="14.1" customHeight="1">
      <c r="A209" s="20">
        <v>65</v>
      </c>
      <c r="B209" s="71"/>
      <c r="C209" s="72"/>
      <c r="D209" s="72"/>
      <c r="E209" s="72"/>
      <c r="F209" s="72"/>
      <c r="G209" s="72"/>
      <c r="H209" s="72"/>
      <c r="I209" s="72"/>
      <c r="J209" s="72"/>
      <c r="K209" s="72"/>
      <c r="L209" s="72"/>
      <c r="M209" s="73"/>
      <c r="O209" s="33"/>
      <c r="P209" s="6"/>
      <c r="Q209" s="195" t="s">
        <v>259</v>
      </c>
      <c r="R209" s="6"/>
      <c r="Y209" s="35"/>
      <c r="AA209" s="602"/>
      <c r="AB209" s="602"/>
      <c r="AC209" s="602"/>
    </row>
    <row r="210" spans="1:29" ht="14.1" customHeight="1">
      <c r="A210" s="20">
        <v>66</v>
      </c>
      <c r="B210" s="71"/>
      <c r="C210" s="72"/>
      <c r="D210" s="72"/>
      <c r="E210" s="72"/>
      <c r="F210" s="72"/>
      <c r="G210" s="72"/>
      <c r="H210" s="72"/>
      <c r="I210" s="72"/>
      <c r="J210" s="72"/>
      <c r="K210" s="72"/>
      <c r="L210" s="72"/>
      <c r="M210" s="73"/>
      <c r="O210" s="33"/>
      <c r="Q210" s="142" t="s">
        <v>260</v>
      </c>
      <c r="R210" s="6"/>
      <c r="Y210" s="35"/>
      <c r="AA210" s="602"/>
      <c r="AB210" s="602"/>
      <c r="AC210" s="602"/>
    </row>
    <row r="211" spans="1:29" ht="14.1" customHeight="1" thickBot="1">
      <c r="A211" s="20">
        <v>67</v>
      </c>
      <c r="B211" s="71"/>
      <c r="C211" s="72"/>
      <c r="D211" s="72"/>
      <c r="E211" s="72"/>
      <c r="F211" s="72"/>
      <c r="G211" s="72"/>
      <c r="H211" s="72"/>
      <c r="I211" s="72"/>
      <c r="J211" s="72"/>
      <c r="K211" s="72"/>
      <c r="L211" s="72"/>
      <c r="M211" s="73"/>
      <c r="O211" s="43"/>
      <c r="P211" s="196"/>
      <c r="Q211" s="196"/>
      <c r="R211" s="44"/>
      <c r="S211" s="44"/>
      <c r="T211" s="44"/>
      <c r="U211" s="44"/>
      <c r="V211" s="44"/>
      <c r="W211" s="44"/>
      <c r="X211" s="44"/>
      <c r="Y211" s="45"/>
      <c r="AA211" s="602"/>
      <c r="AB211" s="602"/>
      <c r="AC211" s="602"/>
    </row>
    <row r="212" spans="1:29" ht="14.1" customHeight="1">
      <c r="A212" s="20">
        <v>68</v>
      </c>
      <c r="B212" s="71"/>
      <c r="C212" s="72"/>
      <c r="D212" s="72"/>
      <c r="E212" s="72"/>
      <c r="F212" s="72"/>
      <c r="G212" s="72"/>
      <c r="H212" s="72"/>
      <c r="I212" s="72"/>
      <c r="J212" s="72"/>
      <c r="K212" s="72"/>
      <c r="L212" s="72"/>
      <c r="M212" s="73"/>
      <c r="O212" s="143" t="s">
        <v>261</v>
      </c>
      <c r="Y212" s="35"/>
      <c r="AA212" s="602"/>
      <c r="AB212" s="602"/>
      <c r="AC212" s="602"/>
    </row>
    <row r="213" spans="1:29" ht="14.1" customHeight="1">
      <c r="A213" s="20">
        <v>69</v>
      </c>
      <c r="B213" s="71"/>
      <c r="C213" s="72"/>
      <c r="D213" s="72"/>
      <c r="E213" s="72"/>
      <c r="F213" s="72"/>
      <c r="G213" s="72"/>
      <c r="H213" s="72"/>
      <c r="I213" s="72"/>
      <c r="J213" s="72"/>
      <c r="K213" s="72"/>
      <c r="L213" s="72"/>
      <c r="M213" s="73"/>
      <c r="O213" s="33"/>
      <c r="P213" s="38" t="s">
        <v>95</v>
      </c>
      <c r="Q213" s="19" t="s">
        <v>237</v>
      </c>
      <c r="R213" s="19" t="s">
        <v>238</v>
      </c>
      <c r="Y213" s="35"/>
      <c r="AA213" s="602"/>
      <c r="AB213" s="602"/>
      <c r="AC213" s="602"/>
    </row>
    <row r="214" spans="1:29" ht="14.1" customHeight="1" thickBot="1">
      <c r="A214" s="20">
        <v>70</v>
      </c>
      <c r="B214" s="84"/>
      <c r="C214" s="85"/>
      <c r="D214" s="85"/>
      <c r="E214" s="85"/>
      <c r="F214" s="85"/>
      <c r="G214" s="85"/>
      <c r="H214" s="85"/>
      <c r="I214" s="85"/>
      <c r="J214" s="85"/>
      <c r="K214" s="85"/>
      <c r="L214" s="85"/>
      <c r="M214" s="86"/>
      <c r="O214" s="33"/>
      <c r="P214" s="38" t="s">
        <v>173</v>
      </c>
      <c r="Q214" s="149"/>
      <c r="R214" s="149"/>
      <c r="Y214" s="35"/>
      <c r="AA214" s="602"/>
      <c r="AB214" s="602"/>
      <c r="AC214" s="602"/>
    </row>
    <row r="215" spans="1:29" ht="14.1" customHeight="1" thickTop="1">
      <c r="A215" s="20">
        <v>71</v>
      </c>
      <c r="C215" s="113" t="s">
        <v>11</v>
      </c>
      <c r="D215" s="387" t="str">
        <f>IF($P$7="","",$P$7)</f>
        <v/>
      </c>
      <c r="E215" s="30"/>
      <c r="F215" s="30"/>
      <c r="G215" s="30"/>
      <c r="H215" s="30"/>
      <c r="I215" s="30"/>
      <c r="J215" s="30"/>
      <c r="K215" s="30"/>
      <c r="L215" s="113" t="s">
        <v>12</v>
      </c>
      <c r="M215" s="388" t="str">
        <f>IF($X$7="","",$X$7)</f>
        <v>Eugene Mah</v>
      </c>
      <c r="O215" s="33"/>
      <c r="P215" s="38" t="s">
        <v>219</v>
      </c>
      <c r="Q215" s="149"/>
      <c r="R215" s="149"/>
      <c r="Y215" s="35"/>
      <c r="AA215" s="602"/>
      <c r="AB215" s="602"/>
      <c r="AC215" s="602"/>
    </row>
    <row r="216" spans="1:29" ht="14.1" customHeight="1">
      <c r="A216" s="20">
        <v>72</v>
      </c>
      <c r="C216" s="113" t="s">
        <v>121</v>
      </c>
      <c r="D216" s="388" t="str">
        <f>IF($R$14="","",$R$14)</f>
        <v/>
      </c>
      <c r="E216" s="30"/>
      <c r="F216" s="30"/>
      <c r="G216" s="30"/>
      <c r="H216" s="30"/>
      <c r="I216" s="30"/>
      <c r="J216" s="30"/>
      <c r="K216" s="30"/>
      <c r="L216" s="113" t="s">
        <v>37</v>
      </c>
      <c r="M216" s="388" t="str">
        <f>IF($R$13="","",$R$13)</f>
        <v/>
      </c>
      <c r="O216" s="33"/>
      <c r="P216" s="38" t="s">
        <v>263</v>
      </c>
      <c r="Q216" s="149"/>
      <c r="R216" s="149"/>
      <c r="Y216" s="35"/>
      <c r="AA216" s="602"/>
      <c r="AB216" s="602"/>
      <c r="AC216" s="602"/>
    </row>
    <row r="217" spans="1:29" ht="14.1" customHeight="1">
      <c r="A217" s="20">
        <v>1</v>
      </c>
      <c r="M217" s="116" t="str">
        <f>$H$2</f>
        <v>Medical University of South Carolina</v>
      </c>
      <c r="O217" s="33"/>
      <c r="P217" s="38" t="s">
        <v>218</v>
      </c>
      <c r="Q217" s="14" t="str">
        <f>IF(Q216="","",IF(Q216&gt;=7,"Pass","Fail"))</f>
        <v/>
      </c>
      <c r="R217" s="14" t="str">
        <f>IF(R216="","",IF(R216&gt;=7,"Pass","Fail"))</f>
        <v/>
      </c>
      <c r="Y217" s="35"/>
    </row>
    <row r="218" spans="1:29" ht="14.1" customHeight="1" thickBot="1">
      <c r="A218" s="20">
        <v>2</v>
      </c>
      <c r="H218" s="54" t="s">
        <v>73</v>
      </c>
      <c r="M218" s="117" t="str">
        <f>$H$5</f>
        <v>Mammography System Compliance Inspection</v>
      </c>
      <c r="O218" s="33"/>
      <c r="P218" s="5" t="s">
        <v>204</v>
      </c>
      <c r="Q218" s="197" t="s">
        <v>264</v>
      </c>
      <c r="R218" s="72"/>
      <c r="S218" s="72"/>
      <c r="T218" s="72"/>
      <c r="U218" s="72"/>
      <c r="V218" s="72"/>
      <c r="W218" s="72"/>
      <c r="X218" s="72"/>
      <c r="Y218" s="35"/>
    </row>
    <row r="219" spans="1:29" ht="14.1" customHeight="1" thickTop="1" thickBot="1">
      <c r="A219" s="20">
        <v>3</v>
      </c>
      <c r="B219" s="62"/>
      <c r="C219" s="64" t="s">
        <v>265</v>
      </c>
      <c r="D219" s="63"/>
      <c r="E219" s="63"/>
      <c r="F219" s="63"/>
      <c r="G219" s="63"/>
      <c r="H219" s="63"/>
      <c r="I219" s="63"/>
      <c r="J219" s="63"/>
      <c r="K219" s="63"/>
      <c r="L219" s="63"/>
      <c r="M219" s="65"/>
      <c r="O219" s="43"/>
      <c r="P219" s="44"/>
      <c r="Q219" s="44"/>
      <c r="R219" s="44"/>
      <c r="S219" s="44"/>
      <c r="T219" s="44"/>
      <c r="U219" s="44"/>
      <c r="V219" s="44"/>
      <c r="W219" s="44"/>
      <c r="X219" s="44"/>
      <c r="Y219" s="45"/>
    </row>
    <row r="220" spans="1:29" ht="14.1" customHeight="1">
      <c r="A220" s="20">
        <v>4</v>
      </c>
      <c r="B220" s="71"/>
      <c r="C220" s="166" t="s">
        <v>266</v>
      </c>
      <c r="D220" s="144" t="str">
        <f>IF(P221="","",P221)</f>
        <v/>
      </c>
      <c r="E220" s="72"/>
      <c r="F220" s="166" t="s">
        <v>267</v>
      </c>
      <c r="G220" s="144" t="str">
        <f>IF(S221="","",S221)</f>
        <v/>
      </c>
      <c r="H220" s="72"/>
      <c r="I220" s="72" t="s">
        <v>95</v>
      </c>
      <c r="J220" s="144" t="str">
        <f>IF(V221="","",V221)</f>
        <v>W/Rh</v>
      </c>
      <c r="K220" s="72"/>
      <c r="L220" s="72"/>
      <c r="M220" s="73"/>
      <c r="O220" s="143" t="s">
        <v>265</v>
      </c>
      <c r="Y220" s="35"/>
    </row>
    <row r="221" spans="1:29" ht="14.1" customHeight="1">
      <c r="A221" s="20">
        <v>5</v>
      </c>
      <c r="B221" s="71"/>
      <c r="C221" s="111" t="s">
        <v>70</v>
      </c>
      <c r="D221" s="72"/>
      <c r="E221" s="72"/>
      <c r="F221" s="72"/>
      <c r="G221" s="72"/>
      <c r="H221" s="111"/>
      <c r="I221" s="72"/>
      <c r="J221" s="343"/>
      <c r="K221" s="72"/>
      <c r="L221" s="72"/>
      <c r="M221" s="73"/>
      <c r="O221" s="33" t="s">
        <v>266</v>
      </c>
      <c r="P221" s="141"/>
      <c r="R221" s="38" t="s">
        <v>267</v>
      </c>
      <c r="S221" s="141"/>
      <c r="U221" s="24" t="s">
        <v>95</v>
      </c>
      <c r="V221" s="141" t="s">
        <v>238</v>
      </c>
      <c r="Y221" s="35"/>
    </row>
    <row r="222" spans="1:29" ht="14.1" customHeight="1" thickBot="1">
      <c r="A222" s="20">
        <v>6</v>
      </c>
      <c r="B222" s="71"/>
      <c r="C222" s="111" t="s">
        <v>268</v>
      </c>
      <c r="D222" s="111" t="s">
        <v>518</v>
      </c>
      <c r="E222" s="111" t="s">
        <v>269</v>
      </c>
      <c r="F222" s="111" t="s">
        <v>72</v>
      </c>
      <c r="G222" s="111" t="s">
        <v>270</v>
      </c>
      <c r="H222" s="111" t="s">
        <v>271</v>
      </c>
      <c r="I222" s="111"/>
      <c r="J222" s="343"/>
      <c r="K222" s="72"/>
      <c r="L222" s="72"/>
      <c r="M222" s="73"/>
      <c r="O222" s="33"/>
      <c r="P222" s="602" t="s">
        <v>70</v>
      </c>
      <c r="U222" s="602"/>
      <c r="W222" s="6"/>
      <c r="Y222" s="35"/>
    </row>
    <row r="223" spans="1:29" ht="14.1" customHeight="1" thickBot="1">
      <c r="A223" s="20">
        <v>7</v>
      </c>
      <c r="B223" s="71"/>
      <c r="C223" s="401">
        <f t="shared" ref="C223:H226" si="29">IF(P224="","",P224)</f>
        <v>2</v>
      </c>
      <c r="D223" s="407" t="str">
        <f t="shared" si="29"/>
        <v/>
      </c>
      <c r="E223" s="407" t="str">
        <f t="shared" si="29"/>
        <v/>
      </c>
      <c r="F223" s="407" t="str">
        <f t="shared" si="29"/>
        <v/>
      </c>
      <c r="G223" s="407" t="str">
        <f t="shared" si="29"/>
        <v/>
      </c>
      <c r="H223" s="408" t="str">
        <f t="shared" si="29"/>
        <v/>
      </c>
      <c r="I223" s="344"/>
      <c r="J223" s="166" t="s">
        <v>272</v>
      </c>
      <c r="K223" s="311" t="str">
        <f>IF(X224="","",X224)</f>
        <v/>
      </c>
      <c r="L223" s="72"/>
      <c r="M223" s="73"/>
      <c r="O223" s="33"/>
      <c r="P223" s="602" t="s">
        <v>268</v>
      </c>
      <c r="Q223" s="602" t="s">
        <v>518</v>
      </c>
      <c r="R223" s="602" t="s">
        <v>269</v>
      </c>
      <c r="S223" s="602" t="s">
        <v>72</v>
      </c>
      <c r="T223" s="602" t="s">
        <v>270</v>
      </c>
      <c r="U223" s="602" t="s">
        <v>271</v>
      </c>
      <c r="V223" s="6"/>
      <c r="W223" s="6"/>
      <c r="Y223" s="35"/>
    </row>
    <row r="224" spans="1:29" ht="14.1" customHeight="1" thickBot="1">
      <c r="A224" s="20">
        <v>8</v>
      </c>
      <c r="B224" s="71"/>
      <c r="C224" s="403">
        <f t="shared" si="29"/>
        <v>4</v>
      </c>
      <c r="D224" s="14" t="str">
        <f t="shared" si="29"/>
        <v/>
      </c>
      <c r="E224" s="14" t="str">
        <f t="shared" si="29"/>
        <v/>
      </c>
      <c r="F224" s="14" t="str">
        <f t="shared" si="29"/>
        <v/>
      </c>
      <c r="G224" s="14" t="str">
        <f t="shared" si="29"/>
        <v/>
      </c>
      <c r="H224" s="409" t="str">
        <f t="shared" si="29"/>
        <v/>
      </c>
      <c r="I224" s="344"/>
      <c r="J224" s="166" t="s">
        <v>273</v>
      </c>
      <c r="K224" s="311" t="str">
        <f>IF(X225="","",X225)</f>
        <v/>
      </c>
      <c r="L224" s="72"/>
      <c r="M224" s="73"/>
      <c r="O224" s="33"/>
      <c r="P224" s="198">
        <v>2</v>
      </c>
      <c r="Q224" s="199"/>
      <c r="R224" s="200"/>
      <c r="S224" s="200"/>
      <c r="T224" s="200"/>
      <c r="U224" s="187" t="str">
        <f>IF(OR(T224="",$X$224=""),"",(T224-$X$224)/$X$224)</f>
        <v/>
      </c>
      <c r="V224" s="6"/>
      <c r="W224" s="38" t="s">
        <v>272</v>
      </c>
      <c r="X224" s="201" t="str">
        <f>IF(T224="","",AVERAGE(T224:T231))</f>
        <v/>
      </c>
      <c r="Y224" s="35"/>
    </row>
    <row r="225" spans="1:27" ht="14.1" customHeight="1" thickBot="1">
      <c r="A225" s="20">
        <v>9</v>
      </c>
      <c r="B225" s="71"/>
      <c r="C225" s="403">
        <f t="shared" si="29"/>
        <v>6</v>
      </c>
      <c r="D225" s="14" t="str">
        <f t="shared" si="29"/>
        <v/>
      </c>
      <c r="E225" s="14" t="str">
        <f t="shared" si="29"/>
        <v/>
      </c>
      <c r="F225" s="14" t="str">
        <f t="shared" si="29"/>
        <v/>
      </c>
      <c r="G225" s="14" t="str">
        <f t="shared" si="29"/>
        <v/>
      </c>
      <c r="H225" s="409" t="str">
        <f t="shared" si="29"/>
        <v/>
      </c>
      <c r="I225" s="344"/>
      <c r="J225" s="166" t="s">
        <v>274</v>
      </c>
      <c r="K225" s="412" t="str">
        <f>IF(X226="","",X226)</f>
        <v/>
      </c>
      <c r="L225" s="72"/>
      <c r="M225" s="73"/>
      <c r="O225" s="33"/>
      <c r="P225" s="202">
        <v>4</v>
      </c>
      <c r="Q225" s="203"/>
      <c r="R225" s="149"/>
      <c r="S225" s="149"/>
      <c r="T225" s="149"/>
      <c r="U225" s="186" t="str">
        <f>IF(OR(T225="",$X$224=""),"",(T225-$X$224)/$X$224)</f>
        <v/>
      </c>
      <c r="V225" s="6"/>
      <c r="W225" s="38" t="s">
        <v>273</v>
      </c>
      <c r="X225" s="201" t="str">
        <f>IF(T224="","",_xlfn.STDEV.S(T224:T227))</f>
        <v/>
      </c>
      <c r="Y225" s="35"/>
    </row>
    <row r="226" spans="1:27" ht="14.1" customHeight="1" thickBot="1">
      <c r="A226" s="20">
        <v>10</v>
      </c>
      <c r="B226" s="71"/>
      <c r="C226" s="405">
        <f t="shared" si="29"/>
        <v>8</v>
      </c>
      <c r="D226" s="410" t="str">
        <f t="shared" si="29"/>
        <v/>
      </c>
      <c r="E226" s="410" t="str">
        <f t="shared" si="29"/>
        <v/>
      </c>
      <c r="F226" s="410" t="str">
        <f t="shared" si="29"/>
        <v/>
      </c>
      <c r="G226" s="410" t="str">
        <f t="shared" si="29"/>
        <v/>
      </c>
      <c r="H226" s="411" t="str">
        <f t="shared" si="29"/>
        <v/>
      </c>
      <c r="I226" s="344"/>
      <c r="J226" s="72" t="s">
        <v>218</v>
      </c>
      <c r="K226" s="389" t="str">
        <f>IF(H223="","",IF(AND(H223&lt;0.1,H224&lt;0.1,H225&lt;0.1,H226&lt;0.1,K225&lt;0.5),"Pass","Fail"))</f>
        <v/>
      </c>
      <c r="L226" s="72"/>
      <c r="M226" s="73"/>
      <c r="O226" s="33"/>
      <c r="P226" s="202">
        <v>6</v>
      </c>
      <c r="Q226" s="203"/>
      <c r="R226" s="149"/>
      <c r="S226" s="149"/>
      <c r="T226" s="149"/>
      <c r="U226" s="186" t="str">
        <f>IF(OR(T226="",$X$224=""),"",(T226-$X$224)/$X$224)</f>
        <v/>
      </c>
      <c r="V226" s="6"/>
      <c r="W226" s="38" t="s">
        <v>274</v>
      </c>
      <c r="X226" s="204" t="str">
        <f>IF(OR(X224="",X225=""),"",X225/X224)</f>
        <v/>
      </c>
      <c r="Y226" s="35"/>
    </row>
    <row r="227" spans="1:27" ht="14.1" customHeight="1" thickBot="1">
      <c r="A227" s="20">
        <v>11</v>
      </c>
      <c r="B227" s="71"/>
      <c r="C227" s="5" t="s">
        <v>204</v>
      </c>
      <c r="D227" s="105" t="s">
        <v>277</v>
      </c>
      <c r="E227" s="111"/>
      <c r="F227" s="111"/>
      <c r="G227" s="111"/>
      <c r="H227" s="111"/>
      <c r="I227" s="344"/>
      <c r="J227" s="343"/>
      <c r="K227" s="72"/>
      <c r="L227" s="72"/>
      <c r="M227" s="73"/>
      <c r="O227" s="33"/>
      <c r="P227" s="205">
        <v>8</v>
      </c>
      <c r="Q227" s="206"/>
      <c r="R227" s="207"/>
      <c r="S227" s="207"/>
      <c r="T227" s="207"/>
      <c r="U227" s="189" t="str">
        <f>IF(OR(T227="",$X$224=""),"",(T227-$X$224)/$X$224)</f>
        <v/>
      </c>
      <c r="V227" s="6"/>
      <c r="W227" s="6"/>
      <c r="Y227" s="35"/>
    </row>
    <row r="228" spans="1:27" ht="14.1" customHeight="1" thickBot="1">
      <c r="A228" s="20">
        <v>12</v>
      </c>
      <c r="B228" s="71"/>
      <c r="C228" s="111"/>
      <c r="D228" s="449" t="s">
        <v>278</v>
      </c>
      <c r="E228" s="111"/>
      <c r="F228" s="111"/>
      <c r="G228" s="111"/>
      <c r="H228" s="111"/>
      <c r="I228" s="344"/>
      <c r="J228" s="343"/>
      <c r="K228" s="72"/>
      <c r="L228" s="72"/>
      <c r="M228" s="73"/>
      <c r="O228" s="33"/>
      <c r="P228" s="117" t="s">
        <v>204</v>
      </c>
      <c r="Q228" s="142" t="s">
        <v>277</v>
      </c>
      <c r="S228" s="6"/>
      <c r="T228" s="6"/>
      <c r="W228" s="6"/>
      <c r="Y228" s="35"/>
    </row>
    <row r="229" spans="1:27" ht="14.1" customHeight="1" thickBot="1">
      <c r="A229" s="20">
        <v>13</v>
      </c>
      <c r="B229" s="71"/>
      <c r="C229" s="389" t="str">
        <f>IF(O230="","TBD",IF(O230=1,"YES",IF(O230=3,"NA","")))</f>
        <v>YES</v>
      </c>
      <c r="D229" s="72" t="s">
        <v>279</v>
      </c>
      <c r="E229" s="111"/>
      <c r="F229" s="111"/>
      <c r="G229" s="111"/>
      <c r="H229" s="111"/>
      <c r="I229" s="111"/>
      <c r="J229" s="344"/>
      <c r="K229" s="343"/>
      <c r="L229" s="72"/>
      <c r="M229" s="73"/>
      <c r="O229" s="33"/>
      <c r="P229" s="6"/>
      <c r="Q229" s="195" t="s">
        <v>278</v>
      </c>
      <c r="S229" s="6"/>
      <c r="T229" s="6"/>
      <c r="W229" s="6"/>
      <c r="Y229" s="35"/>
    </row>
    <row r="230" spans="1:27" ht="14.1" customHeight="1" thickBot="1">
      <c r="A230" s="20">
        <v>14</v>
      </c>
      <c r="B230" s="71"/>
      <c r="C230" s="389" t="str">
        <f>IF(O231="","TBD",IF(O231=1,"YES",IF(O231=3,"NA","")))</f>
        <v>YES</v>
      </c>
      <c r="D230" s="72" t="s">
        <v>280</v>
      </c>
      <c r="E230" s="111"/>
      <c r="F230" s="111"/>
      <c r="G230" s="111"/>
      <c r="H230" s="111"/>
      <c r="I230" s="111"/>
      <c r="J230" s="344"/>
      <c r="K230" s="343"/>
      <c r="L230" s="72"/>
      <c r="M230" s="73"/>
      <c r="O230" s="100">
        <v>1</v>
      </c>
      <c r="P230" s="24" t="s">
        <v>279</v>
      </c>
      <c r="Q230" s="6"/>
      <c r="R230" s="6"/>
      <c r="S230" s="6"/>
      <c r="T230" s="6"/>
      <c r="U230" s="6"/>
      <c r="V230" s="6"/>
      <c r="W230" s="6"/>
      <c r="Y230" s="35"/>
    </row>
    <row r="231" spans="1:27" ht="14.1" customHeight="1" thickBot="1">
      <c r="A231" s="20">
        <v>15</v>
      </c>
      <c r="B231" s="384"/>
      <c r="C231" s="385"/>
      <c r="D231" s="385"/>
      <c r="E231" s="385"/>
      <c r="F231" s="385"/>
      <c r="G231" s="443"/>
      <c r="H231" s="444"/>
      <c r="I231" s="385"/>
      <c r="J231" s="385"/>
      <c r="K231" s="445"/>
      <c r="L231" s="385"/>
      <c r="M231" s="386"/>
      <c r="O231" s="100">
        <v>1</v>
      </c>
      <c r="P231" s="24" t="s">
        <v>280</v>
      </c>
      <c r="Q231" s="6"/>
      <c r="R231" s="6"/>
      <c r="S231" s="6"/>
      <c r="T231" s="6"/>
      <c r="U231" s="6"/>
      <c r="V231" s="6" t="str">
        <f>IF(OR(T231="",$X$224=""),"",(T231-$X$224)/$X$224)</f>
        <v/>
      </c>
      <c r="W231" s="6"/>
      <c r="Y231" s="35"/>
    </row>
    <row r="232" spans="1:27" ht="14.1" customHeight="1">
      <c r="A232" s="20">
        <v>16</v>
      </c>
      <c r="B232" s="71"/>
      <c r="C232" s="150" t="s">
        <v>281</v>
      </c>
      <c r="D232" s="72"/>
      <c r="E232" s="72"/>
      <c r="F232" s="72"/>
      <c r="G232" s="72"/>
      <c r="H232" s="72"/>
      <c r="I232" s="72"/>
      <c r="J232" s="72"/>
      <c r="K232" s="72"/>
      <c r="L232" s="72"/>
      <c r="M232" s="73"/>
      <c r="O232" s="33"/>
      <c r="P232" s="6"/>
      <c r="Q232" s="6"/>
      <c r="R232" s="6"/>
      <c r="S232" s="6"/>
      <c r="T232" s="6"/>
      <c r="U232" s="6"/>
      <c r="V232" s="6"/>
      <c r="W232" s="6"/>
      <c r="Y232" s="35"/>
      <c r="AA232" s="243"/>
    </row>
    <row r="233" spans="1:27" ht="14.1" customHeight="1">
      <c r="A233" s="20">
        <v>17</v>
      </c>
      <c r="B233" s="71"/>
      <c r="C233" s="166" t="s">
        <v>266</v>
      </c>
      <c r="D233" s="144" t="str">
        <f>IF(P234="","",P234)</f>
        <v>AEC</v>
      </c>
      <c r="E233" s="72"/>
      <c r="F233" s="72" t="s">
        <v>95</v>
      </c>
      <c r="G233" s="144" t="str">
        <f>IF(S234="","",S234)</f>
        <v>W/Rh</v>
      </c>
      <c r="H233" s="166" t="s">
        <v>173</v>
      </c>
      <c r="I233" s="144">
        <f>IF(U234="","",U234)</f>
        <v>28</v>
      </c>
      <c r="J233" s="72"/>
      <c r="K233" s="72"/>
      <c r="L233" s="72"/>
      <c r="M233" s="73"/>
      <c r="O233" s="143" t="s">
        <v>281</v>
      </c>
      <c r="P233" s="6"/>
      <c r="Q233" s="6"/>
      <c r="R233" s="6"/>
      <c r="S233" s="6"/>
      <c r="T233" s="6"/>
      <c r="U233" s="6"/>
      <c r="V233" s="6"/>
      <c r="Y233" s="35"/>
      <c r="AA233" s="243"/>
    </row>
    <row r="234" spans="1:27" ht="14.1" customHeight="1">
      <c r="A234" s="20">
        <v>18</v>
      </c>
      <c r="B234" s="71"/>
      <c r="C234" s="72"/>
      <c r="D234" s="72"/>
      <c r="E234" s="72"/>
      <c r="F234" s="72"/>
      <c r="G234" s="72"/>
      <c r="H234" s="72"/>
      <c r="I234" s="111"/>
      <c r="J234" s="72"/>
      <c r="K234" s="72"/>
      <c r="L234" s="72"/>
      <c r="M234" s="73"/>
      <c r="O234" s="33" t="s">
        <v>266</v>
      </c>
      <c r="P234" s="141" t="s">
        <v>499</v>
      </c>
      <c r="R234" s="24" t="s">
        <v>95</v>
      </c>
      <c r="S234" s="141" t="s">
        <v>238</v>
      </c>
      <c r="T234" s="166" t="s">
        <v>173</v>
      </c>
      <c r="U234" s="141">
        <v>28</v>
      </c>
      <c r="Y234" s="35"/>
      <c r="AA234" s="243"/>
    </row>
    <row r="235" spans="1:27" ht="14.1" customHeight="1" thickBot="1">
      <c r="A235" s="20">
        <v>19</v>
      </c>
      <c r="B235" s="71"/>
      <c r="C235" s="72"/>
      <c r="D235" s="601"/>
      <c r="E235" s="72"/>
      <c r="F235" s="166"/>
      <c r="G235" s="601"/>
      <c r="H235" s="111"/>
      <c r="I235" s="343"/>
      <c r="J235" s="72" t="s">
        <v>282</v>
      </c>
      <c r="K235" s="72"/>
      <c r="L235" s="72"/>
      <c r="M235" s="73"/>
      <c r="O235" s="33"/>
      <c r="Y235" s="35"/>
      <c r="AA235" s="243"/>
    </row>
    <row r="236" spans="1:27" ht="14.1" customHeight="1" thickBot="1">
      <c r="A236" s="20">
        <v>20</v>
      </c>
      <c r="B236" s="71"/>
      <c r="C236" s="72"/>
      <c r="D236" s="463" t="s">
        <v>72</v>
      </c>
      <c r="E236" s="441" t="s">
        <v>283</v>
      </c>
      <c r="F236" s="441" t="s">
        <v>284</v>
      </c>
      <c r="G236" s="441" t="s">
        <v>285</v>
      </c>
      <c r="H236" s="441" t="s">
        <v>286</v>
      </c>
      <c r="I236" s="441" t="s">
        <v>287</v>
      </c>
      <c r="J236" s="442" t="s">
        <v>27</v>
      </c>
      <c r="K236" s="398" t="s">
        <v>288</v>
      </c>
      <c r="L236" s="414" t="s">
        <v>289</v>
      </c>
      <c r="M236" s="73"/>
      <c r="O236" s="33"/>
      <c r="P236" s="601"/>
      <c r="R236" s="38"/>
      <c r="S236" s="601"/>
      <c r="T236" s="602"/>
      <c r="U236" s="6"/>
      <c r="V236" s="24" t="s">
        <v>282</v>
      </c>
      <c r="Y236" s="35"/>
      <c r="AA236" s="243"/>
    </row>
    <row r="237" spans="1:27" ht="14.1" customHeight="1" thickBot="1">
      <c r="A237" s="20">
        <v>21</v>
      </c>
      <c r="B237" s="71"/>
      <c r="C237" s="72"/>
      <c r="D237" s="438" t="str">
        <f t="shared" ref="D237:J244" si="30">IF(P238="","",P238)</f>
        <v/>
      </c>
      <c r="E237" s="439" t="str">
        <f t="shared" si="30"/>
        <v/>
      </c>
      <c r="F237" s="439" t="str">
        <f t="shared" si="30"/>
        <v/>
      </c>
      <c r="G237" s="439" t="str">
        <f t="shared" si="30"/>
        <v/>
      </c>
      <c r="H237" s="439" t="str">
        <f t="shared" si="30"/>
        <v/>
      </c>
      <c r="I237" s="439" t="str">
        <f t="shared" si="30"/>
        <v/>
      </c>
      <c r="J237" s="440" t="str">
        <f t="shared" si="30"/>
        <v/>
      </c>
      <c r="K237" s="428" t="str">
        <f t="shared" ref="K237:L243" si="31">IF(X238="","",X238)</f>
        <v/>
      </c>
      <c r="L237" s="434" t="str">
        <f t="shared" si="31"/>
        <v/>
      </c>
      <c r="M237" s="73"/>
      <c r="O237" s="33"/>
      <c r="P237" s="602" t="s">
        <v>72</v>
      </c>
      <c r="Q237" s="602" t="s">
        <v>283</v>
      </c>
      <c r="R237" s="602" t="s">
        <v>284</v>
      </c>
      <c r="S237" s="602" t="s">
        <v>285</v>
      </c>
      <c r="T237" s="602" t="s">
        <v>286</v>
      </c>
      <c r="U237" s="602" t="s">
        <v>287</v>
      </c>
      <c r="V237" s="24" t="s">
        <v>27</v>
      </c>
      <c r="X237" s="602" t="s">
        <v>288</v>
      </c>
      <c r="Y237" s="213" t="s">
        <v>289</v>
      </c>
      <c r="AA237" s="243"/>
    </row>
    <row r="238" spans="1:27" ht="14.1" customHeight="1">
      <c r="A238" s="20">
        <v>22</v>
      </c>
      <c r="B238" s="71"/>
      <c r="C238" s="72"/>
      <c r="D238" s="415" t="str">
        <f t="shared" si="30"/>
        <v/>
      </c>
      <c r="E238" s="413" t="str">
        <f t="shared" si="30"/>
        <v/>
      </c>
      <c r="F238" s="413" t="str">
        <f t="shared" si="30"/>
        <v/>
      </c>
      <c r="G238" s="413" t="str">
        <f t="shared" si="30"/>
        <v/>
      </c>
      <c r="H238" s="413" t="str">
        <f t="shared" si="30"/>
        <v/>
      </c>
      <c r="I238" s="413" t="str">
        <f t="shared" si="30"/>
        <v/>
      </c>
      <c r="J238" s="416" t="str">
        <f t="shared" si="30"/>
        <v/>
      </c>
      <c r="K238" s="428" t="str">
        <f t="shared" si="31"/>
        <v/>
      </c>
      <c r="L238" s="434" t="str">
        <f t="shared" si="31"/>
        <v/>
      </c>
      <c r="M238" s="73"/>
      <c r="O238" s="33"/>
      <c r="P238" s="167"/>
      <c r="Q238" s="168"/>
      <c r="R238" s="168"/>
      <c r="S238" s="168"/>
      <c r="T238" s="214" t="str">
        <f>IF(OR(R238="",S238=""),"",(R238-50)/S238)</f>
        <v/>
      </c>
      <c r="U238" s="215" t="str">
        <f>IF(OR(Q238="",R238="",S238=""),"",(R238-Q238)/S238)</f>
        <v/>
      </c>
      <c r="V238" s="216" t="str">
        <f>IF($V$333="","",$V$333*P238)</f>
        <v/>
      </c>
      <c r="X238" s="217" t="str">
        <f>IF(OR(Q238="",$Q$243=""),"",ABS(Q238-$Q$243)/$Q$243)</f>
        <v/>
      </c>
      <c r="Y238" s="218" t="str">
        <f>IF(OR(T238="",$T$243=""),"",ABS(T238-$T$243)/$T$243)</f>
        <v/>
      </c>
      <c r="AA238" s="243"/>
    </row>
    <row r="239" spans="1:27" ht="14.1" customHeight="1">
      <c r="A239" s="20">
        <v>23</v>
      </c>
      <c r="B239" s="71"/>
      <c r="C239" s="72"/>
      <c r="D239" s="415" t="str">
        <f t="shared" si="30"/>
        <v/>
      </c>
      <c r="E239" s="413" t="str">
        <f t="shared" si="30"/>
        <v/>
      </c>
      <c r="F239" s="413" t="str">
        <f t="shared" si="30"/>
        <v/>
      </c>
      <c r="G239" s="413" t="str">
        <f t="shared" si="30"/>
        <v/>
      </c>
      <c r="H239" s="413" t="str">
        <f t="shared" si="30"/>
        <v/>
      </c>
      <c r="I239" s="413" t="str">
        <f t="shared" si="30"/>
        <v/>
      </c>
      <c r="J239" s="416" t="str">
        <f t="shared" si="30"/>
        <v/>
      </c>
      <c r="K239" s="428" t="str">
        <f t="shared" si="31"/>
        <v/>
      </c>
      <c r="L239" s="434" t="str">
        <f t="shared" si="31"/>
        <v/>
      </c>
      <c r="M239" s="73"/>
      <c r="O239" s="33"/>
      <c r="P239" s="170"/>
      <c r="Q239" s="171"/>
      <c r="R239" s="171"/>
      <c r="S239" s="171"/>
      <c r="T239" s="74" t="str">
        <f>IF(OR(R239="",S239=""),"",(R239-50)/S239)</f>
        <v/>
      </c>
      <c r="U239" s="75" t="str">
        <f>IF(OR(Q239="",R239="",S239=""),"",(R239-Q239)/S239)</f>
        <v/>
      </c>
      <c r="V239" s="219" t="str">
        <f>IF($V$333="","",$V$333*P239)</f>
        <v/>
      </c>
      <c r="X239" s="217" t="str">
        <f>IF(OR(Q239="",$Q$243=""),"",ABS(Q239-$Q$243)/$Q$243)</f>
        <v/>
      </c>
      <c r="Y239" s="218" t="str">
        <f>IF(OR(T239="",$T$243=""),"",ABS(T239-$T$243)/$T$243)</f>
        <v/>
      </c>
      <c r="AA239" s="243"/>
    </row>
    <row r="240" spans="1:27" ht="14.1" customHeight="1">
      <c r="A240" s="20">
        <v>24</v>
      </c>
      <c r="B240" s="71"/>
      <c r="C240" s="72"/>
      <c r="D240" s="415" t="str">
        <f t="shared" si="30"/>
        <v/>
      </c>
      <c r="E240" s="413" t="str">
        <f t="shared" si="30"/>
        <v/>
      </c>
      <c r="F240" s="413" t="str">
        <f t="shared" si="30"/>
        <v/>
      </c>
      <c r="G240" s="413" t="str">
        <f t="shared" si="30"/>
        <v/>
      </c>
      <c r="H240" s="413" t="str">
        <f t="shared" si="30"/>
        <v/>
      </c>
      <c r="I240" s="413" t="str">
        <f t="shared" si="30"/>
        <v/>
      </c>
      <c r="J240" s="416" t="str">
        <f t="shared" si="30"/>
        <v/>
      </c>
      <c r="K240" s="428" t="str">
        <f t="shared" si="31"/>
        <v/>
      </c>
      <c r="L240" s="434" t="str">
        <f t="shared" si="31"/>
        <v/>
      </c>
      <c r="M240" s="73"/>
      <c r="O240" s="33"/>
      <c r="P240" s="170"/>
      <c r="Q240" s="171"/>
      <c r="R240" s="171"/>
      <c r="S240" s="171"/>
      <c r="T240" s="74" t="str">
        <f>IF(OR(R240="",S240=""),"",(R240-50)/S240)</f>
        <v/>
      </c>
      <c r="U240" s="75" t="str">
        <f>IF(OR(Q240="",R240="",S240=""),"",(R240-Q240)/S240)</f>
        <v/>
      </c>
      <c r="V240" s="219" t="str">
        <f>IF($V$333="","",$V$333*P240)</f>
        <v/>
      </c>
      <c r="X240" s="217" t="str">
        <f>IF(OR(Q240="",$Q$243=""),"",ABS(Q240-$Q$243)/$Q$243)</f>
        <v/>
      </c>
      <c r="Y240" s="218" t="str">
        <f>IF(OR(T240="",$T$243=""),"",ABS(T240-$T$243)/$T$243)</f>
        <v/>
      </c>
      <c r="AA240" s="243"/>
    </row>
    <row r="241" spans="1:27" ht="14.1" customHeight="1" thickBot="1">
      <c r="A241" s="20">
        <v>25</v>
      </c>
      <c r="B241" s="71"/>
      <c r="C241" s="72"/>
      <c r="D241" s="417" t="str">
        <f t="shared" si="30"/>
        <v/>
      </c>
      <c r="E241" s="418" t="str">
        <f t="shared" si="30"/>
        <v/>
      </c>
      <c r="F241" s="418" t="str">
        <f t="shared" si="30"/>
        <v/>
      </c>
      <c r="G241" s="418" t="str">
        <f t="shared" si="30"/>
        <v/>
      </c>
      <c r="H241" s="418" t="str">
        <f t="shared" si="30"/>
        <v/>
      </c>
      <c r="I241" s="418" t="str">
        <f t="shared" si="30"/>
        <v/>
      </c>
      <c r="J241" s="419" t="str">
        <f t="shared" si="30"/>
        <v/>
      </c>
      <c r="K241" s="429" t="str">
        <f t="shared" si="31"/>
        <v/>
      </c>
      <c r="L241" s="446" t="str">
        <f t="shared" si="31"/>
        <v/>
      </c>
      <c r="M241" s="73"/>
      <c r="O241" s="33"/>
      <c r="P241" s="170"/>
      <c r="Q241" s="171"/>
      <c r="R241" s="171"/>
      <c r="S241" s="171"/>
      <c r="T241" s="74" t="str">
        <f>IF(OR(R241="",S241=""),"",(R241-50)/S241)</f>
        <v/>
      </c>
      <c r="U241" s="75" t="str">
        <f>IF(OR(Q241="",R241="",S241=""),"",(R241-Q241)/S241)</f>
        <v/>
      </c>
      <c r="V241" s="219" t="str">
        <f>IF($V$333="","",$V$333*P241)</f>
        <v/>
      </c>
      <c r="X241" s="217" t="str">
        <f>IF(OR(Q241="",$Q$243=""),"",ABS(Q241-$Q$243)/$Q$243)</f>
        <v/>
      </c>
      <c r="Y241" s="218" t="str">
        <f>IF(OR(T241="",$T$243=""),"",ABS(T241-$T$243)/$T$243)</f>
        <v/>
      </c>
    </row>
    <row r="242" spans="1:27" ht="14.1" customHeight="1" thickBot="1">
      <c r="A242" s="20">
        <v>26</v>
      </c>
      <c r="B242" s="71"/>
      <c r="C242" s="465" t="s">
        <v>272</v>
      </c>
      <c r="D242" s="420" t="str">
        <f t="shared" si="30"/>
        <v/>
      </c>
      <c r="E242" s="421" t="str">
        <f t="shared" si="30"/>
        <v/>
      </c>
      <c r="F242" s="421" t="str">
        <f t="shared" si="30"/>
        <v/>
      </c>
      <c r="G242" s="421" t="str">
        <f t="shared" si="30"/>
        <v/>
      </c>
      <c r="H242" s="421" t="str">
        <f t="shared" si="30"/>
        <v/>
      </c>
      <c r="I242" s="421" t="str">
        <f t="shared" si="30"/>
        <v/>
      </c>
      <c r="J242" s="422" t="str">
        <f t="shared" si="30"/>
        <v/>
      </c>
      <c r="K242" s="430" t="str">
        <f t="shared" si="31"/>
        <v/>
      </c>
      <c r="L242" s="430" t="str">
        <f t="shared" si="31"/>
        <v/>
      </c>
      <c r="M242" s="73"/>
      <c r="O242" s="33"/>
      <c r="P242" s="220"/>
      <c r="Q242" s="221"/>
      <c r="R242" s="221"/>
      <c r="S242" s="221"/>
      <c r="T242" s="222" t="str">
        <f>IF(OR(R242="",S242=""),"",(R242-50)/S242)</f>
        <v/>
      </c>
      <c r="U242" s="223" t="str">
        <f>IF(OR(Q242="",R242="",S242=""),"",(R242-Q242)/S242)</f>
        <v/>
      </c>
      <c r="V242" s="224" t="str">
        <f>IF($V$333="","",$V$333*P242)</f>
        <v/>
      </c>
      <c r="X242" s="217" t="str">
        <f>IF(OR(Q242="",$Q$243=""),"",ABS(Q242-$Q$243)/$Q$243)</f>
        <v/>
      </c>
      <c r="Y242" s="218" t="str">
        <f>IF(OR(T242="",$T$243=""),"",ABS(T242-$T$243)/$T$243)</f>
        <v/>
      </c>
    </row>
    <row r="243" spans="1:27" ht="14.1" customHeight="1" thickBot="1">
      <c r="A243" s="20">
        <v>27</v>
      </c>
      <c r="B243" s="71"/>
      <c r="C243" s="465" t="s">
        <v>273</v>
      </c>
      <c r="D243" s="415" t="str">
        <f t="shared" si="30"/>
        <v/>
      </c>
      <c r="E243" s="413" t="str">
        <f t="shared" si="30"/>
        <v/>
      </c>
      <c r="F243" s="413" t="str">
        <f t="shared" si="30"/>
        <v/>
      </c>
      <c r="G243" s="413" t="str">
        <f t="shared" si="30"/>
        <v/>
      </c>
      <c r="H243" s="413" t="str">
        <f t="shared" si="30"/>
        <v/>
      </c>
      <c r="I243" s="413" t="str">
        <f t="shared" si="30"/>
        <v/>
      </c>
      <c r="J243" s="416" t="str">
        <f t="shared" si="30"/>
        <v/>
      </c>
      <c r="K243" s="430" t="str">
        <f t="shared" si="31"/>
        <v/>
      </c>
      <c r="L243" s="430" t="str">
        <f t="shared" si="31"/>
        <v/>
      </c>
      <c r="M243" s="73"/>
      <c r="O243" s="165" t="s">
        <v>272</v>
      </c>
      <c r="P243" s="226" t="str">
        <f t="shared" ref="P243:V243" si="32">IF(P238="","",AVERAGE(P238:P242))</f>
        <v/>
      </c>
      <c r="Q243" s="214" t="str">
        <f t="shared" si="32"/>
        <v/>
      </c>
      <c r="R243" s="214" t="str">
        <f t="shared" si="32"/>
        <v/>
      </c>
      <c r="S243" s="214" t="str">
        <f t="shared" si="32"/>
        <v/>
      </c>
      <c r="T243" s="214" t="str">
        <f t="shared" si="32"/>
        <v/>
      </c>
      <c r="U243" s="215" t="str">
        <f t="shared" si="32"/>
        <v/>
      </c>
      <c r="V243" s="227" t="str">
        <f t="shared" si="32"/>
        <v/>
      </c>
      <c r="W243" s="38" t="s">
        <v>292</v>
      </c>
      <c r="X243" s="204" t="str">
        <f>IF(X238="","",MAX(X238:X242))</f>
        <v/>
      </c>
      <c r="Y243" s="204" t="str">
        <f>IF(Y238="","",MAX(Y238:Y242))</f>
        <v/>
      </c>
    </row>
    <row r="244" spans="1:27" ht="14.1" customHeight="1" thickBot="1">
      <c r="A244" s="20">
        <v>28</v>
      </c>
      <c r="B244" s="71"/>
      <c r="C244" s="165" t="s">
        <v>274</v>
      </c>
      <c r="D244" s="423" t="str">
        <f t="shared" si="30"/>
        <v/>
      </c>
      <c r="E244" s="424" t="str">
        <f t="shared" si="30"/>
        <v/>
      </c>
      <c r="F244" s="424" t="str">
        <f t="shared" si="30"/>
        <v/>
      </c>
      <c r="G244" s="424" t="str">
        <f t="shared" si="30"/>
        <v/>
      </c>
      <c r="H244" s="424" t="str">
        <f t="shared" si="30"/>
        <v/>
      </c>
      <c r="I244" s="424" t="str">
        <f t="shared" si="30"/>
        <v/>
      </c>
      <c r="J244" s="425" t="str">
        <f t="shared" si="30"/>
        <v/>
      </c>
      <c r="K244" s="72"/>
      <c r="L244" s="72"/>
      <c r="M244" s="73"/>
      <c r="O244" s="165" t="s">
        <v>273</v>
      </c>
      <c r="P244" s="229" t="str">
        <f>IF(P238="","",STDEV(P238:P242))</f>
        <v/>
      </c>
      <c r="Q244" s="74" t="str">
        <f t="shared" ref="Q244:V244" si="33">IF(Q238="","",STDEV(Q238:Q242))</f>
        <v/>
      </c>
      <c r="R244" s="74" t="str">
        <f t="shared" si="33"/>
        <v/>
      </c>
      <c r="S244" s="74" t="str">
        <f t="shared" si="33"/>
        <v/>
      </c>
      <c r="T244" s="74" t="str">
        <f t="shared" si="33"/>
        <v/>
      </c>
      <c r="U244" s="75" t="str">
        <f t="shared" si="33"/>
        <v/>
      </c>
      <c r="V244" s="230" t="str">
        <f t="shared" si="33"/>
        <v/>
      </c>
      <c r="X244" s="148" t="str">
        <f>IF(X243="","",IF(X243&lt;=0.15,"Pass","Fail"))</f>
        <v/>
      </c>
      <c r="Y244" s="148" t="str">
        <f>IF(Y243="","",IF(Y243&lt;=0.15,"Pass","Fail"))</f>
        <v/>
      </c>
    </row>
    <row r="245" spans="1:27" ht="14.1" customHeight="1" thickBot="1">
      <c r="A245" s="20">
        <v>29</v>
      </c>
      <c r="B245" s="71"/>
      <c r="C245" s="72"/>
      <c r="D245" s="426" t="str">
        <f>IF(P246="","",P246)</f>
        <v/>
      </c>
      <c r="E245" s="112"/>
      <c r="F245" s="112"/>
      <c r="G245" s="112"/>
      <c r="H245" s="112"/>
      <c r="I245" s="112"/>
      <c r="J245" s="426" t="str">
        <f>IF(V246="","",V246)</f>
        <v/>
      </c>
      <c r="K245" s="72"/>
      <c r="L245" s="72"/>
      <c r="M245" s="73"/>
      <c r="O245" s="165" t="s">
        <v>274</v>
      </c>
      <c r="P245" s="231" t="str">
        <f t="shared" ref="P245:V245" si="34">IF(OR(P243="",P244=""),"",P244/P243)</f>
        <v/>
      </c>
      <c r="Q245" s="232" t="str">
        <f t="shared" si="34"/>
        <v/>
      </c>
      <c r="R245" s="232" t="str">
        <f t="shared" si="34"/>
        <v/>
      </c>
      <c r="S245" s="232" t="str">
        <f t="shared" si="34"/>
        <v/>
      </c>
      <c r="T245" s="232" t="str">
        <f t="shared" si="34"/>
        <v/>
      </c>
      <c r="U245" s="232" t="str">
        <f t="shared" si="34"/>
        <v/>
      </c>
      <c r="V245" s="233" t="str">
        <f t="shared" si="34"/>
        <v/>
      </c>
      <c r="X245" s="602"/>
      <c r="Y245" s="213"/>
      <c r="Z245" s="602"/>
      <c r="AA245" s="6"/>
    </row>
    <row r="246" spans="1:27" ht="14.1" customHeight="1" thickBot="1">
      <c r="A246" s="20">
        <v>30</v>
      </c>
      <c r="B246" s="71"/>
      <c r="C246" s="5" t="s">
        <v>204</v>
      </c>
      <c r="D246" s="105" t="s">
        <v>293</v>
      </c>
      <c r="E246" s="72"/>
      <c r="F246" s="72"/>
      <c r="G246" s="72"/>
      <c r="H246" s="72"/>
      <c r="I246" s="72"/>
      <c r="J246" s="72"/>
      <c r="K246" s="72"/>
      <c r="L246" s="72"/>
      <c r="M246" s="73"/>
      <c r="O246" s="33"/>
      <c r="P246" s="148" t="str">
        <f>IF(P245="","",IF(P245&lt;=0.05,"Pass","Fail"))</f>
        <v/>
      </c>
      <c r="Q246" s="6"/>
      <c r="R246" s="6"/>
      <c r="S246" s="6"/>
      <c r="T246" s="6"/>
      <c r="U246" s="6"/>
      <c r="V246" s="148" t="str">
        <f>IF(V245="","",IF(V245&lt;=0.05,"Pass","Fail"))</f>
        <v/>
      </c>
      <c r="Y246" s="35"/>
      <c r="Z246" s="602"/>
      <c r="AA246" s="6"/>
    </row>
    <row r="247" spans="1:27" ht="14.1" customHeight="1">
      <c r="A247" s="20">
        <v>31</v>
      </c>
      <c r="B247" s="71"/>
      <c r="C247" s="72"/>
      <c r="D247" s="105" t="s">
        <v>294</v>
      </c>
      <c r="E247" s="72"/>
      <c r="F247" s="72"/>
      <c r="G247" s="72"/>
      <c r="H247" s="72"/>
      <c r="I247" s="72"/>
      <c r="J247" s="72"/>
      <c r="K247" s="72"/>
      <c r="L247" s="72"/>
      <c r="M247" s="73"/>
      <c r="O247" s="33"/>
      <c r="P247" s="5" t="s">
        <v>204</v>
      </c>
      <c r="Q247" s="105" t="s">
        <v>293</v>
      </c>
      <c r="R247" s="72"/>
      <c r="S247" s="72"/>
      <c r="T247" s="72"/>
      <c r="U247" s="72"/>
      <c r="V247" s="72"/>
      <c r="W247" s="72"/>
      <c r="X247" s="72"/>
      <c r="Y247" s="35"/>
      <c r="Z247" s="602"/>
      <c r="AA247" s="30"/>
    </row>
    <row r="248" spans="1:27" ht="14.1" customHeight="1" thickBot="1">
      <c r="A248" s="20">
        <v>32</v>
      </c>
      <c r="B248" s="163"/>
      <c r="C248" s="44"/>
      <c r="D248" s="44"/>
      <c r="E248" s="44"/>
      <c r="F248" s="44"/>
      <c r="G248" s="44"/>
      <c r="H248" s="44"/>
      <c r="I248" s="44"/>
      <c r="J248" s="44"/>
      <c r="K248" s="44"/>
      <c r="L248" s="44"/>
      <c r="M248" s="164"/>
      <c r="O248" s="33"/>
      <c r="P248" s="72"/>
      <c r="Q248" s="105" t="s">
        <v>294</v>
      </c>
      <c r="R248" s="72"/>
      <c r="S248" s="72"/>
      <c r="T248" s="72"/>
      <c r="U248" s="72"/>
      <c r="V248" s="72"/>
      <c r="W248" s="72"/>
      <c r="X248" s="72"/>
      <c r="Y248" s="35"/>
    </row>
    <row r="249" spans="1:27" ht="14.1" customHeight="1" thickBot="1">
      <c r="A249" s="20">
        <v>33</v>
      </c>
      <c r="B249" s="71"/>
      <c r="C249" s="150" t="s">
        <v>295</v>
      </c>
      <c r="D249" s="72"/>
      <c r="E249" s="72"/>
      <c r="F249" s="72"/>
      <c r="G249" s="72"/>
      <c r="H249" s="72"/>
      <c r="I249" s="72"/>
      <c r="J249" s="72"/>
      <c r="K249" s="72"/>
      <c r="L249" s="72"/>
      <c r="M249" s="73"/>
      <c r="O249" s="234"/>
      <c r="P249" s="196"/>
      <c r="Q249" s="196"/>
      <c r="R249" s="196"/>
      <c r="S249" s="196"/>
      <c r="T249" s="196"/>
      <c r="U249" s="196"/>
      <c r="V249" s="196"/>
      <c r="W249" s="196"/>
      <c r="X249" s="196"/>
      <c r="Y249" s="235"/>
    </row>
    <row r="250" spans="1:27" ht="14.1" customHeight="1">
      <c r="A250" s="20">
        <v>34</v>
      </c>
      <c r="B250" s="71"/>
      <c r="C250" s="435" t="s">
        <v>71</v>
      </c>
      <c r="D250" s="432" t="s">
        <v>237</v>
      </c>
      <c r="E250" s="432" t="s">
        <v>262</v>
      </c>
      <c r="F250" s="433" t="s">
        <v>238</v>
      </c>
      <c r="G250" s="72"/>
      <c r="H250" s="795" t="s">
        <v>296</v>
      </c>
      <c r="I250" s="796"/>
      <c r="J250" s="797"/>
      <c r="K250" s="72"/>
      <c r="L250" s="72"/>
      <c r="M250" s="73"/>
      <c r="O250" s="140" t="s">
        <v>295</v>
      </c>
      <c r="P250" s="236"/>
      <c r="Q250" s="236"/>
      <c r="R250" s="236"/>
      <c r="S250" s="236"/>
      <c r="T250" s="236"/>
      <c r="U250" s="236"/>
      <c r="V250" s="236"/>
      <c r="W250" s="236"/>
      <c r="X250" s="236"/>
      <c r="Y250" s="237"/>
    </row>
    <row r="251" spans="1:27" ht="14.1" customHeight="1">
      <c r="A251" s="20">
        <v>35</v>
      </c>
      <c r="B251" s="71"/>
      <c r="C251" s="436" t="s">
        <v>269</v>
      </c>
      <c r="D251" s="304">
        <v>28</v>
      </c>
      <c r="E251" s="304">
        <v>28</v>
      </c>
      <c r="F251" s="350">
        <v>28</v>
      </c>
      <c r="G251" s="72"/>
      <c r="H251" s="349" t="s">
        <v>237</v>
      </c>
      <c r="I251" s="304" t="s">
        <v>262</v>
      </c>
      <c r="J251" s="350" t="s">
        <v>238</v>
      </c>
      <c r="K251" s="72"/>
      <c r="L251" s="72"/>
      <c r="M251" s="73"/>
      <c r="O251" s="190"/>
      <c r="P251" s="239" t="s">
        <v>71</v>
      </c>
      <c r="Q251" s="240" t="s">
        <v>237</v>
      </c>
      <c r="R251" s="240" t="s">
        <v>262</v>
      </c>
      <c r="S251" s="240" t="s">
        <v>238</v>
      </c>
      <c r="T251" s="6"/>
      <c r="U251" s="784" t="s">
        <v>296</v>
      </c>
      <c r="V251" s="784"/>
      <c r="W251" s="784"/>
      <c r="X251" s="6"/>
      <c r="Y251" s="241"/>
    </row>
    <row r="252" spans="1:27" ht="14.1" customHeight="1">
      <c r="A252" s="20">
        <v>36</v>
      </c>
      <c r="B252" s="71"/>
      <c r="C252" s="436" t="s">
        <v>72</v>
      </c>
      <c r="D252" s="304" t="str">
        <f t="shared" ref="D252:D260" si="35">IF(Q253="","",Q253)</f>
        <v/>
      </c>
      <c r="E252" s="304" t="str">
        <f t="shared" ref="E252:E260" si="36">IF(R253="","",R253)</f>
        <v/>
      </c>
      <c r="F252" s="350" t="str">
        <f t="shared" ref="F252:F260" si="37">IF(S253="","",S253)</f>
        <v/>
      </c>
      <c r="G252" s="72"/>
      <c r="H252" s="428" t="str">
        <f t="shared" ref="H252:J256" si="38">IF(U253="","",U253)</f>
        <v/>
      </c>
      <c r="I252" s="18" t="str">
        <f t="shared" si="38"/>
        <v/>
      </c>
      <c r="J252" s="434" t="str">
        <f t="shared" si="38"/>
        <v/>
      </c>
      <c r="K252" s="72"/>
      <c r="L252" s="72"/>
      <c r="M252" s="73"/>
      <c r="O252" s="190"/>
      <c r="P252" s="242" t="s">
        <v>269</v>
      </c>
      <c r="Q252" s="14">
        <v>28</v>
      </c>
      <c r="R252" s="14">
        <v>28</v>
      </c>
      <c r="S252" s="14">
        <v>28</v>
      </c>
      <c r="T252" s="6"/>
      <c r="U252" s="240" t="s">
        <v>237</v>
      </c>
      <c r="V252" s="240" t="s">
        <v>262</v>
      </c>
      <c r="W252" s="240" t="s">
        <v>238</v>
      </c>
      <c r="X252" s="6"/>
      <c r="Y252" s="241"/>
    </row>
    <row r="253" spans="1:27" ht="14.1" customHeight="1">
      <c r="A253" s="20">
        <v>37</v>
      </c>
      <c r="B253" s="71"/>
      <c r="C253" s="436" t="s">
        <v>298</v>
      </c>
      <c r="D253" s="413" t="str">
        <f t="shared" si="35"/>
        <v/>
      </c>
      <c r="E253" s="304" t="str">
        <f t="shared" si="36"/>
        <v/>
      </c>
      <c r="F253" s="350" t="str">
        <f t="shared" si="37"/>
        <v/>
      </c>
      <c r="G253" s="72"/>
      <c r="H253" s="428" t="str">
        <f t="shared" si="38"/>
        <v/>
      </c>
      <c r="I253" s="18" t="str">
        <f t="shared" si="38"/>
        <v/>
      </c>
      <c r="J253" s="434" t="str">
        <f t="shared" si="38"/>
        <v/>
      </c>
      <c r="K253" s="72"/>
      <c r="L253" s="72"/>
      <c r="M253" s="73"/>
      <c r="O253" s="190"/>
      <c r="P253" s="242" t="s">
        <v>72</v>
      </c>
      <c r="Q253" s="590" t="str">
        <f>IF(Q163="","",Q163)</f>
        <v/>
      </c>
      <c r="R253" s="590" t="str">
        <f t="shared" ref="R253:S253" si="39">IF(R163="","",R163)</f>
        <v/>
      </c>
      <c r="S253" s="590" t="str">
        <f t="shared" si="39"/>
        <v/>
      </c>
      <c r="T253" s="6"/>
      <c r="U253" s="185" t="str">
        <f t="shared" ref="U253:W257" si="40">IF(Q254="","",(Q254-Q$259)/Q$259)</f>
        <v/>
      </c>
      <c r="V253" s="185" t="str">
        <f t="shared" si="40"/>
        <v/>
      </c>
      <c r="W253" s="185" t="str">
        <f t="shared" si="40"/>
        <v/>
      </c>
      <c r="X253" s="6"/>
      <c r="Y253" s="241"/>
    </row>
    <row r="254" spans="1:27" ht="14.1" customHeight="1">
      <c r="A254" s="20">
        <v>38</v>
      </c>
      <c r="B254" s="71"/>
      <c r="C254" s="436" t="s">
        <v>300</v>
      </c>
      <c r="D254" s="413" t="str">
        <f t="shared" si="35"/>
        <v/>
      </c>
      <c r="E254" s="304" t="str">
        <f t="shared" si="36"/>
        <v/>
      </c>
      <c r="F254" s="350" t="str">
        <f t="shared" si="37"/>
        <v/>
      </c>
      <c r="G254" s="72"/>
      <c r="H254" s="428" t="str">
        <f t="shared" si="38"/>
        <v/>
      </c>
      <c r="I254" s="18" t="str">
        <f t="shared" si="38"/>
        <v/>
      </c>
      <c r="J254" s="434" t="str">
        <f t="shared" si="38"/>
        <v/>
      </c>
      <c r="K254" s="72"/>
      <c r="L254" s="72"/>
      <c r="M254" s="73"/>
      <c r="O254" s="190"/>
      <c r="P254" s="239" t="s">
        <v>298</v>
      </c>
      <c r="Q254" s="2"/>
      <c r="R254" s="2"/>
      <c r="S254" s="2"/>
      <c r="T254" s="6"/>
      <c r="U254" s="185" t="str">
        <f t="shared" si="40"/>
        <v/>
      </c>
      <c r="V254" s="185" t="str">
        <f t="shared" si="40"/>
        <v/>
      </c>
      <c r="W254" s="185" t="str">
        <f t="shared" si="40"/>
        <v/>
      </c>
      <c r="X254" s="6"/>
      <c r="Y254" s="241"/>
    </row>
    <row r="255" spans="1:27" ht="14.1" customHeight="1">
      <c r="A255" s="20">
        <v>39</v>
      </c>
      <c r="B255" s="71"/>
      <c r="C255" s="436" t="s">
        <v>301</v>
      </c>
      <c r="D255" s="413" t="str">
        <f t="shared" si="35"/>
        <v/>
      </c>
      <c r="E255" s="304" t="str">
        <f t="shared" si="36"/>
        <v/>
      </c>
      <c r="F255" s="350" t="str">
        <f t="shared" si="37"/>
        <v/>
      </c>
      <c r="G255" s="72"/>
      <c r="H255" s="428" t="str">
        <f t="shared" si="38"/>
        <v/>
      </c>
      <c r="I255" s="18" t="str">
        <f t="shared" si="38"/>
        <v/>
      </c>
      <c r="J255" s="434" t="str">
        <f t="shared" si="38"/>
        <v/>
      </c>
      <c r="K255" s="72"/>
      <c r="L255" s="72"/>
      <c r="M255" s="73"/>
      <c r="O255" s="190"/>
      <c r="P255" s="242" t="s">
        <v>300</v>
      </c>
      <c r="Q255" s="3"/>
      <c r="R255" s="3"/>
      <c r="S255" s="3"/>
      <c r="T255" s="6"/>
      <c r="U255" s="185" t="str">
        <f t="shared" si="40"/>
        <v/>
      </c>
      <c r="V255" s="185" t="str">
        <f t="shared" si="40"/>
        <v/>
      </c>
      <c r="W255" s="185" t="str">
        <f t="shared" si="40"/>
        <v/>
      </c>
      <c r="X255" s="6"/>
      <c r="Y255" s="241"/>
    </row>
    <row r="256" spans="1:27" ht="14.1" customHeight="1" thickBot="1">
      <c r="A256" s="20">
        <v>40</v>
      </c>
      <c r="B256" s="71"/>
      <c r="C256" s="436" t="s">
        <v>303</v>
      </c>
      <c r="D256" s="413" t="str">
        <f t="shared" si="35"/>
        <v/>
      </c>
      <c r="E256" s="304" t="str">
        <f t="shared" si="36"/>
        <v/>
      </c>
      <c r="F256" s="350" t="str">
        <f t="shared" si="37"/>
        <v/>
      </c>
      <c r="G256" s="72"/>
      <c r="H256" s="423" t="str">
        <f t="shared" si="38"/>
        <v/>
      </c>
      <c r="I256" s="424" t="str">
        <f t="shared" si="38"/>
        <v/>
      </c>
      <c r="J256" s="425" t="str">
        <f t="shared" si="38"/>
        <v/>
      </c>
      <c r="K256" s="72"/>
      <c r="L256" s="72"/>
      <c r="M256" s="73"/>
      <c r="O256" s="190"/>
      <c r="P256" s="242" t="s">
        <v>301</v>
      </c>
      <c r="Q256" s="3"/>
      <c r="R256" s="3"/>
      <c r="S256" s="3"/>
      <c r="T256" s="6"/>
      <c r="U256" s="185" t="str">
        <f t="shared" si="40"/>
        <v/>
      </c>
      <c r="V256" s="185" t="str">
        <f t="shared" si="40"/>
        <v/>
      </c>
      <c r="W256" s="185" t="str">
        <f t="shared" si="40"/>
        <v/>
      </c>
      <c r="X256" s="6"/>
      <c r="Y256" s="241"/>
    </row>
    <row r="257" spans="1:34" ht="14.1" customHeight="1">
      <c r="A257" s="20">
        <v>41</v>
      </c>
      <c r="B257" s="71"/>
      <c r="C257" s="436" t="s">
        <v>307</v>
      </c>
      <c r="D257" s="413" t="str">
        <f t="shared" si="35"/>
        <v/>
      </c>
      <c r="E257" s="304" t="str">
        <f t="shared" si="36"/>
        <v/>
      </c>
      <c r="F257" s="350" t="str">
        <f t="shared" si="37"/>
        <v/>
      </c>
      <c r="G257" s="72"/>
      <c r="H257" s="72"/>
      <c r="I257" s="72"/>
      <c r="J257" s="72"/>
      <c r="K257" s="72"/>
      <c r="L257" s="72"/>
      <c r="M257" s="73"/>
      <c r="O257" s="190"/>
      <c r="P257" s="242" t="s">
        <v>303</v>
      </c>
      <c r="Q257" s="3"/>
      <c r="R257" s="3"/>
      <c r="S257" s="3"/>
      <c r="T257" s="6"/>
      <c r="U257" s="185" t="str">
        <f t="shared" si="40"/>
        <v/>
      </c>
      <c r="V257" s="185" t="str">
        <f t="shared" si="40"/>
        <v/>
      </c>
      <c r="W257" s="185" t="str">
        <f t="shared" si="40"/>
        <v/>
      </c>
      <c r="X257" s="6"/>
      <c r="Y257" s="241"/>
    </row>
    <row r="258" spans="1:34" ht="14.1" customHeight="1">
      <c r="A258" s="20">
        <v>42</v>
      </c>
      <c r="B258" s="71"/>
      <c r="C258" s="436" t="s">
        <v>309</v>
      </c>
      <c r="D258" s="413" t="str">
        <f t="shared" si="35"/>
        <v/>
      </c>
      <c r="E258" s="304" t="str">
        <f t="shared" si="36"/>
        <v/>
      </c>
      <c r="F258" s="350" t="str">
        <f t="shared" si="37"/>
        <v/>
      </c>
      <c r="G258" s="72"/>
      <c r="H258" s="72"/>
      <c r="I258" s="72"/>
      <c r="J258" s="72"/>
      <c r="K258" s="72"/>
      <c r="L258" s="72"/>
      <c r="M258" s="73"/>
      <c r="O258" s="190"/>
      <c r="P258" s="242" t="s">
        <v>307</v>
      </c>
      <c r="Q258" s="3"/>
      <c r="R258" s="3"/>
      <c r="S258" s="3"/>
      <c r="T258" s="6"/>
      <c r="U258" s="6"/>
      <c r="V258" s="6"/>
      <c r="W258" s="6"/>
      <c r="X258" s="6"/>
      <c r="Y258" s="241"/>
    </row>
    <row r="259" spans="1:34" ht="14.1" customHeight="1" thickBot="1">
      <c r="A259" s="20">
        <v>43</v>
      </c>
      <c r="B259" s="71"/>
      <c r="C259" s="437" t="s">
        <v>311</v>
      </c>
      <c r="D259" s="424" t="str">
        <f t="shared" si="35"/>
        <v/>
      </c>
      <c r="E259" s="424" t="str">
        <f t="shared" si="36"/>
        <v/>
      </c>
      <c r="F259" s="425" t="str">
        <f t="shared" si="37"/>
        <v/>
      </c>
      <c r="G259" s="72"/>
      <c r="H259" s="72"/>
      <c r="I259" s="72"/>
      <c r="J259" s="72"/>
      <c r="K259" s="72"/>
      <c r="L259" s="72"/>
      <c r="M259" s="73"/>
      <c r="O259" s="190"/>
      <c r="P259" s="242" t="s">
        <v>309</v>
      </c>
      <c r="Q259" s="110" t="str">
        <f>IF(Q254="","",AVERAGE(Q254:Q258))</f>
        <v/>
      </c>
      <c r="R259" s="110" t="str">
        <f>IF(R254="","",AVERAGE(R254:R258))</f>
        <v/>
      </c>
      <c r="S259" s="110" t="str">
        <f>IF(S254="","",AVERAGE(S254:S258))</f>
        <v/>
      </c>
      <c r="T259" s="6"/>
      <c r="U259" s="6"/>
      <c r="V259" s="6"/>
      <c r="W259" s="6"/>
      <c r="X259" s="6"/>
      <c r="Y259" s="241"/>
      <c r="AA259" s="6"/>
    </row>
    <row r="260" spans="1:34" ht="14.1" customHeight="1" thickBot="1">
      <c r="A260" s="20">
        <v>44</v>
      </c>
      <c r="B260" s="71"/>
      <c r="C260" s="72"/>
      <c r="D260" s="389" t="str">
        <f t="shared" si="35"/>
        <v/>
      </c>
      <c r="E260" s="389" t="str">
        <f t="shared" si="36"/>
        <v/>
      </c>
      <c r="F260" s="389" t="str">
        <f t="shared" si="37"/>
        <v/>
      </c>
      <c r="G260" s="72"/>
      <c r="H260" s="72"/>
      <c r="I260" s="72"/>
      <c r="J260" s="72"/>
      <c r="K260" s="72"/>
      <c r="L260" s="72"/>
      <c r="M260" s="73"/>
      <c r="O260" s="190"/>
      <c r="P260" s="242" t="s">
        <v>311</v>
      </c>
      <c r="Q260" s="250" t="str">
        <f>IF(U253="","",MAX(U253:U257))</f>
        <v/>
      </c>
      <c r="R260" s="250" t="str">
        <f t="shared" ref="R260:S260" si="41">IF(V253="","",MAX(V253:V257))</f>
        <v/>
      </c>
      <c r="S260" s="250" t="str">
        <f t="shared" si="41"/>
        <v/>
      </c>
      <c r="T260" s="6"/>
      <c r="U260" s="6"/>
      <c r="V260" s="6"/>
      <c r="W260" s="6"/>
      <c r="X260" s="6"/>
      <c r="Y260" s="241"/>
      <c r="AA260" s="6"/>
      <c r="AD260" s="602"/>
      <c r="AE260" s="602"/>
      <c r="AF260" s="602"/>
      <c r="AG260" s="602"/>
      <c r="AH260" s="602"/>
    </row>
    <row r="261" spans="1:34" ht="14.1" customHeight="1">
      <c r="A261" s="20">
        <v>45</v>
      </c>
      <c r="B261" s="71"/>
      <c r="C261" s="5" t="s">
        <v>204</v>
      </c>
      <c r="D261" s="105" t="s">
        <v>314</v>
      </c>
      <c r="E261" s="72"/>
      <c r="F261" s="72"/>
      <c r="G261" s="72"/>
      <c r="H261" s="72"/>
      <c r="I261" s="72"/>
      <c r="J261" s="72"/>
      <c r="K261" s="72"/>
      <c r="L261" s="72"/>
      <c r="M261" s="73"/>
      <c r="O261" s="190"/>
      <c r="Q261" s="4" t="str">
        <f>IF(Q260="","",IF(Q260&lt;=0.07,"Pass","Fail"))</f>
        <v/>
      </c>
      <c r="R261" s="4" t="str">
        <f t="shared" ref="R261:S261" si="42">IF(R260="","",IF(R260&lt;=0.07,"Pass","Fail"))</f>
        <v/>
      </c>
      <c r="S261" s="4" t="str">
        <f t="shared" si="42"/>
        <v/>
      </c>
      <c r="T261" s="6"/>
      <c r="U261" s="6"/>
      <c r="V261" s="6"/>
      <c r="W261" s="6"/>
      <c r="X261" s="6"/>
      <c r="Y261" s="241"/>
      <c r="AA261" s="6"/>
    </row>
    <row r="262" spans="1:34" ht="14.1" customHeight="1" thickBot="1">
      <c r="A262" s="20">
        <v>46</v>
      </c>
      <c r="B262" s="163"/>
      <c r="C262" s="44"/>
      <c r="D262" s="44"/>
      <c r="E262" s="44"/>
      <c r="F262" s="44"/>
      <c r="G262" s="44"/>
      <c r="H262" s="44"/>
      <c r="I262" s="44"/>
      <c r="J262" s="44"/>
      <c r="K262" s="44"/>
      <c r="L262" s="44"/>
      <c r="M262" s="164"/>
      <c r="O262" s="190"/>
      <c r="P262" s="5" t="s">
        <v>204</v>
      </c>
      <c r="Q262" s="142" t="s">
        <v>314</v>
      </c>
      <c r="T262" s="6"/>
      <c r="U262" s="6"/>
      <c r="V262" s="6"/>
      <c r="W262" s="6"/>
      <c r="X262" s="6"/>
      <c r="Y262" s="241"/>
      <c r="AA262" s="6"/>
    </row>
    <row r="263" spans="1:34" ht="14.1" customHeight="1" thickBot="1">
      <c r="A263" s="20">
        <v>47</v>
      </c>
      <c r="B263" s="71"/>
      <c r="C263" s="150" t="s">
        <v>297</v>
      </c>
      <c r="D263" s="72"/>
      <c r="E263" s="72"/>
      <c r="F263" s="72"/>
      <c r="G263" s="72"/>
      <c r="H263" s="72"/>
      <c r="I263" s="72"/>
      <c r="J263" s="72"/>
      <c r="K263" s="72"/>
      <c r="L263" s="72"/>
      <c r="M263" s="73"/>
      <c r="O263" s="234"/>
      <c r="P263" s="196"/>
      <c r="Q263" s="196"/>
      <c r="R263" s="196"/>
      <c r="S263" s="196"/>
      <c r="T263" s="196"/>
      <c r="U263" s="196"/>
      <c r="V263" s="196"/>
      <c r="W263" s="196"/>
      <c r="X263" s="196"/>
      <c r="Y263" s="235"/>
      <c r="AA263" s="6"/>
    </row>
    <row r="264" spans="1:34" ht="14.1" customHeight="1">
      <c r="A264" s="20">
        <v>48</v>
      </c>
      <c r="B264" s="71"/>
      <c r="C264" s="166" t="s">
        <v>299</v>
      </c>
      <c r="D264" s="144" t="str">
        <f>IF(Q265="","",Q265)</f>
        <v/>
      </c>
      <c r="E264" s="72"/>
      <c r="F264" s="166" t="s">
        <v>173</v>
      </c>
      <c r="G264" s="144">
        <f>IF(T265="","",T265)</f>
        <v>28</v>
      </c>
      <c r="H264" s="72"/>
      <c r="I264" s="72"/>
      <c r="J264" s="72"/>
      <c r="K264" s="72"/>
      <c r="L264" s="72"/>
      <c r="M264" s="73"/>
      <c r="O264" s="140" t="s">
        <v>588</v>
      </c>
      <c r="P264" s="26"/>
      <c r="Q264" s="26"/>
      <c r="R264" s="26"/>
      <c r="S264" s="26"/>
      <c r="T264" s="26"/>
      <c r="U264" s="26"/>
      <c r="V264" s="26"/>
      <c r="W264" s="26"/>
      <c r="X264" s="26"/>
      <c r="Y264" s="27"/>
      <c r="AA264" s="6"/>
    </row>
    <row r="265" spans="1:34" ht="14.1" customHeight="1">
      <c r="A265" s="20">
        <v>49</v>
      </c>
      <c r="B265" s="71"/>
      <c r="C265" s="166" t="s">
        <v>95</v>
      </c>
      <c r="D265" s="144" t="str">
        <f>IF(Q266="","",Q266)</f>
        <v>W/Rh</v>
      </c>
      <c r="E265" s="72"/>
      <c r="F265" s="166" t="s">
        <v>176</v>
      </c>
      <c r="G265" s="144">
        <f>IF(T266="","",T266)</f>
        <v>100</v>
      </c>
      <c r="H265" s="72"/>
      <c r="I265" s="72"/>
      <c r="J265" s="72"/>
      <c r="K265" s="72"/>
      <c r="L265" s="72"/>
      <c r="M265" s="73"/>
      <c r="O265" s="33"/>
      <c r="P265" s="38" t="s">
        <v>299</v>
      </c>
      <c r="Q265" s="1"/>
      <c r="S265" s="38" t="s">
        <v>173</v>
      </c>
      <c r="T265" s="141">
        <v>28</v>
      </c>
      <c r="V265" s="6"/>
      <c r="W265" s="6"/>
      <c r="Y265" s="35"/>
      <c r="AA265" s="6"/>
    </row>
    <row r="266" spans="1:34" ht="14.1" customHeight="1">
      <c r="A266" s="20">
        <v>50</v>
      </c>
      <c r="B266" s="71"/>
      <c r="C266" s="72"/>
      <c r="D266" s="72"/>
      <c r="E266" s="72"/>
      <c r="F266" s="111" t="s">
        <v>275</v>
      </c>
      <c r="G266" s="72"/>
      <c r="H266" s="72" t="s">
        <v>302</v>
      </c>
      <c r="I266" s="72"/>
      <c r="J266" s="72"/>
      <c r="K266" s="72"/>
      <c r="L266" s="72"/>
      <c r="M266" s="73"/>
      <c r="O266" s="33"/>
      <c r="P266" s="38" t="s">
        <v>95</v>
      </c>
      <c r="Q266" s="141" t="s">
        <v>238</v>
      </c>
      <c r="S266" s="38" t="s">
        <v>176</v>
      </c>
      <c r="T266" s="141">
        <v>100</v>
      </c>
      <c r="Y266" s="35"/>
      <c r="AA266" s="6"/>
    </row>
    <row r="267" spans="1:34" ht="14.1" customHeight="1" thickBot="1">
      <c r="A267" s="20">
        <v>51</v>
      </c>
      <c r="B267" s="71"/>
      <c r="C267" s="111"/>
      <c r="D267" s="111" t="s">
        <v>72</v>
      </c>
      <c r="E267" s="111" t="s">
        <v>284</v>
      </c>
      <c r="F267" s="111" t="s">
        <v>276</v>
      </c>
      <c r="G267" s="111" t="s">
        <v>304</v>
      </c>
      <c r="H267" s="111" t="s">
        <v>305</v>
      </c>
      <c r="I267" s="72"/>
      <c r="J267" s="166" t="s">
        <v>306</v>
      </c>
      <c r="K267" s="145" t="e">
        <f t="shared" ref="K267:K272" si="43">IF(X268="","",X268)</f>
        <v>#N/A</v>
      </c>
      <c r="L267" s="72"/>
      <c r="M267" s="73"/>
      <c r="O267" s="33"/>
      <c r="S267" s="602" t="s">
        <v>275</v>
      </c>
      <c r="U267" s="24" t="s">
        <v>302</v>
      </c>
      <c r="Y267" s="35"/>
    </row>
    <row r="268" spans="1:34" ht="14.1" customHeight="1">
      <c r="A268" s="20">
        <v>52</v>
      </c>
      <c r="B268" s="71"/>
      <c r="C268" s="72"/>
      <c r="D268" s="244" t="str">
        <f t="shared" ref="D268:H273" si="44">IF(Q269="","",Q269)</f>
        <v/>
      </c>
      <c r="E268" s="595" t="str">
        <f t="shared" si="44"/>
        <v/>
      </c>
      <c r="F268" s="209" t="str">
        <f t="shared" si="44"/>
        <v/>
      </c>
      <c r="G268" s="245" t="str">
        <f t="shared" si="44"/>
        <v/>
      </c>
      <c r="H268" s="246" t="str">
        <f t="shared" si="44"/>
        <v/>
      </c>
      <c r="I268" s="72"/>
      <c r="J268" s="166" t="s">
        <v>308</v>
      </c>
      <c r="K268" s="146" t="str">
        <f t="shared" si="43"/>
        <v/>
      </c>
      <c r="L268" s="72"/>
      <c r="M268" s="73"/>
      <c r="O268" s="190"/>
      <c r="Q268" s="602" t="s">
        <v>72</v>
      </c>
      <c r="R268" s="602" t="s">
        <v>284</v>
      </c>
      <c r="S268" s="602" t="s">
        <v>276</v>
      </c>
      <c r="T268" s="602" t="s">
        <v>304</v>
      </c>
      <c r="U268" s="602" t="s">
        <v>305</v>
      </c>
      <c r="W268" s="38" t="s">
        <v>306</v>
      </c>
      <c r="X268" s="279" t="e">
        <f>IF(T265="","",T265*HLOOKUP($Q$266,Tables!D78:F80,2)+HLOOKUP(Sheet1!$Q$266,Tables!D78:F80,3))</f>
        <v>#N/A</v>
      </c>
      <c r="Y268" s="35"/>
    </row>
    <row r="269" spans="1:34" ht="14.1" customHeight="1">
      <c r="A269" s="20">
        <v>53</v>
      </c>
      <c r="B269" s="71"/>
      <c r="C269" s="72"/>
      <c r="D269" s="247" t="str">
        <f t="shared" si="44"/>
        <v/>
      </c>
      <c r="E269" s="110" t="str">
        <f t="shared" si="44"/>
        <v/>
      </c>
      <c r="F269" s="14" t="str">
        <f t="shared" si="44"/>
        <v/>
      </c>
      <c r="G269" s="16" t="str">
        <f t="shared" si="44"/>
        <v/>
      </c>
      <c r="H269" s="248" t="str">
        <f t="shared" si="44"/>
        <v/>
      </c>
      <c r="I269" s="72"/>
      <c r="J269" s="166" t="s">
        <v>310</v>
      </c>
      <c r="K269" s="249" t="e">
        <f t="shared" si="43"/>
        <v>#N/A</v>
      </c>
      <c r="L269" s="72"/>
      <c r="M269" s="73"/>
      <c r="O269" s="190"/>
      <c r="Q269" s="149"/>
      <c r="R269" s="149"/>
      <c r="S269" s="149"/>
      <c r="T269" s="309" t="str">
        <f>IF(Q269="","",Q269/$T$266)</f>
        <v/>
      </c>
      <c r="U269" s="311" t="str">
        <f>IF(Q269="","",($T$265^2*HLOOKUP($Q$266,Tables!$D$70:$F$72,2)+HLOOKUP(Sheet1!$Q$266,Tables!$D$70:$F$72,3))*Q269)</f>
        <v/>
      </c>
      <c r="W269" s="38" t="s">
        <v>308</v>
      </c>
      <c r="X269" s="279" t="str">
        <f>IF(U273="","",U273)</f>
        <v/>
      </c>
      <c r="Y269" s="35"/>
    </row>
    <row r="270" spans="1:34" ht="14.1" customHeight="1">
      <c r="A270" s="20">
        <v>54</v>
      </c>
      <c r="B270" s="71"/>
      <c r="C270" s="72"/>
      <c r="D270" s="247" t="str">
        <f t="shared" si="44"/>
        <v/>
      </c>
      <c r="E270" s="110" t="str">
        <f t="shared" si="44"/>
        <v/>
      </c>
      <c r="F270" s="14" t="str">
        <f t="shared" si="44"/>
        <v/>
      </c>
      <c r="G270" s="16" t="str">
        <f t="shared" si="44"/>
        <v/>
      </c>
      <c r="H270" s="248" t="str">
        <f t="shared" si="44"/>
        <v/>
      </c>
      <c r="I270" s="72"/>
      <c r="J270" s="166" t="s">
        <v>312</v>
      </c>
      <c r="K270" s="146" t="str">
        <f t="shared" si="43"/>
        <v/>
      </c>
      <c r="L270" s="72"/>
      <c r="M270" s="73"/>
      <c r="O270" s="190"/>
      <c r="Q270" s="149"/>
      <c r="R270" s="149"/>
      <c r="S270" s="149"/>
      <c r="T270" s="309" t="str">
        <f>IF(Q270="","",Q270/$T$266)</f>
        <v/>
      </c>
      <c r="U270" s="311" t="str">
        <f>IF(Q270="","",($T$265^2*HLOOKUP($Q$266,Tables!$D$70:$F$72,2)+HLOOKUP(Sheet1!$Q$266,Tables!$D$70:$F$72,3))*Q270)</f>
        <v/>
      </c>
      <c r="W270" s="38" t="s">
        <v>310</v>
      </c>
      <c r="X270" s="260" t="e">
        <f>IF(Q266="","",HLOOKUP(Q266,Tables!A83:F84,2))</f>
        <v>#N/A</v>
      </c>
      <c r="Y270" s="35"/>
    </row>
    <row r="271" spans="1:34" ht="14.1" customHeight="1" thickBot="1">
      <c r="A271" s="20">
        <v>55</v>
      </c>
      <c r="B271" s="71"/>
      <c r="C271" s="72"/>
      <c r="D271" s="251" t="str">
        <f t="shared" si="44"/>
        <v/>
      </c>
      <c r="E271" s="596" t="str">
        <f t="shared" si="44"/>
        <v/>
      </c>
      <c r="F271" s="212" t="str">
        <f t="shared" si="44"/>
        <v/>
      </c>
      <c r="G271" s="252" t="str">
        <f t="shared" si="44"/>
        <v/>
      </c>
      <c r="H271" s="253" t="str">
        <f t="shared" si="44"/>
        <v/>
      </c>
      <c r="I271" s="72"/>
      <c r="J271" s="166" t="s">
        <v>313</v>
      </c>
      <c r="K271" s="146" t="str">
        <f t="shared" si="43"/>
        <v/>
      </c>
      <c r="L271" s="72"/>
      <c r="M271" s="73"/>
      <c r="O271" s="190"/>
      <c r="Q271" s="149"/>
      <c r="R271" s="149"/>
      <c r="S271" s="149"/>
      <c r="T271" s="309" t="str">
        <f>IF(Q271="","",Q271/$T$266)</f>
        <v/>
      </c>
      <c r="U271" s="311" t="str">
        <f>IF(Q271="","",($T$265^2*HLOOKUP($Q$266,Tables!$D$70:$F$72,2)+HLOOKUP(Sheet1!$Q$266,Tables!$D$70:$F$72,3))*Q271)</f>
        <v/>
      </c>
      <c r="W271" s="38" t="s">
        <v>312</v>
      </c>
      <c r="X271" s="261" t="str">
        <f>IF(ESE="","",ESE*Tables!D84)</f>
        <v/>
      </c>
      <c r="Y271" s="35"/>
    </row>
    <row r="272" spans="1:34" ht="14.1" customHeight="1">
      <c r="A272" s="20">
        <v>56</v>
      </c>
      <c r="B272" s="71"/>
      <c r="C272" s="166" t="s">
        <v>272</v>
      </c>
      <c r="D272" s="247" t="str">
        <f t="shared" si="44"/>
        <v/>
      </c>
      <c r="E272" s="110" t="str">
        <f t="shared" si="44"/>
        <v/>
      </c>
      <c r="F272" s="15" t="str">
        <f t="shared" si="44"/>
        <v/>
      </c>
      <c r="G272" s="16" t="str">
        <f t="shared" si="44"/>
        <v/>
      </c>
      <c r="H272" s="248" t="str">
        <f t="shared" si="44"/>
        <v/>
      </c>
      <c r="I272" s="72"/>
      <c r="J272" s="166" t="s">
        <v>315</v>
      </c>
      <c r="K272" s="254" t="str">
        <f t="shared" si="43"/>
        <v/>
      </c>
      <c r="L272" s="72"/>
      <c r="M272" s="73"/>
      <c r="O272" s="190"/>
      <c r="Q272" s="149"/>
      <c r="R272" s="149"/>
      <c r="S272" s="149"/>
      <c r="T272" s="309" t="str">
        <f>IF(Q272="","",Q272/$T$266)</f>
        <v/>
      </c>
      <c r="U272" s="311" t="str">
        <f>IF(Q272="","",($T$265^2*HLOOKUP($Q$266,Tables!$D$70:$F$72,2)+HLOOKUP(Sheet1!$Q$266,Tables!$D$70:$F$72,3))*Q272)</f>
        <v/>
      </c>
      <c r="W272" s="38" t="s">
        <v>313</v>
      </c>
      <c r="X272" s="262" t="str">
        <f>IF(AB85="","",AB85)</f>
        <v/>
      </c>
      <c r="Y272" s="35"/>
    </row>
    <row r="273" spans="1:25" ht="14.1" customHeight="1" thickBot="1">
      <c r="A273" s="20">
        <v>57</v>
      </c>
      <c r="B273" s="71"/>
      <c r="C273" s="166" t="s">
        <v>274</v>
      </c>
      <c r="D273" s="194" t="str">
        <f t="shared" si="44"/>
        <v/>
      </c>
      <c r="E273" s="188" t="str">
        <f t="shared" si="44"/>
        <v/>
      </c>
      <c r="F273" s="188" t="str">
        <f t="shared" si="44"/>
        <v/>
      </c>
      <c r="G273" s="188" t="str">
        <f t="shared" si="44"/>
        <v/>
      </c>
      <c r="H273" s="189" t="str">
        <f t="shared" si="44"/>
        <v/>
      </c>
      <c r="I273" s="72"/>
      <c r="J273" s="72"/>
      <c r="K273" s="72"/>
      <c r="L273" s="72"/>
      <c r="M273" s="73"/>
      <c r="O273" s="190"/>
      <c r="P273" s="38" t="s">
        <v>272</v>
      </c>
      <c r="Q273" s="74" t="str">
        <f>IF(OR(Q269="",Q270="",Q271="",Q272=""),"",AVERAGE(Q269:Q272))</f>
        <v/>
      </c>
      <c r="R273" s="263" t="str">
        <f>IF(OR(R269="",R270="",R271="",R272=""),"",AVERAGE(R269:R272))</f>
        <v/>
      </c>
      <c r="S273" s="75" t="str">
        <f>IF(OR(S269="",S270="",S271="",S272=""),"",AVERAGE(S269:S272))</f>
        <v/>
      </c>
      <c r="T273" s="264" t="str">
        <f>IF(OR(T269="",T270="",T271="",T272=""),"",AVERAGE(T269:T272))</f>
        <v/>
      </c>
      <c r="U273" s="310" t="str">
        <f>IF(OR(U269="",U270="",U271="",U272=""),"",AVERAGE(U269:U272))</f>
        <v/>
      </c>
      <c r="W273" s="38" t="s">
        <v>315</v>
      </c>
      <c r="X273" s="265" t="str">
        <f>IF(OR(X271="",X272=""),"",(X271-X272)/X272)</f>
        <v/>
      </c>
      <c r="Y273" s="35"/>
    </row>
    <row r="274" spans="1:25" ht="14.1" customHeight="1">
      <c r="A274" s="20">
        <v>58</v>
      </c>
      <c r="B274" s="71"/>
      <c r="C274" s="5" t="s">
        <v>204</v>
      </c>
      <c r="D274" s="105" t="s">
        <v>316</v>
      </c>
      <c r="E274" s="72"/>
      <c r="F274" s="72"/>
      <c r="G274" s="72"/>
      <c r="H274" s="72"/>
      <c r="I274" s="72"/>
      <c r="J274" s="166" t="s">
        <v>317</v>
      </c>
      <c r="K274" s="255" t="str">
        <f>IF(X276="","",X276)</f>
        <v/>
      </c>
      <c r="L274" s="72"/>
      <c r="M274" s="73"/>
      <c r="O274" s="190"/>
      <c r="P274" s="38" t="s">
        <v>274</v>
      </c>
      <c r="Q274" s="258" t="str">
        <f>IF(Q273="","",_xlfn.STDEV.S(Q269:Q272)/Q273)</f>
        <v/>
      </c>
      <c r="R274" s="258" t="str">
        <f>IF(R273="","",_xlfn.STDEV.S(R269:R272)/R273)</f>
        <v/>
      </c>
      <c r="S274" s="258" t="str">
        <f>IF(S273="","",_xlfn.STDEV.S(S269:S272)/S273)</f>
        <v/>
      </c>
      <c r="T274" s="258" t="str">
        <f>IF(T273="","",_xlfn.STDEV.S(T269:T272)/T273)</f>
        <v/>
      </c>
      <c r="U274" s="258" t="str">
        <f>IF(U273="","",_xlfn.STDEV.S(U269:U272)/U273)</f>
        <v/>
      </c>
      <c r="W274" s="6"/>
      <c r="X274" s="6"/>
      <c r="Y274" s="35"/>
    </row>
    <row r="275" spans="1:25" ht="14.1" customHeight="1">
      <c r="A275" s="20">
        <v>59</v>
      </c>
      <c r="B275" s="71"/>
      <c r="C275" s="72"/>
      <c r="D275" s="105" t="s">
        <v>318</v>
      </c>
      <c r="E275" s="72"/>
      <c r="F275" s="72"/>
      <c r="G275" s="72"/>
      <c r="H275" s="72"/>
      <c r="I275" s="72"/>
      <c r="J275" s="166" t="s">
        <v>319</v>
      </c>
      <c r="K275" s="256" t="str">
        <f>IF(X277="","",X277)</f>
        <v/>
      </c>
      <c r="L275" s="72"/>
      <c r="M275" s="73"/>
      <c r="O275" s="33"/>
      <c r="P275" s="6"/>
      <c r="Q275" s="6"/>
      <c r="R275" s="6"/>
      <c r="S275" s="6"/>
      <c r="T275" s="6"/>
      <c r="U275" s="6"/>
      <c r="Y275" s="35"/>
    </row>
    <row r="276" spans="1:25" ht="14.1" customHeight="1">
      <c r="A276" s="20">
        <v>60</v>
      </c>
      <c r="B276" s="71"/>
      <c r="C276" s="72"/>
      <c r="D276" s="72"/>
      <c r="E276" s="72"/>
      <c r="F276" s="72"/>
      <c r="G276" s="72"/>
      <c r="H276" s="72"/>
      <c r="I276" s="72"/>
      <c r="J276" s="72"/>
      <c r="K276" s="72"/>
      <c r="L276" s="72"/>
      <c r="M276" s="73"/>
      <c r="O276" s="33"/>
      <c r="P276" s="266" t="s">
        <v>204</v>
      </c>
      <c r="Q276" s="195" t="s">
        <v>316</v>
      </c>
      <c r="W276" s="38" t="s">
        <v>317</v>
      </c>
      <c r="X276" s="255" t="str">
        <f>IF(X271="","",(X271-AVERAGE(S269:S272))/AVERAGE(S269:S272))</f>
        <v/>
      </c>
      <c r="Y276" s="35"/>
    </row>
    <row r="277" spans="1:25" ht="14.1" customHeight="1">
      <c r="A277" s="20">
        <v>61</v>
      </c>
      <c r="B277" s="71"/>
      <c r="C277" s="72"/>
      <c r="D277" s="72"/>
      <c r="E277" s="72"/>
      <c r="F277" s="72"/>
      <c r="G277" s="72"/>
      <c r="H277" s="72"/>
      <c r="I277" s="72"/>
      <c r="J277" s="72"/>
      <c r="K277" s="72"/>
      <c r="L277" s="72"/>
      <c r="M277" s="73"/>
      <c r="O277" s="33"/>
      <c r="P277" s="6"/>
      <c r="Q277" s="195" t="s">
        <v>521</v>
      </c>
      <c r="W277" s="38" t="s">
        <v>319</v>
      </c>
      <c r="X277" s="256" t="str">
        <f>IF(OR(X271="",Q273=""),"",3/(X271/Q273))</f>
        <v/>
      </c>
      <c r="Y277" s="35"/>
    </row>
    <row r="278" spans="1:25" ht="14.1" customHeight="1">
      <c r="A278" s="20">
        <v>62</v>
      </c>
      <c r="B278" s="71"/>
      <c r="C278" s="72"/>
      <c r="D278" s="72"/>
      <c r="E278" s="72"/>
      <c r="F278" s="72"/>
      <c r="G278" s="72"/>
      <c r="H278" s="72"/>
      <c r="I278" s="72"/>
      <c r="J278" s="72"/>
      <c r="K278" s="72"/>
      <c r="L278" s="72"/>
      <c r="M278" s="73"/>
    </row>
    <row r="279" spans="1:25" ht="14.1" customHeight="1">
      <c r="A279" s="20">
        <v>63</v>
      </c>
      <c r="B279" s="71"/>
      <c r="C279" s="72"/>
      <c r="D279" s="72"/>
      <c r="E279" s="72"/>
      <c r="F279" s="72"/>
      <c r="G279" s="72"/>
      <c r="H279" s="72"/>
      <c r="I279" s="72"/>
      <c r="J279" s="72"/>
      <c r="K279" s="72"/>
      <c r="L279" s="72"/>
      <c r="M279" s="73"/>
      <c r="O279" s="143" t="s">
        <v>589</v>
      </c>
    </row>
    <row r="280" spans="1:25" ht="14.1" customHeight="1" thickBot="1">
      <c r="A280" s="20">
        <v>64</v>
      </c>
      <c r="B280" s="71"/>
      <c r="C280" s="72"/>
      <c r="D280" s="72"/>
      <c r="E280" s="72"/>
      <c r="F280" s="72"/>
      <c r="G280" s="72"/>
      <c r="H280" s="72"/>
      <c r="I280" s="72"/>
      <c r="J280" s="72"/>
      <c r="K280" s="72"/>
      <c r="L280" s="72"/>
      <c r="M280" s="73"/>
    </row>
    <row r="281" spans="1:25" ht="14.1" customHeight="1">
      <c r="A281" s="20">
        <v>65</v>
      </c>
      <c r="B281" s="71"/>
      <c r="C281" s="72"/>
      <c r="D281" s="72"/>
      <c r="E281" s="72"/>
      <c r="F281" s="72"/>
      <c r="G281" s="72"/>
      <c r="H281" s="72"/>
      <c r="I281" s="72"/>
      <c r="J281" s="72"/>
      <c r="K281" s="72"/>
      <c r="L281" s="72"/>
      <c r="M281" s="73"/>
      <c r="P281" s="431" t="s">
        <v>590</v>
      </c>
      <c r="Q281" s="432" t="s">
        <v>269</v>
      </c>
      <c r="R281" s="432" t="s">
        <v>72</v>
      </c>
      <c r="S281" s="432" t="s">
        <v>276</v>
      </c>
      <c r="T281" s="432" t="s">
        <v>591</v>
      </c>
      <c r="U281" s="433" t="s">
        <v>291</v>
      </c>
    </row>
    <row r="282" spans="1:25" ht="14.1" customHeight="1">
      <c r="A282" s="20">
        <v>66</v>
      </c>
      <c r="B282" s="71"/>
      <c r="C282" s="72"/>
      <c r="D282" s="72"/>
      <c r="E282" s="72"/>
      <c r="F282" s="72"/>
      <c r="G282" s="72"/>
      <c r="H282" s="72"/>
      <c r="I282" s="72"/>
      <c r="J282" s="72"/>
      <c r="K282" s="72"/>
      <c r="L282" s="72"/>
      <c r="M282" s="73"/>
      <c r="P282" s="349">
        <v>20</v>
      </c>
      <c r="Q282" s="304">
        <v>26</v>
      </c>
      <c r="R282" s="304"/>
      <c r="S282" s="304"/>
      <c r="T282" s="413">
        <v>1</v>
      </c>
      <c r="U282" s="350" t="str">
        <f>IF(S282="","",IF(S282&lt;=T282, "Pass","Fail"))</f>
        <v/>
      </c>
    </row>
    <row r="283" spans="1:25" ht="14.1" customHeight="1">
      <c r="A283" s="20">
        <v>67</v>
      </c>
      <c r="B283" s="71"/>
      <c r="C283" s="72"/>
      <c r="D283" s="72"/>
      <c r="E283" s="72"/>
      <c r="F283" s="72"/>
      <c r="G283" s="72"/>
      <c r="H283" s="72"/>
      <c r="I283" s="72"/>
      <c r="J283" s="72"/>
      <c r="K283" s="72"/>
      <c r="L283" s="72"/>
      <c r="M283" s="73"/>
      <c r="P283" s="349">
        <v>40</v>
      </c>
      <c r="Q283" s="304">
        <v>28</v>
      </c>
      <c r="R283" s="304"/>
      <c r="S283" s="304"/>
      <c r="T283" s="413">
        <v>2</v>
      </c>
      <c r="U283" s="350" t="str">
        <f t="shared" ref="U283:U284" si="45">IF(S283="","",IF(S283&lt;=T283, "Pass","Fail"))</f>
        <v/>
      </c>
    </row>
    <row r="284" spans="1:25" ht="14.1" customHeight="1" thickBot="1">
      <c r="A284" s="20">
        <v>68</v>
      </c>
      <c r="B284" s="71"/>
      <c r="C284" s="72"/>
      <c r="D284" s="72"/>
      <c r="E284" s="72"/>
      <c r="F284" s="72"/>
      <c r="G284" s="72"/>
      <c r="H284" s="72"/>
      <c r="I284" s="72"/>
      <c r="J284" s="72"/>
      <c r="K284" s="72"/>
      <c r="L284" s="72"/>
      <c r="M284" s="73"/>
      <c r="P284" s="399">
        <v>60</v>
      </c>
      <c r="Q284" s="457">
        <v>30</v>
      </c>
      <c r="R284" s="457"/>
      <c r="S284" s="457"/>
      <c r="T284" s="809">
        <v>4.5</v>
      </c>
      <c r="U284" s="400" t="str">
        <f>IF(S284="","",IF(S284&lt;=T284, "Pass","Fail"))</f>
        <v/>
      </c>
    </row>
    <row r="285" spans="1:25" ht="14.1" customHeight="1">
      <c r="A285" s="20">
        <v>69</v>
      </c>
      <c r="B285" s="71"/>
      <c r="C285" s="72"/>
      <c r="D285" s="72"/>
      <c r="E285" s="72"/>
      <c r="F285" s="72"/>
      <c r="G285" s="72"/>
      <c r="H285" s="72"/>
      <c r="I285" s="72"/>
      <c r="J285" s="72"/>
      <c r="K285" s="72"/>
      <c r="L285" s="72"/>
      <c r="M285" s="73"/>
      <c r="P285" s="266" t="s">
        <v>204</v>
      </c>
      <c r="Q285" s="195" t="s">
        <v>592</v>
      </c>
    </row>
    <row r="286" spans="1:25" ht="14.1" customHeight="1" thickBot="1">
      <c r="A286" s="20">
        <v>70</v>
      </c>
      <c r="B286" s="84"/>
      <c r="C286" s="85"/>
      <c r="D286" s="85"/>
      <c r="E286" s="85"/>
      <c r="F286" s="85"/>
      <c r="G286" s="85"/>
      <c r="H286" s="85"/>
      <c r="I286" s="85"/>
      <c r="J286" s="85"/>
      <c r="K286" s="85"/>
      <c r="L286" s="85"/>
      <c r="M286" s="86"/>
    </row>
    <row r="287" spans="1:25" ht="14.1" customHeight="1" thickTop="1">
      <c r="A287" s="20">
        <v>71</v>
      </c>
      <c r="C287" s="113" t="s">
        <v>11</v>
      </c>
      <c r="D287" s="387" t="str">
        <f>IF($P$7="","",$P$7)</f>
        <v/>
      </c>
      <c r="E287" s="30"/>
      <c r="F287" s="30"/>
      <c r="G287" s="30"/>
      <c r="H287" s="30"/>
      <c r="I287" s="30"/>
      <c r="J287" s="30"/>
      <c r="K287" s="30"/>
      <c r="L287" s="113" t="s">
        <v>12</v>
      </c>
      <c r="M287" s="388" t="str">
        <f>IF($X$7="","",$X$7)</f>
        <v>Eugene Mah</v>
      </c>
      <c r="O287" s="79" t="s">
        <v>593</v>
      </c>
    </row>
    <row r="288" spans="1:25" ht="14.1" customHeight="1">
      <c r="A288" s="20">
        <v>72</v>
      </c>
      <c r="C288" s="113" t="s">
        <v>121</v>
      </c>
      <c r="D288" s="388" t="str">
        <f>IF($R$14="","",$R$14)</f>
        <v/>
      </c>
      <c r="E288" s="30"/>
      <c r="F288" s="30"/>
      <c r="G288" s="30"/>
      <c r="H288" s="30"/>
      <c r="I288" s="30"/>
      <c r="J288" s="30"/>
      <c r="K288" s="30"/>
      <c r="L288" s="113" t="s">
        <v>37</v>
      </c>
      <c r="M288" s="388" t="str">
        <f>IF($R$13="","",$R$13)</f>
        <v/>
      </c>
      <c r="P288" s="38" t="s">
        <v>599</v>
      </c>
      <c r="Q288" s="38" t="s">
        <v>596</v>
      </c>
      <c r="R288" s="1">
        <v>100</v>
      </c>
    </row>
    <row r="289" spans="1:18" ht="14.1" customHeight="1" thickBot="1">
      <c r="A289" s="20">
        <v>1</v>
      </c>
      <c r="M289" s="116" t="str">
        <f>$H$2</f>
        <v>Medical University of South Carolina</v>
      </c>
      <c r="Q289" s="38" t="s">
        <v>597</v>
      </c>
      <c r="R289" s="810">
        <v>100</v>
      </c>
    </row>
    <row r="290" spans="1:18" ht="14.1" customHeight="1" thickBot="1">
      <c r="A290" s="20">
        <v>2</v>
      </c>
      <c r="H290" s="54" t="s">
        <v>73</v>
      </c>
      <c r="M290" s="117" t="str">
        <f>$H$5</f>
        <v>Mammography System Compliance Inspection</v>
      </c>
      <c r="P290" s="431" t="s">
        <v>595</v>
      </c>
      <c r="Q290" s="432" t="s">
        <v>594</v>
      </c>
      <c r="R290" s="433" t="s">
        <v>291</v>
      </c>
    </row>
    <row r="291" spans="1:18" ht="14.1" customHeight="1" thickTop="1">
      <c r="A291" s="20">
        <v>3</v>
      </c>
      <c r="B291" s="62"/>
      <c r="C291" s="275" t="s">
        <v>333</v>
      </c>
      <c r="D291" s="276" t="str">
        <f>IF(P315="","",P315)</f>
        <v/>
      </c>
      <c r="E291" s="275" t="s">
        <v>340</v>
      </c>
      <c r="F291" s="513" t="str">
        <f>IF(P316="","",P316)</f>
        <v/>
      </c>
      <c r="G291" s="63"/>
      <c r="H291" s="275" t="s">
        <v>334</v>
      </c>
      <c r="I291" s="793" t="str">
        <f>IF(S315="","",S315)</f>
        <v/>
      </c>
      <c r="J291" s="793"/>
      <c r="K291" s="63"/>
      <c r="L291" s="63"/>
      <c r="M291" s="65"/>
      <c r="P291" s="811"/>
      <c r="Q291" s="149"/>
      <c r="R291" s="350" t="str">
        <f>IF(OR(P291="",Q291=""),"",IF(AND(ABS($R$288-P291)&lt;=$R$288*0.02,ABS($R$289-Q291)&lt;=$R$289*0.02),"Pass","Fail"))</f>
        <v/>
      </c>
    </row>
    <row r="292" spans="1:18" ht="14.1" customHeight="1">
      <c r="A292" s="20">
        <v>4</v>
      </c>
      <c r="B292" s="71"/>
      <c r="C292" s="6"/>
      <c r="D292" s="6"/>
      <c r="E292" s="6"/>
      <c r="F292" s="6"/>
      <c r="G292" s="6"/>
      <c r="H292" s="166" t="s">
        <v>336</v>
      </c>
      <c r="I292" s="794" t="str">
        <f>IF(S316="","",S316)</f>
        <v/>
      </c>
      <c r="J292" s="794"/>
      <c r="K292" s="6"/>
      <c r="M292" s="73"/>
      <c r="P292" s="811"/>
      <c r="Q292" s="149"/>
      <c r="R292" s="350" t="str">
        <f t="shared" ref="R292:R293" si="46">IF(OR(P292="",Q292=""),"",IF(AND(ABS($R$288-P292)&lt;=$R$288*0.02,ABS($R$289-Q292)&lt;=$R$289*0.02),"Pass","Fail"))</f>
        <v/>
      </c>
    </row>
    <row r="293" spans="1:18" ht="14.1" customHeight="1" thickBot="1">
      <c r="A293" s="20">
        <v>5</v>
      </c>
      <c r="B293" s="71"/>
      <c r="C293" s="150" t="s">
        <v>331</v>
      </c>
      <c r="D293" s="72"/>
      <c r="E293" s="72"/>
      <c r="F293" s="72"/>
      <c r="G293" s="72"/>
      <c r="H293" s="72"/>
      <c r="I293" s="72"/>
      <c r="J293" s="72"/>
      <c r="K293" s="72"/>
      <c r="M293" s="73"/>
      <c r="P293" s="812"/>
      <c r="Q293" s="813"/>
      <c r="R293" s="400" t="str">
        <f t="shared" si="46"/>
        <v/>
      </c>
    </row>
    <row r="294" spans="1:18" ht="14.1" customHeight="1">
      <c r="A294" s="20">
        <v>6</v>
      </c>
      <c r="B294" s="71"/>
      <c r="C294" s="166"/>
      <c r="F294" s="784" t="s">
        <v>337</v>
      </c>
      <c r="G294" s="784"/>
      <c r="H294" s="784"/>
      <c r="I294" s="602"/>
      <c r="J294" s="602"/>
      <c r="K294" s="111"/>
      <c r="M294" s="73"/>
      <c r="P294" s="266" t="s">
        <v>204</v>
      </c>
      <c r="Q294" s="195" t="s">
        <v>598</v>
      </c>
    </row>
    <row r="295" spans="1:18" ht="14.1" customHeight="1" thickBot="1">
      <c r="A295" s="20">
        <v>7</v>
      </c>
      <c r="B295" s="71"/>
      <c r="C295" s="24" t="s">
        <v>71</v>
      </c>
      <c r="D295" s="602" t="s">
        <v>269</v>
      </c>
      <c r="E295" s="602" t="s">
        <v>72</v>
      </c>
      <c r="F295" s="602" t="s">
        <v>25</v>
      </c>
      <c r="G295" s="602" t="s">
        <v>26</v>
      </c>
      <c r="H295" s="602" t="s">
        <v>27</v>
      </c>
      <c r="I295" s="602" t="s">
        <v>338</v>
      </c>
      <c r="J295" s="602" t="s">
        <v>339</v>
      </c>
      <c r="K295" s="602" t="s">
        <v>519</v>
      </c>
      <c r="M295" s="73"/>
    </row>
    <row r="296" spans="1:18" ht="14.1" customHeight="1">
      <c r="A296" s="20">
        <v>8</v>
      </c>
      <c r="B296" s="71"/>
      <c r="C296" s="450" t="str">
        <f>P319</f>
        <v>Mo/Mo</v>
      </c>
      <c r="D296" s="432">
        <f>IF(Q319="","",Q319)</f>
        <v>24</v>
      </c>
      <c r="E296" s="432">
        <f>IF(R319="","",R319)</f>
        <v>50</v>
      </c>
      <c r="F296" s="451" t="str">
        <f>IF(S319="","",S319)</f>
        <v/>
      </c>
      <c r="G296" s="451" t="str">
        <f>IF(T319="","",T319)</f>
        <v/>
      </c>
      <c r="H296" s="451" t="str">
        <f>IF(U319="","",U319)</f>
        <v/>
      </c>
      <c r="I296" s="452" t="str">
        <f>IF(V319="","",V319)</f>
        <v/>
      </c>
      <c r="J296" s="451" t="str">
        <f>IF(W319="","",W319)</f>
        <v/>
      </c>
      <c r="K296" s="453" t="str">
        <f>IF(X319="","",X319)</f>
        <v/>
      </c>
      <c r="M296" s="73"/>
      <c r="O296" s="79" t="s">
        <v>600</v>
      </c>
    </row>
    <row r="297" spans="1:18" ht="14.1" customHeight="1">
      <c r="A297" s="20">
        <v>9</v>
      </c>
      <c r="B297" s="71"/>
      <c r="C297" s="454"/>
      <c r="D297" s="304">
        <f>IF(Q320="","",Q320)</f>
        <v>25</v>
      </c>
      <c r="E297" s="304">
        <f>IF(R320="","",R320)</f>
        <v>50</v>
      </c>
      <c r="F297" s="311" t="str">
        <f>IF(S320="","",S320)</f>
        <v/>
      </c>
      <c r="G297" s="311" t="str">
        <f>IF(T320="","",T320)</f>
        <v/>
      </c>
      <c r="H297" s="311" t="str">
        <f>IF(U320="","",U320)</f>
        <v/>
      </c>
      <c r="I297" s="305" t="str">
        <f>IF(V320="","",V320)</f>
        <v/>
      </c>
      <c r="J297" s="311" t="str">
        <f>IF(W320="","",W320)</f>
        <v/>
      </c>
      <c r="K297" s="434" t="str">
        <f>IF(X320="","",X320)</f>
        <v/>
      </c>
      <c r="M297" s="73"/>
    </row>
    <row r="298" spans="1:18" ht="14.1" customHeight="1">
      <c r="A298" s="20">
        <v>10</v>
      </c>
      <c r="B298" s="71"/>
      <c r="C298" s="454"/>
      <c r="D298" s="304">
        <f>IF(Q321="","",Q321)</f>
        <v>26</v>
      </c>
      <c r="E298" s="304">
        <f>IF(R321="","",R321)</f>
        <v>50</v>
      </c>
      <c r="F298" s="311" t="str">
        <f>IF(S321="","",S321)</f>
        <v/>
      </c>
      <c r="G298" s="311" t="str">
        <f>IF(T321="","",T321)</f>
        <v/>
      </c>
      <c r="H298" s="311" t="str">
        <f>IF(U321="","",U321)</f>
        <v/>
      </c>
      <c r="I298" s="305" t="str">
        <f>IF(V321="","",V321)</f>
        <v/>
      </c>
      <c r="J298" s="311" t="str">
        <f>IF(W321="","",W321)</f>
        <v/>
      </c>
      <c r="K298" s="434" t="str">
        <f>IF(X321="","",X321)</f>
        <v/>
      </c>
      <c r="M298" s="73"/>
    </row>
    <row r="299" spans="1:18" ht="14.1" customHeight="1">
      <c r="A299" s="20">
        <v>11</v>
      </c>
      <c r="B299" s="71"/>
      <c r="C299" s="454"/>
      <c r="D299" s="304">
        <f>IF(Q322="","",Q322)</f>
        <v>28</v>
      </c>
      <c r="E299" s="304">
        <f>IF(R322="","",R322)</f>
        <v>50</v>
      </c>
      <c r="F299" s="311" t="str">
        <f>IF(S322="","",S322)</f>
        <v/>
      </c>
      <c r="G299" s="311" t="str">
        <f>IF(T322="","",T322)</f>
        <v/>
      </c>
      <c r="H299" s="311" t="str">
        <f>IF(U322="","",U322)</f>
        <v/>
      </c>
      <c r="I299" s="305" t="str">
        <f>IF(V322="","",V322)</f>
        <v/>
      </c>
      <c r="J299" s="311" t="str">
        <f>IF(W322="","",W322)</f>
        <v/>
      </c>
      <c r="K299" s="434" t="str">
        <f>IF(X322="","",X322)</f>
        <v/>
      </c>
      <c r="M299" s="73"/>
    </row>
    <row r="300" spans="1:18" ht="14.1" customHeight="1" thickBot="1">
      <c r="A300" s="20">
        <v>12</v>
      </c>
      <c r="B300" s="71"/>
      <c r="C300" s="454"/>
      <c r="D300" s="304">
        <f>IF(Q323="","",Q323)</f>
        <v>30</v>
      </c>
      <c r="E300" s="304">
        <f>IF(R323="","",R323)</f>
        <v>50</v>
      </c>
      <c r="F300" s="311" t="str">
        <f>IF(S323="","",S323)</f>
        <v/>
      </c>
      <c r="G300" s="311" t="str">
        <f>IF(T323="","",T323)</f>
        <v/>
      </c>
      <c r="H300" s="311" t="str">
        <f>IF(U323="","",U323)</f>
        <v/>
      </c>
      <c r="I300" s="305" t="str">
        <f>IF(V323="","",V323)</f>
        <v/>
      </c>
      <c r="J300" s="311" t="str">
        <f>IF(W323="","",W323)</f>
        <v/>
      </c>
      <c r="K300" s="434" t="str">
        <f>IF(X323="","",X323)</f>
        <v/>
      </c>
      <c r="M300" s="73"/>
    </row>
    <row r="301" spans="1:18" ht="14.1" customHeight="1" thickBot="1">
      <c r="A301" s="20">
        <v>13</v>
      </c>
      <c r="B301" s="71"/>
      <c r="C301" s="463"/>
      <c r="D301" s="457">
        <f>IF(Q324="","",Q324)</f>
        <v>32</v>
      </c>
      <c r="E301" s="457">
        <f>IF(R324="","",R324)</f>
        <v>50</v>
      </c>
      <c r="F301" s="458" t="str">
        <f>IF(S324="","",S324)</f>
        <v/>
      </c>
      <c r="G301" s="458" t="str">
        <f>IF(T324="","",T324)</f>
        <v/>
      </c>
      <c r="H301" s="458" t="str">
        <f>IF(U324="","",U324)</f>
        <v/>
      </c>
      <c r="I301" s="459" t="str">
        <f>IF(V324="","",V324)</f>
        <v/>
      </c>
      <c r="J301" s="458" t="str">
        <f>IF(W324="","",W324)</f>
        <v/>
      </c>
      <c r="K301" s="425" t="str">
        <f>IF(X324="","",X324)</f>
        <v/>
      </c>
      <c r="L301" s="389" t="str">
        <f>IF(K296="","",IF(MAX(K296:K301)&lt;0.05,"Pass","Fail"))</f>
        <v/>
      </c>
      <c r="M301" s="73"/>
    </row>
    <row r="302" spans="1:18" ht="14.1" customHeight="1">
      <c r="A302" s="20">
        <v>14</v>
      </c>
      <c r="B302" s="71"/>
      <c r="C302" s="464" t="str">
        <f>P326</f>
        <v>Mo/Rh</v>
      </c>
      <c r="D302" s="432">
        <f>IF(Q326="","",Q326)</f>
        <v>28</v>
      </c>
      <c r="E302" s="432">
        <f>IF(R326="","",R326)</f>
        <v>50</v>
      </c>
      <c r="F302" s="451" t="str">
        <f>IF(S326="","",S326)</f>
        <v/>
      </c>
      <c r="G302" s="451" t="str">
        <f>IF(T326="","",T326)</f>
        <v/>
      </c>
      <c r="H302" s="451" t="str">
        <f>IF(U326="","",U326)</f>
        <v/>
      </c>
      <c r="I302" s="452" t="str">
        <f>IF(V326="","",V326)</f>
        <v/>
      </c>
      <c r="J302" s="451" t="str">
        <f>IF(W326="","",W326)</f>
        <v/>
      </c>
      <c r="K302" s="453" t="str">
        <f>IF(X326="","",X326)</f>
        <v/>
      </c>
      <c r="M302" s="73"/>
    </row>
    <row r="303" spans="1:18" ht="14.1" customHeight="1">
      <c r="A303" s="20">
        <v>15</v>
      </c>
      <c r="B303" s="71"/>
      <c r="C303" s="455"/>
      <c r="D303" s="304">
        <f>IF(Q327="","",Q327)</f>
        <v>30</v>
      </c>
      <c r="E303" s="304">
        <f>IF(R327="","",R327)</f>
        <v>50</v>
      </c>
      <c r="F303" s="311" t="str">
        <f>IF(S327="","",S327)</f>
        <v/>
      </c>
      <c r="G303" s="311" t="str">
        <f>IF(T327="","",T327)</f>
        <v/>
      </c>
      <c r="H303" s="311" t="str">
        <f>IF(U327="","",U327)</f>
        <v/>
      </c>
      <c r="I303" s="305" t="str">
        <f>IF(V327="","",V327)</f>
        <v/>
      </c>
      <c r="J303" s="311" t="str">
        <f>IF(W327="","",W327)</f>
        <v/>
      </c>
      <c r="K303" s="434" t="str">
        <f>IF(X327="","",X327)</f>
        <v/>
      </c>
      <c r="M303" s="73"/>
    </row>
    <row r="304" spans="1:18" ht="14.1" customHeight="1">
      <c r="A304" s="20">
        <v>16</v>
      </c>
      <c r="B304" s="71"/>
      <c r="C304" s="455"/>
      <c r="D304" s="304">
        <f>IF(Q328="","",Q328)</f>
        <v>32</v>
      </c>
      <c r="E304" s="304">
        <f>IF(R328="","",R328)</f>
        <v>50</v>
      </c>
      <c r="F304" s="311" t="str">
        <f>IF(S328="","",S328)</f>
        <v/>
      </c>
      <c r="G304" s="311" t="str">
        <f>IF(T328="","",T328)</f>
        <v/>
      </c>
      <c r="H304" s="311" t="str">
        <f>IF(U328="","",U328)</f>
        <v/>
      </c>
      <c r="I304" s="305" t="str">
        <f>IF(V328="","",V328)</f>
        <v/>
      </c>
      <c r="J304" s="311" t="str">
        <f>IF(W328="","",W328)</f>
        <v/>
      </c>
      <c r="K304" s="434" t="str">
        <f>IF(X328="","",X328)</f>
        <v/>
      </c>
      <c r="M304" s="73"/>
    </row>
    <row r="305" spans="1:25" ht="14.1" customHeight="1" thickBot="1">
      <c r="A305" s="20">
        <v>17</v>
      </c>
      <c r="B305" s="71"/>
      <c r="C305" s="455"/>
      <c r="D305" s="304">
        <f>IF(Q329="","",Q329)</f>
        <v>34</v>
      </c>
      <c r="E305" s="304">
        <f>IF(R329="","",R329)</f>
        <v>50</v>
      </c>
      <c r="F305" s="311" t="str">
        <f>IF(S329="","",S329)</f>
        <v/>
      </c>
      <c r="G305" s="311" t="str">
        <f>IF(T329="","",T329)</f>
        <v/>
      </c>
      <c r="H305" s="311" t="str">
        <f>IF(U329="","",U329)</f>
        <v/>
      </c>
      <c r="I305" s="305" t="str">
        <f>IF(V329="","",V329)</f>
        <v/>
      </c>
      <c r="J305" s="311" t="str">
        <f>IF(W329="","",W329)</f>
        <v/>
      </c>
      <c r="K305" s="434" t="str">
        <f>IF(X329="","",X329)</f>
        <v/>
      </c>
      <c r="M305" s="73"/>
    </row>
    <row r="306" spans="1:25" ht="14.1" customHeight="1" thickBot="1">
      <c r="A306" s="20">
        <v>18</v>
      </c>
      <c r="B306" s="71"/>
      <c r="C306" s="456"/>
      <c r="D306" s="457">
        <f>IF(Q330="","",Q330)</f>
        <v>36</v>
      </c>
      <c r="E306" s="457">
        <f>IF(R330="","",R330)</f>
        <v>50</v>
      </c>
      <c r="F306" s="458" t="str">
        <f>IF(S330="","",S330)</f>
        <v/>
      </c>
      <c r="G306" s="458" t="str">
        <f>IF(T330="","",T330)</f>
        <v/>
      </c>
      <c r="H306" s="458" t="str">
        <f>IF(U330="","",U330)</f>
        <v/>
      </c>
      <c r="I306" s="459" t="str">
        <f>IF(V330="","",V330)</f>
        <v/>
      </c>
      <c r="J306" s="458" t="str">
        <f>IF(W330="","",W330)</f>
        <v/>
      </c>
      <c r="K306" s="425" t="str">
        <f>IF(X330="","",X330)</f>
        <v/>
      </c>
      <c r="L306" s="389" t="str">
        <f>IF(K302="","",IF(MAX(K302:K306)&lt;0.05,"Pass","Fail"))</f>
        <v/>
      </c>
      <c r="M306" s="73"/>
    </row>
    <row r="307" spans="1:25" ht="14.1" customHeight="1">
      <c r="A307" s="20">
        <v>19</v>
      </c>
      <c r="B307" s="71"/>
      <c r="C307" s="455" t="str">
        <f>P332</f>
        <v>W/Rh</v>
      </c>
      <c r="D307" s="427">
        <f>IF(Q332="","",Q332)</f>
        <v>28</v>
      </c>
      <c r="E307" s="427">
        <f>IF(R332="","",R332)</f>
        <v>50</v>
      </c>
      <c r="F307" s="460" t="str">
        <f>IF(S332="","",S332)</f>
        <v/>
      </c>
      <c r="G307" s="460" t="str">
        <f>IF(T332="","",T332)</f>
        <v/>
      </c>
      <c r="H307" s="460" t="str">
        <f>IF(U332="","",U332)</f>
        <v/>
      </c>
      <c r="I307" s="461" t="str">
        <f>IF(V332="","",V332)</f>
        <v/>
      </c>
      <c r="J307" s="460" t="str">
        <f>IF(W332="","",W332)</f>
        <v/>
      </c>
      <c r="K307" s="462" t="str">
        <f>IF(X332="","",X332)</f>
        <v/>
      </c>
      <c r="M307" s="73"/>
    </row>
    <row r="308" spans="1:25" ht="14.1" customHeight="1">
      <c r="A308" s="20">
        <v>20</v>
      </c>
      <c r="B308" s="71"/>
      <c r="C308" s="455"/>
      <c r="D308" s="304">
        <f>IF(Q333="","",Q333)</f>
        <v>30</v>
      </c>
      <c r="E308" s="304">
        <f>IF(R333="","",R333)</f>
        <v>50</v>
      </c>
      <c r="F308" s="311" t="str">
        <f>IF(S333="","",S333)</f>
        <v/>
      </c>
      <c r="G308" s="311" t="str">
        <f>IF(T333="","",T333)</f>
        <v/>
      </c>
      <c r="H308" s="311" t="str">
        <f>IF(U333="","",U333)</f>
        <v/>
      </c>
      <c r="I308" s="305" t="str">
        <f>IF(V333="","",V333)</f>
        <v/>
      </c>
      <c r="J308" s="311" t="str">
        <f>IF(W333="","",W333)</f>
        <v/>
      </c>
      <c r="K308" s="434" t="str">
        <f>IF(X333="","",X333)</f>
        <v/>
      </c>
      <c r="M308" s="73"/>
    </row>
    <row r="309" spans="1:25" ht="14.1" customHeight="1">
      <c r="A309" s="20">
        <v>21</v>
      </c>
      <c r="B309" s="71"/>
      <c r="C309" s="455"/>
      <c r="D309" s="304">
        <f>IF(Q334="","",Q334)</f>
        <v>32</v>
      </c>
      <c r="E309" s="304">
        <f>IF(R334="","",R334)</f>
        <v>50</v>
      </c>
      <c r="F309" s="311" t="str">
        <f>IF(S334="","",S334)</f>
        <v/>
      </c>
      <c r="G309" s="311" t="str">
        <f>IF(T334="","",T334)</f>
        <v/>
      </c>
      <c r="H309" s="311" t="str">
        <f>IF(U334="","",U334)</f>
        <v/>
      </c>
      <c r="I309" s="305" t="str">
        <f>IF(V334="","",V334)</f>
        <v/>
      </c>
      <c r="J309" s="311" t="str">
        <f>IF(W334="","",W334)</f>
        <v/>
      </c>
      <c r="K309" s="434" t="str">
        <f>IF(X334="","",X334)</f>
        <v/>
      </c>
      <c r="M309" s="73"/>
    </row>
    <row r="310" spans="1:25" ht="14.1" customHeight="1" thickBot="1">
      <c r="A310" s="20">
        <v>22</v>
      </c>
      <c r="B310" s="71"/>
      <c r="C310" s="455"/>
      <c r="D310" s="304">
        <f>IF(Q335="","",Q335)</f>
        <v>34</v>
      </c>
      <c r="E310" s="304">
        <f>IF(R335="","",R335)</f>
        <v>50</v>
      </c>
      <c r="F310" s="311" t="str">
        <f>IF(S335="","",S335)</f>
        <v/>
      </c>
      <c r="G310" s="311" t="str">
        <f>IF(T335="","",T335)</f>
        <v/>
      </c>
      <c r="H310" s="311" t="str">
        <f>IF(U335="","",U335)</f>
        <v/>
      </c>
      <c r="I310" s="305" t="str">
        <f>IF(V335="","",V335)</f>
        <v/>
      </c>
      <c r="J310" s="311" t="str">
        <f>IF(W335="","",W335)</f>
        <v/>
      </c>
      <c r="K310" s="434" t="str">
        <f>IF(X335="","",X335)</f>
        <v/>
      </c>
      <c r="M310" s="73"/>
    </row>
    <row r="311" spans="1:25" ht="14.1" customHeight="1" thickBot="1">
      <c r="A311" s="20">
        <v>23</v>
      </c>
      <c r="B311" s="71"/>
      <c r="C311" s="456"/>
      <c r="D311" s="457">
        <f>IF(Q336="","",Q336)</f>
        <v>38</v>
      </c>
      <c r="E311" s="457">
        <f>IF(R336="","",R336)</f>
        <v>50</v>
      </c>
      <c r="F311" s="458" t="str">
        <f>IF(S336="","",S336)</f>
        <v/>
      </c>
      <c r="G311" s="458" t="str">
        <f>IF(T336="","",T336)</f>
        <v/>
      </c>
      <c r="H311" s="458" t="str">
        <f>IF(U336="","",U336)</f>
        <v/>
      </c>
      <c r="I311" s="459" t="str">
        <f>IF(V336="","",V336)</f>
        <v/>
      </c>
      <c r="J311" s="458" t="str">
        <f>IF(W336="","",W336)</f>
        <v/>
      </c>
      <c r="K311" s="425" t="str">
        <f>IF(X336="","",X336)</f>
        <v/>
      </c>
      <c r="L311" s="389" t="str">
        <f>IF(K307="","",IF(MAX(K307:K311)&lt;0.05,"Pass","Fail"))</f>
        <v/>
      </c>
      <c r="M311" s="73"/>
    </row>
    <row r="312" spans="1:25" ht="14.1" customHeight="1">
      <c r="A312" s="20">
        <v>24</v>
      </c>
      <c r="B312" s="71"/>
      <c r="J312" s="466"/>
      <c r="K312" s="381"/>
      <c r="M312" s="73"/>
    </row>
    <row r="313" spans="1:25" ht="14.1" customHeight="1" thickBot="1">
      <c r="A313" s="20">
        <v>25</v>
      </c>
      <c r="B313" s="71"/>
      <c r="M313" s="73"/>
      <c r="O313" s="43"/>
      <c r="P313" s="196"/>
      <c r="Q313" s="196"/>
      <c r="R313" s="44"/>
      <c r="S313" s="44"/>
      <c r="T313" s="196"/>
      <c r="U313" s="196"/>
      <c r="V313" s="44"/>
      <c r="W313" s="269"/>
      <c r="X313" s="44"/>
      <c r="Y313" s="45"/>
    </row>
    <row r="314" spans="1:25" ht="14.1" customHeight="1">
      <c r="A314" s="20">
        <v>26</v>
      </c>
      <c r="B314" s="71"/>
      <c r="M314" s="73"/>
      <c r="O314" s="140" t="s">
        <v>331</v>
      </c>
      <c r="P314" s="236"/>
      <c r="Q314" s="236"/>
      <c r="R314" s="26"/>
      <c r="S314" s="26"/>
      <c r="T314" s="236"/>
      <c r="U314" s="236"/>
      <c r="V314" s="26"/>
      <c r="W314" s="26"/>
      <c r="X314" s="26"/>
      <c r="Y314" s="27"/>
    </row>
    <row r="315" spans="1:25" ht="14.1" customHeight="1">
      <c r="A315" s="20">
        <v>27</v>
      </c>
      <c r="B315" s="71"/>
      <c r="I315" s="6"/>
      <c r="J315" s="6"/>
      <c r="M315" s="73"/>
      <c r="O315" s="33" t="s">
        <v>333</v>
      </c>
      <c r="P315" s="141"/>
      <c r="R315" s="38" t="s">
        <v>334</v>
      </c>
      <c r="S315" s="272"/>
      <c r="Y315" s="35"/>
    </row>
    <row r="316" spans="1:25" ht="14.1" customHeight="1">
      <c r="A316" s="20">
        <v>28</v>
      </c>
      <c r="B316" s="71"/>
      <c r="I316" s="6"/>
      <c r="J316" s="6"/>
      <c r="M316" s="73"/>
      <c r="O316" s="33" t="s">
        <v>335</v>
      </c>
      <c r="P316" s="141"/>
      <c r="R316" s="38" t="s">
        <v>336</v>
      </c>
      <c r="S316" s="272"/>
      <c r="Y316" s="35"/>
    </row>
    <row r="317" spans="1:25" ht="14.1" customHeight="1">
      <c r="A317" s="20">
        <v>29</v>
      </c>
      <c r="B317" s="71"/>
      <c r="I317" s="6"/>
      <c r="J317" s="6"/>
      <c r="M317" s="73"/>
      <c r="O317" s="33"/>
      <c r="S317" s="784" t="s">
        <v>337</v>
      </c>
      <c r="T317" s="784"/>
      <c r="U317" s="784"/>
      <c r="V317" s="602"/>
      <c r="W317" s="602"/>
      <c r="Y317" s="35"/>
    </row>
    <row r="318" spans="1:25" ht="14.1" customHeight="1">
      <c r="A318" s="20">
        <v>30</v>
      </c>
      <c r="B318" s="71"/>
      <c r="M318" s="73"/>
      <c r="O318" s="33"/>
      <c r="P318" s="24" t="s">
        <v>71</v>
      </c>
      <c r="Q318" s="602" t="s">
        <v>269</v>
      </c>
      <c r="R318" s="602" t="s">
        <v>72</v>
      </c>
      <c r="S318" s="602" t="s">
        <v>25</v>
      </c>
      <c r="T318" s="602" t="s">
        <v>26</v>
      </c>
      <c r="U318" s="602" t="s">
        <v>27</v>
      </c>
      <c r="V318" s="602" t="s">
        <v>338</v>
      </c>
      <c r="W318" s="602" t="s">
        <v>339</v>
      </c>
      <c r="X318" s="602" t="s">
        <v>519</v>
      </c>
      <c r="Y318" s="35"/>
    </row>
    <row r="319" spans="1:25" ht="14.1" customHeight="1">
      <c r="A319" s="20">
        <v>31</v>
      </c>
      <c r="B319" s="71"/>
      <c r="M319" s="73"/>
      <c r="O319" s="33"/>
      <c r="P319" s="803" t="str">
        <f>AK10&amp;"/"&amp;AL10</f>
        <v>Mo/Mo</v>
      </c>
      <c r="Q319" s="317">
        <f>AH10</f>
        <v>24</v>
      </c>
      <c r="R319" s="14">
        <f>AI10</f>
        <v>50</v>
      </c>
      <c r="S319" s="15" t="str">
        <f>IF(AQ10="","",AQ10)</f>
        <v/>
      </c>
      <c r="T319" s="15" t="str">
        <f>IF(AN10="","",AN10)</f>
        <v/>
      </c>
      <c r="U319" s="15" t="str">
        <f>IF(AO10="","",AO10)</f>
        <v/>
      </c>
      <c r="V319" s="16" t="str">
        <f>IF(U319="","",U319/R319)</f>
        <v/>
      </c>
      <c r="W319" s="17" t="str">
        <f>IF(U319="","",U319/(T319/1000))</f>
        <v/>
      </c>
      <c r="X319" s="18" t="str">
        <f>IF(S319="","",(S319-Q319)/Q319)</f>
        <v/>
      </c>
      <c r="Y319" s="35"/>
    </row>
    <row r="320" spans="1:25" ht="14.1" customHeight="1">
      <c r="A320" s="20">
        <v>32</v>
      </c>
      <c r="B320" s="71"/>
      <c r="M320" s="73"/>
      <c r="O320" s="33"/>
      <c r="P320" s="804"/>
      <c r="Q320" s="318">
        <f>AH18</f>
        <v>25</v>
      </c>
      <c r="R320" s="14">
        <f>AI18</f>
        <v>50</v>
      </c>
      <c r="S320" s="15" t="str">
        <f>IF(AQ18="","",AQ18)</f>
        <v/>
      </c>
      <c r="T320" s="15" t="str">
        <f>IF(AN18="","",AN18)</f>
        <v/>
      </c>
      <c r="U320" s="15" t="str">
        <f>IF(AO18="","",AO18)</f>
        <v/>
      </c>
      <c r="V320" s="16" t="str">
        <f t="shared" ref="V320:V324" si="47">IF(U320="","",U320/R320)</f>
        <v/>
      </c>
      <c r="W320" s="15" t="str">
        <f t="shared" ref="W320:W324" si="48">IF(U320="","",U320/(T320/1000))</f>
        <v/>
      </c>
      <c r="X320" s="18" t="str">
        <f t="shared" ref="X320:X324" si="49">IF(S320="","",(S320-Q320)/Q320)</f>
        <v/>
      </c>
      <c r="Y320" s="35"/>
    </row>
    <row r="321" spans="1:25" ht="14.1" customHeight="1">
      <c r="A321" s="20">
        <v>33</v>
      </c>
      <c r="B321" s="71"/>
      <c r="M321" s="73"/>
      <c r="O321" s="33"/>
      <c r="P321" s="804"/>
      <c r="Q321" s="317">
        <f>AH26</f>
        <v>26</v>
      </c>
      <c r="R321" s="14">
        <f>AI26</f>
        <v>50</v>
      </c>
      <c r="S321" s="15" t="str">
        <f>IF(AQ26="","",AQ26)</f>
        <v/>
      </c>
      <c r="T321" s="15" t="str">
        <f>IF(AN26="","",AN26)</f>
        <v/>
      </c>
      <c r="U321" s="15" t="str">
        <f>IF(AO26="","",AO26)</f>
        <v/>
      </c>
      <c r="V321" s="16" t="str">
        <f t="shared" si="47"/>
        <v/>
      </c>
      <c r="W321" s="15" t="str">
        <f t="shared" si="48"/>
        <v/>
      </c>
      <c r="X321" s="18" t="str">
        <f t="shared" si="49"/>
        <v/>
      </c>
      <c r="Y321" s="35"/>
    </row>
    <row r="322" spans="1:25" ht="14.1" customHeight="1">
      <c r="A322" s="20">
        <v>34</v>
      </c>
      <c r="B322" s="71"/>
      <c r="C322" s="72"/>
      <c r="D322" s="72"/>
      <c r="E322" s="72"/>
      <c r="F322" s="72"/>
      <c r="G322" s="72"/>
      <c r="H322" s="72"/>
      <c r="I322" s="72"/>
      <c r="J322" s="72"/>
      <c r="K322" s="72"/>
      <c r="L322" s="72"/>
      <c r="M322" s="73"/>
      <c r="O322" s="33"/>
      <c r="P322" s="804"/>
      <c r="Q322" s="317">
        <f>AH28</f>
        <v>28</v>
      </c>
      <c r="R322" s="14">
        <f>AI28</f>
        <v>50</v>
      </c>
      <c r="S322" s="15" t="str">
        <f>IF(AQ28="","",AQ28)</f>
        <v/>
      </c>
      <c r="T322" s="15" t="str">
        <f>IF(AN28="","",AN28)</f>
        <v/>
      </c>
      <c r="U322" s="15" t="str">
        <f>IF(AO28="","",AO28)</f>
        <v/>
      </c>
      <c r="V322" s="16" t="str">
        <f t="shared" si="47"/>
        <v/>
      </c>
      <c r="W322" s="15" t="str">
        <f t="shared" si="48"/>
        <v/>
      </c>
      <c r="X322" s="18" t="str">
        <f t="shared" si="49"/>
        <v/>
      </c>
      <c r="Y322" s="35"/>
    </row>
    <row r="323" spans="1:25" ht="14.1" customHeight="1">
      <c r="A323" s="20">
        <v>35</v>
      </c>
      <c r="B323" s="71"/>
      <c r="C323" s="72"/>
      <c r="D323" s="72"/>
      <c r="E323" s="72"/>
      <c r="F323" s="72"/>
      <c r="G323" s="72"/>
      <c r="H323" s="72"/>
      <c r="I323" s="72"/>
      <c r="J323" s="72"/>
      <c r="K323" s="72"/>
      <c r="L323" s="72"/>
      <c r="M323" s="73"/>
      <c r="O323" s="33"/>
      <c r="P323" s="804"/>
      <c r="Q323" s="317">
        <f>AH40</f>
        <v>30</v>
      </c>
      <c r="R323" s="14">
        <f>AI40</f>
        <v>50</v>
      </c>
      <c r="S323" s="15" t="str">
        <f>IF(AQ40="","",AQ40)</f>
        <v/>
      </c>
      <c r="T323" s="15" t="str">
        <f>IF(AN40="","",AN40)</f>
        <v/>
      </c>
      <c r="U323" s="15" t="str">
        <f>IF(AO40="","",AO40)</f>
        <v/>
      </c>
      <c r="V323" s="16" t="str">
        <f t="shared" si="47"/>
        <v/>
      </c>
      <c r="W323" s="15" t="str">
        <f t="shared" si="48"/>
        <v/>
      </c>
      <c r="X323" s="18" t="str">
        <f t="shared" si="49"/>
        <v/>
      </c>
      <c r="Y323" s="35"/>
    </row>
    <row r="324" spans="1:25" ht="14.1" customHeight="1">
      <c r="A324" s="20">
        <v>36</v>
      </c>
      <c r="B324" s="71"/>
      <c r="C324" s="72"/>
      <c r="D324" s="72"/>
      <c r="E324" s="72"/>
      <c r="F324" s="72"/>
      <c r="G324" s="72"/>
      <c r="H324" s="72"/>
      <c r="I324" s="72"/>
      <c r="J324" s="72"/>
      <c r="K324" s="72"/>
      <c r="L324" s="72"/>
      <c r="M324" s="73"/>
      <c r="O324" s="33"/>
      <c r="P324" s="804"/>
      <c r="Q324" s="317">
        <f>AH41</f>
        <v>32</v>
      </c>
      <c r="R324" s="14">
        <f>AI41</f>
        <v>50</v>
      </c>
      <c r="S324" s="15" t="str">
        <f>IF(AQ41="","",AQ41)</f>
        <v/>
      </c>
      <c r="T324" s="15" t="str">
        <f>IF(AN41="","",AN41)</f>
        <v/>
      </c>
      <c r="U324" s="15" t="str">
        <f>IF(AO41="","",AO41)</f>
        <v/>
      </c>
      <c r="V324" s="16" t="str">
        <f t="shared" si="47"/>
        <v/>
      </c>
      <c r="W324" s="15" t="str">
        <f t="shared" si="48"/>
        <v/>
      </c>
      <c r="X324" s="18" t="str">
        <f t="shared" si="49"/>
        <v/>
      </c>
      <c r="Y324" s="35"/>
    </row>
    <row r="325" spans="1:25" ht="14.1" customHeight="1">
      <c r="A325" s="20">
        <v>37</v>
      </c>
      <c r="B325" s="71"/>
      <c r="C325" s="72"/>
      <c r="D325" s="72"/>
      <c r="E325" s="72"/>
      <c r="F325" s="72"/>
      <c r="G325" s="72"/>
      <c r="H325" s="72"/>
      <c r="I325" s="72"/>
      <c r="J325" s="72"/>
      <c r="K325" s="72"/>
      <c r="L325" s="72"/>
      <c r="M325" s="73"/>
      <c r="O325" s="33"/>
      <c r="P325" s="805"/>
      <c r="Q325" s="317">
        <f>AH49</f>
        <v>34</v>
      </c>
      <c r="R325" s="14">
        <f>AI49</f>
        <v>50</v>
      </c>
      <c r="S325" s="15" t="str">
        <f>IF(AQ49="","",AQ49)</f>
        <v/>
      </c>
      <c r="T325" s="15" t="str">
        <f>IF(AN49="","",AN49)</f>
        <v/>
      </c>
      <c r="U325" s="15" t="str">
        <f>IF(AO49="","",AO49)</f>
        <v/>
      </c>
      <c r="V325" s="16" t="str">
        <f t="shared" ref="V325" si="50">IF(U325="","",U325/R325)</f>
        <v/>
      </c>
      <c r="W325" s="15" t="str">
        <f t="shared" ref="W325" si="51">IF(U325="","",U325/(T325/1000))</f>
        <v/>
      </c>
      <c r="X325" s="18" t="str">
        <f t="shared" ref="X325" si="52">IF(S325="","",(S325-Q325)/Q325)</f>
        <v/>
      </c>
      <c r="Y325" s="35"/>
    </row>
    <row r="326" spans="1:25" ht="14.1" customHeight="1">
      <c r="A326" s="20">
        <v>38</v>
      </c>
      <c r="B326" s="71"/>
      <c r="C326" s="72"/>
      <c r="D326" s="72"/>
      <c r="E326" s="72"/>
      <c r="F326" s="72"/>
      <c r="G326" s="72"/>
      <c r="H326" s="72"/>
      <c r="I326" s="72"/>
      <c r="J326" s="72"/>
      <c r="K326" s="72"/>
      <c r="L326" s="72"/>
      <c r="M326" s="73"/>
      <c r="O326" s="33"/>
      <c r="P326" s="806" t="str">
        <f>AK57&amp;"/"&amp;AL57</f>
        <v>Mo/Rh</v>
      </c>
      <c r="Q326" s="317">
        <f>AH57</f>
        <v>28</v>
      </c>
      <c r="R326" s="14">
        <f>AI57</f>
        <v>50</v>
      </c>
      <c r="S326" s="15" t="str">
        <f>IF(AQ57="","",AQ57)</f>
        <v/>
      </c>
      <c r="T326" s="15" t="str">
        <f>IF(AN57="","",AN57)</f>
        <v/>
      </c>
      <c r="U326" s="15" t="str">
        <f>IF(AO57="","",AO57)</f>
        <v/>
      </c>
      <c r="V326" s="16" t="str">
        <f t="shared" ref="V326:V336" si="53">IF(U326="","",U326/R326)</f>
        <v/>
      </c>
      <c r="W326" s="15" t="str">
        <f t="shared" ref="W326:W336" si="54">IF(U326="","",U326/(T326/1000))</f>
        <v/>
      </c>
      <c r="X326" s="18" t="str">
        <f t="shared" ref="X326:X336" si="55">IF(S326="","",(S326-Q326)/Q326)</f>
        <v/>
      </c>
      <c r="Y326" s="35"/>
    </row>
    <row r="327" spans="1:25" ht="14.1" customHeight="1">
      <c r="A327" s="20">
        <v>39</v>
      </c>
      <c r="B327" s="71"/>
      <c r="C327" s="72"/>
      <c r="D327" s="72"/>
      <c r="E327" s="72"/>
      <c r="F327" s="72"/>
      <c r="G327" s="72"/>
      <c r="H327" s="72"/>
      <c r="I327" s="72"/>
      <c r="J327" s="72"/>
      <c r="K327" s="72"/>
      <c r="L327" s="72"/>
      <c r="M327" s="73"/>
      <c r="O327" s="165"/>
      <c r="P327" s="807"/>
      <c r="Q327" s="317">
        <f>AH65</f>
        <v>30</v>
      </c>
      <c r="R327" s="14">
        <f>AI65</f>
        <v>50</v>
      </c>
      <c r="S327" s="15" t="str">
        <f>IF(AQ65="","",AQ65)</f>
        <v/>
      </c>
      <c r="T327" s="15" t="str">
        <f>IF(AN65="","",AN65)</f>
        <v/>
      </c>
      <c r="U327" s="15" t="str">
        <f>IF(AO65="","",AO65)</f>
        <v/>
      </c>
      <c r="V327" s="16" t="str">
        <f t="shared" si="53"/>
        <v/>
      </c>
      <c r="W327" s="15" t="str">
        <f t="shared" si="54"/>
        <v/>
      </c>
      <c r="X327" s="18" t="str">
        <f t="shared" si="55"/>
        <v/>
      </c>
      <c r="Y327" s="35"/>
    </row>
    <row r="328" spans="1:25" ht="14.1" customHeight="1">
      <c r="A328" s="20">
        <v>40</v>
      </c>
      <c r="B328" s="71"/>
      <c r="C328" s="72"/>
      <c r="D328" s="72"/>
      <c r="E328" s="72"/>
      <c r="F328" s="72"/>
      <c r="G328" s="72"/>
      <c r="H328" s="72"/>
      <c r="I328" s="72"/>
      <c r="J328" s="72"/>
      <c r="K328" s="72"/>
      <c r="L328" s="72"/>
      <c r="M328" s="73"/>
      <c r="O328" s="33"/>
      <c r="P328" s="807"/>
      <c r="Q328" s="317">
        <f>AH73</f>
        <v>32</v>
      </c>
      <c r="R328" s="14">
        <f>AI73</f>
        <v>50</v>
      </c>
      <c r="S328" s="15" t="str">
        <f>IF(AQ73="","",AQ73)</f>
        <v/>
      </c>
      <c r="T328" s="15" t="str">
        <f>IF(AN73="","",AN73)</f>
        <v/>
      </c>
      <c r="U328" s="15" t="str">
        <f>IF(AO73="","",AO73)</f>
        <v/>
      </c>
      <c r="V328" s="16" t="str">
        <f t="shared" si="53"/>
        <v/>
      </c>
      <c r="W328" s="15" t="str">
        <f t="shared" si="54"/>
        <v/>
      </c>
      <c r="X328" s="18" t="str">
        <f t="shared" si="55"/>
        <v/>
      </c>
      <c r="Y328" s="35"/>
    </row>
    <row r="329" spans="1:25" ht="14.1" customHeight="1">
      <c r="A329" s="20">
        <v>41</v>
      </c>
      <c r="B329" s="71"/>
      <c r="C329" s="72"/>
      <c r="D329" s="72"/>
      <c r="E329" s="72"/>
      <c r="F329" s="72"/>
      <c r="G329" s="72"/>
      <c r="H329" s="72"/>
      <c r="I329" s="72"/>
      <c r="J329" s="72"/>
      <c r="K329" s="72"/>
      <c r="L329" s="72"/>
      <c r="M329" s="73"/>
      <c r="O329" s="33"/>
      <c r="P329" s="807"/>
      <c r="Q329" s="317">
        <f>AH81</f>
        <v>34</v>
      </c>
      <c r="R329" s="14">
        <f>AI81</f>
        <v>50</v>
      </c>
      <c r="S329" s="15" t="str">
        <f>IF(AQ81="","",AQ81)</f>
        <v/>
      </c>
      <c r="T329" s="15" t="str">
        <f>IF(AN81="","",AN81)</f>
        <v/>
      </c>
      <c r="U329" s="15" t="str">
        <f>IF(AO81="","",AO81)</f>
        <v/>
      </c>
      <c r="V329" s="16" t="str">
        <f t="shared" si="53"/>
        <v/>
      </c>
      <c r="W329" s="15" t="str">
        <f t="shared" si="54"/>
        <v/>
      </c>
      <c r="X329" s="18" t="str">
        <f t="shared" si="55"/>
        <v/>
      </c>
      <c r="Y329" s="35"/>
    </row>
    <row r="330" spans="1:25" ht="14.1" customHeight="1">
      <c r="A330" s="20">
        <v>42</v>
      </c>
      <c r="B330" s="71"/>
      <c r="C330" s="72"/>
      <c r="D330" s="72"/>
      <c r="E330" s="72"/>
      <c r="F330" s="72"/>
      <c r="G330" s="72"/>
      <c r="H330" s="72"/>
      <c r="I330" s="72"/>
      <c r="J330" s="72"/>
      <c r="K330" s="72"/>
      <c r="L330" s="72"/>
      <c r="M330" s="73"/>
      <c r="O330" s="33"/>
      <c r="P330" s="807"/>
      <c r="Q330" s="317">
        <f>AH89</f>
        <v>36</v>
      </c>
      <c r="R330" s="14">
        <f>AI89</f>
        <v>50</v>
      </c>
      <c r="S330" s="15" t="str">
        <f>IF(AQ89="","",AQ89)</f>
        <v/>
      </c>
      <c r="T330" s="15" t="str">
        <f>IF(AN89="","",AN89)</f>
        <v/>
      </c>
      <c r="U330" s="15" t="str">
        <f>IF(AO89="","",AO89)</f>
        <v/>
      </c>
      <c r="V330" s="16" t="str">
        <f t="shared" si="53"/>
        <v/>
      </c>
      <c r="W330" s="15" t="str">
        <f t="shared" si="54"/>
        <v/>
      </c>
      <c r="X330" s="18" t="str">
        <f t="shared" si="55"/>
        <v/>
      </c>
      <c r="Y330" s="35"/>
    </row>
    <row r="331" spans="1:25" ht="14.1" customHeight="1">
      <c r="A331" s="20">
        <v>43</v>
      </c>
      <c r="B331" s="71"/>
      <c r="C331" s="72"/>
      <c r="D331" s="72"/>
      <c r="E331" s="72"/>
      <c r="F331" s="72"/>
      <c r="G331" s="72"/>
      <c r="H331" s="72"/>
      <c r="I331" s="72"/>
      <c r="J331" s="72"/>
      <c r="K331" s="72"/>
      <c r="L331" s="72"/>
      <c r="M331" s="73"/>
      <c r="O331" s="33"/>
      <c r="P331" s="808"/>
      <c r="Q331" s="317">
        <f>AH90</f>
        <v>38</v>
      </c>
      <c r="R331" s="14">
        <f>AI90</f>
        <v>50</v>
      </c>
      <c r="S331" s="15" t="str">
        <f>IF(AQ90="","",AQ90)</f>
        <v/>
      </c>
      <c r="T331" s="15" t="str">
        <f>IF(AN90="","",AN90)</f>
        <v/>
      </c>
      <c r="U331" s="15" t="str">
        <f>IF(AO90="","",AO90)</f>
        <v/>
      </c>
      <c r="V331" s="16" t="str">
        <f t="shared" si="53"/>
        <v/>
      </c>
      <c r="W331" s="15" t="str">
        <f t="shared" si="54"/>
        <v/>
      </c>
      <c r="X331" s="18" t="str">
        <f t="shared" si="55"/>
        <v/>
      </c>
      <c r="Y331" s="35"/>
    </row>
    <row r="332" spans="1:25" ht="14.1" customHeight="1">
      <c r="A332" s="20">
        <v>44</v>
      </c>
      <c r="B332" s="71"/>
      <c r="C332" s="72"/>
      <c r="D332" s="72"/>
      <c r="E332" s="72"/>
      <c r="F332" s="72"/>
      <c r="G332" s="72"/>
      <c r="H332" s="72"/>
      <c r="I332" s="72"/>
      <c r="J332" s="72"/>
      <c r="K332" s="72"/>
      <c r="L332" s="72"/>
      <c r="M332" s="73"/>
      <c r="O332" s="33"/>
      <c r="P332" s="806" t="str">
        <f>AK91&amp;"/"&amp;AL91</f>
        <v>W/Rh</v>
      </c>
      <c r="Q332" s="318">
        <f>AH91</f>
        <v>28</v>
      </c>
      <c r="R332" s="14">
        <f>AI91</f>
        <v>50</v>
      </c>
      <c r="S332" s="15" t="str">
        <f>IF(AQ91="","",AQ91)</f>
        <v/>
      </c>
      <c r="T332" s="15" t="str">
        <f>IF(AN91="","",AN91)</f>
        <v/>
      </c>
      <c r="U332" s="15" t="str">
        <f>IF(AO91="","",AO91)</f>
        <v/>
      </c>
      <c r="V332" s="16" t="str">
        <f t="shared" si="53"/>
        <v/>
      </c>
      <c r="W332" s="15" t="str">
        <f t="shared" si="54"/>
        <v/>
      </c>
      <c r="X332" s="18" t="str">
        <f t="shared" si="55"/>
        <v/>
      </c>
      <c r="Y332" s="35"/>
    </row>
    <row r="333" spans="1:25" ht="14.1" customHeight="1">
      <c r="A333" s="20">
        <v>45</v>
      </c>
      <c r="B333" s="71"/>
      <c r="C333" s="72"/>
      <c r="D333" s="72"/>
      <c r="E333" s="72"/>
      <c r="F333" s="72"/>
      <c r="G333" s="72"/>
      <c r="H333" s="72"/>
      <c r="I333" s="72"/>
      <c r="J333" s="72"/>
      <c r="K333" s="72"/>
      <c r="L333" s="72"/>
      <c r="M333" s="73"/>
      <c r="O333" s="33"/>
      <c r="P333" s="807"/>
      <c r="Q333" s="318">
        <f>AH101</f>
        <v>30</v>
      </c>
      <c r="R333" s="14">
        <f>AI101</f>
        <v>50</v>
      </c>
      <c r="S333" s="15" t="str">
        <f>IF(AQ101="","",AQ101)</f>
        <v/>
      </c>
      <c r="T333" s="15" t="str">
        <f>IF(AN101="","",AN101)</f>
        <v/>
      </c>
      <c r="U333" s="15" t="str">
        <f>IF(AO101="","",AO101)</f>
        <v/>
      </c>
      <c r="V333" s="16" t="str">
        <f t="shared" si="53"/>
        <v/>
      </c>
      <c r="W333" s="15" t="str">
        <f t="shared" si="54"/>
        <v/>
      </c>
      <c r="X333" s="18" t="str">
        <f t="shared" si="55"/>
        <v/>
      </c>
      <c r="Y333" s="35"/>
    </row>
    <row r="334" spans="1:25" ht="14.1" customHeight="1">
      <c r="A334" s="20">
        <v>46</v>
      </c>
      <c r="B334" s="71"/>
      <c r="C334" s="72"/>
      <c r="D334" s="72"/>
      <c r="E334" s="72"/>
      <c r="F334" s="72"/>
      <c r="G334" s="72"/>
      <c r="H334" s="72"/>
      <c r="I334" s="72"/>
      <c r="J334" s="72"/>
      <c r="K334" s="72"/>
      <c r="L334" s="72"/>
      <c r="M334" s="73"/>
      <c r="O334" s="33"/>
      <c r="P334" s="807"/>
      <c r="Q334" s="317">
        <f>AH109</f>
        <v>32</v>
      </c>
      <c r="R334" s="14">
        <f>AI109</f>
        <v>50</v>
      </c>
      <c r="S334" s="15" t="str">
        <f>IF(AQ109="","",AQ109)</f>
        <v/>
      </c>
      <c r="T334" s="15" t="str">
        <f>IF(AN109="","",AN109)</f>
        <v/>
      </c>
      <c r="U334" s="15" t="str">
        <f>IF(AO109="","",AO109)</f>
        <v/>
      </c>
      <c r="V334" s="16" t="str">
        <f t="shared" si="53"/>
        <v/>
      </c>
      <c r="W334" s="15" t="str">
        <f t="shared" si="54"/>
        <v/>
      </c>
      <c r="X334" s="18" t="str">
        <f t="shared" si="55"/>
        <v/>
      </c>
      <c r="Y334" s="35"/>
    </row>
    <row r="335" spans="1:25" ht="14.1" customHeight="1">
      <c r="A335" s="20">
        <v>47</v>
      </c>
      <c r="B335" s="71"/>
      <c r="C335" s="72"/>
      <c r="D335" s="72"/>
      <c r="E335" s="72"/>
      <c r="F335" s="72"/>
      <c r="G335" s="72"/>
      <c r="H335" s="72"/>
      <c r="I335" s="72"/>
      <c r="J335" s="72"/>
      <c r="K335" s="72"/>
      <c r="L335" s="72"/>
      <c r="M335" s="73"/>
      <c r="O335" s="33"/>
      <c r="P335" s="807"/>
      <c r="Q335" s="317">
        <f>AH117</f>
        <v>34</v>
      </c>
      <c r="R335" s="14">
        <f>AI117</f>
        <v>50</v>
      </c>
      <c r="S335" s="15" t="str">
        <f>IF(AQ117="","",AQ117)</f>
        <v/>
      </c>
      <c r="T335" s="15" t="str">
        <f>IF(AN117="","",AN117)</f>
        <v/>
      </c>
      <c r="U335" s="15" t="str">
        <f>IF(AO117="","",AO117)</f>
        <v/>
      </c>
      <c r="V335" s="16" t="str">
        <f t="shared" si="53"/>
        <v/>
      </c>
      <c r="W335" s="15" t="str">
        <f t="shared" si="54"/>
        <v/>
      </c>
      <c r="X335" s="18" t="str">
        <f t="shared" si="55"/>
        <v/>
      </c>
      <c r="Y335" s="35"/>
    </row>
    <row r="336" spans="1:25" ht="14.1" customHeight="1">
      <c r="A336" s="20">
        <v>48</v>
      </c>
      <c r="B336" s="71"/>
      <c r="C336" s="72"/>
      <c r="D336" s="72"/>
      <c r="E336" s="72"/>
      <c r="F336" s="72"/>
      <c r="G336" s="72"/>
      <c r="H336" s="72"/>
      <c r="I336" s="72"/>
      <c r="J336" s="72"/>
      <c r="K336" s="72"/>
      <c r="L336" s="72"/>
      <c r="M336" s="73"/>
      <c r="O336" s="33"/>
      <c r="P336" s="808"/>
      <c r="Q336" s="317">
        <f>AH125</f>
        <v>38</v>
      </c>
      <c r="R336" s="14">
        <f>AI125</f>
        <v>50</v>
      </c>
      <c r="S336" s="15" t="str">
        <f>IF(AQ125="","",AQ125)</f>
        <v/>
      </c>
      <c r="T336" s="15" t="str">
        <f>IF(AN125="","",AN125)</f>
        <v/>
      </c>
      <c r="U336" s="15" t="str">
        <f>IF(AO125="","",AO125)</f>
        <v/>
      </c>
      <c r="V336" s="16" t="str">
        <f t="shared" si="53"/>
        <v/>
      </c>
      <c r="W336" s="15" t="str">
        <f t="shared" si="54"/>
        <v/>
      </c>
      <c r="X336" s="18" t="str">
        <f t="shared" si="55"/>
        <v/>
      </c>
      <c r="Y336" s="35"/>
    </row>
    <row r="337" spans="1:25" ht="14.1" customHeight="1">
      <c r="A337" s="20">
        <v>49</v>
      </c>
      <c r="B337" s="71"/>
      <c r="M337" s="73"/>
      <c r="O337" s="33"/>
      <c r="P337" s="117" t="s">
        <v>204</v>
      </c>
      <c r="Q337" s="30" t="s">
        <v>341</v>
      </c>
      <c r="Y337" s="35"/>
    </row>
    <row r="338" spans="1:25" ht="14.1" customHeight="1" thickBot="1">
      <c r="A338" s="20">
        <v>50</v>
      </c>
      <c r="B338" s="71"/>
      <c r="M338" s="73"/>
      <c r="O338" s="43"/>
      <c r="P338" s="44"/>
      <c r="Q338" s="44"/>
      <c r="R338" s="44"/>
      <c r="S338" s="44"/>
      <c r="T338" s="44"/>
      <c r="U338" s="44"/>
      <c r="V338" s="44"/>
      <c r="W338" s="44"/>
      <c r="X338" s="44"/>
      <c r="Y338" s="45"/>
    </row>
    <row r="339" spans="1:25" ht="14.1" customHeight="1" thickBot="1">
      <c r="A339" s="20">
        <v>51</v>
      </c>
      <c r="B339" s="71"/>
      <c r="M339" s="73"/>
      <c r="O339" s="140" t="s">
        <v>342</v>
      </c>
      <c r="P339" s="26"/>
      <c r="Q339" s="26"/>
      <c r="R339" s="26"/>
      <c r="S339" s="26"/>
      <c r="T339" s="26"/>
      <c r="U339" s="26"/>
      <c r="V339" s="26"/>
      <c r="W339" s="26"/>
      <c r="X339" s="26"/>
      <c r="Y339" s="27"/>
    </row>
    <row r="340" spans="1:25" ht="14.1" customHeight="1">
      <c r="A340" s="20">
        <v>52</v>
      </c>
      <c r="B340" s="71"/>
      <c r="M340" s="73"/>
      <c r="O340" s="33"/>
      <c r="P340" s="330" t="s">
        <v>95</v>
      </c>
      <c r="Q340" s="331" t="str">
        <f>AK10&amp;"/"&amp;AL10</f>
        <v>Mo/Mo</v>
      </c>
      <c r="R340" s="466" t="s">
        <v>173</v>
      </c>
      <c r="S340" s="471">
        <f>AH28</f>
        <v>28</v>
      </c>
      <c r="T340" s="27"/>
      <c r="U340" s="330" t="s">
        <v>95</v>
      </c>
      <c r="V340" s="331" t="str">
        <f>AK91&amp;"/"&amp;AL91</f>
        <v>W/Rh</v>
      </c>
      <c r="W340" s="332" t="s">
        <v>173</v>
      </c>
      <c r="X340" s="643">
        <f>AH91</f>
        <v>28</v>
      </c>
      <c r="Y340" s="27"/>
    </row>
    <row r="341" spans="1:25" ht="14.1" customHeight="1">
      <c r="A341" s="20">
        <v>53</v>
      </c>
      <c r="B341" s="71"/>
      <c r="M341" s="73"/>
      <c r="O341" s="328"/>
      <c r="P341" s="476"/>
      <c r="R341" s="166" t="s">
        <v>219</v>
      </c>
      <c r="S341" s="640">
        <f>AI27</f>
        <v>20</v>
      </c>
      <c r="T341" s="213"/>
      <c r="W341" s="166" t="s">
        <v>219</v>
      </c>
      <c r="X341" s="640">
        <f>AI91</f>
        <v>50</v>
      </c>
      <c r="Y341" s="35"/>
    </row>
    <row r="342" spans="1:25" ht="14.1" customHeight="1" thickBot="1">
      <c r="A342" s="20">
        <v>54</v>
      </c>
      <c r="B342" s="71"/>
      <c r="C342" s="150" t="s">
        <v>343</v>
      </c>
      <c r="D342" s="72"/>
      <c r="E342" s="72"/>
      <c r="F342" s="72"/>
      <c r="G342" s="72"/>
      <c r="H342" s="72"/>
      <c r="I342" s="72"/>
      <c r="J342" s="72"/>
      <c r="K342" s="72"/>
      <c r="L342" s="72"/>
      <c r="M342" s="73"/>
      <c r="O342" s="329"/>
      <c r="P342" s="333" t="s">
        <v>25</v>
      </c>
      <c r="Q342" s="111" t="s">
        <v>26</v>
      </c>
      <c r="R342" s="111" t="s">
        <v>27</v>
      </c>
      <c r="S342" s="111" t="s">
        <v>338</v>
      </c>
      <c r="T342" s="213" t="s">
        <v>339</v>
      </c>
      <c r="U342" s="338" t="s">
        <v>25</v>
      </c>
      <c r="V342" s="339" t="s">
        <v>26</v>
      </c>
      <c r="W342" s="339" t="s">
        <v>27</v>
      </c>
      <c r="X342" s="339" t="s">
        <v>338</v>
      </c>
      <c r="Y342" s="340" t="s">
        <v>339</v>
      </c>
    </row>
    <row r="343" spans="1:25" ht="14.1" customHeight="1">
      <c r="A343" s="20">
        <v>55</v>
      </c>
      <c r="B343" s="71"/>
      <c r="C343" s="166"/>
      <c r="D343" s="330" t="s">
        <v>95</v>
      </c>
      <c r="E343" s="331" t="str">
        <f>Q340</f>
        <v>Mo/Mo</v>
      </c>
      <c r="F343" s="466" t="s">
        <v>173</v>
      </c>
      <c r="G343" s="471">
        <f>S340</f>
        <v>28</v>
      </c>
      <c r="H343" s="27"/>
      <c r="I343" s="330" t="s">
        <v>95</v>
      </c>
      <c r="J343" s="331" t="str">
        <f>V340</f>
        <v>W/Rh</v>
      </c>
      <c r="K343" s="332" t="s">
        <v>173</v>
      </c>
      <c r="L343" s="599">
        <f>X340</f>
        <v>28</v>
      </c>
      <c r="M343" s="486"/>
      <c r="O343" s="329"/>
      <c r="P343" s="337" t="str">
        <f>IF(AQ28="","",AQ28)</f>
        <v/>
      </c>
      <c r="Q343" s="283" t="str">
        <f>IF(AN28="","",AN28)</f>
        <v/>
      </c>
      <c r="R343" s="283" t="str">
        <f>IF(AO28="","",AO28)</f>
        <v/>
      </c>
      <c r="S343" s="245" t="str">
        <f>IF(R343="","",R343/$S$341)</f>
        <v/>
      </c>
      <c r="T343" s="246" t="str">
        <f>IF(OR(R343="",Q343=""),"",R343/(Q343/1000))</f>
        <v/>
      </c>
      <c r="U343" s="337" t="str">
        <f>IF(AQ91="","",AQ91)</f>
        <v/>
      </c>
      <c r="V343" s="283" t="str">
        <f>IF(AN91="","",AN91)</f>
        <v/>
      </c>
      <c r="W343" s="283" t="str">
        <f>IF(AO91="","",AO91)</f>
        <v/>
      </c>
      <c r="X343" s="245" t="str">
        <f>IF(W343="","",W343/$X$341)</f>
        <v/>
      </c>
      <c r="Y343" s="246" t="str">
        <f>IF(OR(W343="",V343=""),"",W343/(V343/1000))</f>
        <v/>
      </c>
    </row>
    <row r="344" spans="1:25" ht="14.1" customHeight="1">
      <c r="A344" s="20">
        <v>56</v>
      </c>
      <c r="B344" s="71"/>
      <c r="C344" s="166"/>
      <c r="D344" s="476"/>
      <c r="E344" s="72"/>
      <c r="F344" s="166" t="s">
        <v>219</v>
      </c>
      <c r="G344" s="600">
        <f>S341</f>
        <v>20</v>
      </c>
      <c r="H344" s="213"/>
      <c r="I344" s="72"/>
      <c r="J344" s="72"/>
      <c r="K344" s="166" t="s">
        <v>219</v>
      </c>
      <c r="L344" s="600">
        <f>X341</f>
        <v>50</v>
      </c>
      <c r="M344" s="73"/>
      <c r="O344" s="329"/>
      <c r="P344" s="334" t="str">
        <f>IF(AQ29="","",AQ29)</f>
        <v/>
      </c>
      <c r="Q344" s="15" t="str">
        <f>IF(AN29="","",AN29)</f>
        <v/>
      </c>
      <c r="R344" s="15" t="str">
        <f>IF(AO29="","",AO29)</f>
        <v/>
      </c>
      <c r="S344" s="16" t="str">
        <f>IF(R344="","",R344/$S$341)</f>
        <v/>
      </c>
      <c r="T344" s="248" t="str">
        <f>IF(OR(R344="",Q344=""),"",R344/(Q344/1000))</f>
        <v/>
      </c>
      <c r="U344" s="334" t="str">
        <f>IF(AQ92="","",AQ92)</f>
        <v/>
      </c>
      <c r="V344" s="15" t="str">
        <f>IF(AN92="","",AN92)</f>
        <v/>
      </c>
      <c r="W344" s="15" t="str">
        <f>IF(AO92="","",AO92)</f>
        <v/>
      </c>
      <c r="X344" s="16" t="str">
        <f>IF(W344="","",W344/$X$341)</f>
        <v/>
      </c>
      <c r="Y344" s="248" t="str">
        <f t="shared" ref="Y344:Y346" si="56">IF(OR(W344="",V344=""),"",W344/(V344/1000))</f>
        <v/>
      </c>
    </row>
    <row r="345" spans="1:25" ht="14.1" customHeight="1" thickBot="1">
      <c r="A345" s="20">
        <v>57</v>
      </c>
      <c r="B345" s="71"/>
      <c r="C345" s="111"/>
      <c r="D345" s="338" t="s">
        <v>25</v>
      </c>
      <c r="E345" s="339" t="s">
        <v>26</v>
      </c>
      <c r="F345" s="339" t="s">
        <v>27</v>
      </c>
      <c r="G345" s="339" t="s">
        <v>338</v>
      </c>
      <c r="H345" s="340" t="s">
        <v>339</v>
      </c>
      <c r="I345" s="338" t="s">
        <v>25</v>
      </c>
      <c r="J345" s="339" t="s">
        <v>26</v>
      </c>
      <c r="K345" s="339" t="s">
        <v>27</v>
      </c>
      <c r="L345" s="339" t="s">
        <v>338</v>
      </c>
      <c r="M345" s="487" t="s">
        <v>339</v>
      </c>
      <c r="O345" s="329"/>
      <c r="P345" s="334" t="str">
        <f>IF(AQ30="","",AQ30)</f>
        <v/>
      </c>
      <c r="Q345" s="15" t="str">
        <f>IF(AN30="","",AN30)</f>
        <v/>
      </c>
      <c r="R345" s="15" t="str">
        <f>IF(AO30="","",AO30)</f>
        <v/>
      </c>
      <c r="S345" s="16" t="str">
        <f>IF(R345="","",R345/$S$341)</f>
        <v/>
      </c>
      <c r="T345" s="248" t="str">
        <f>IF(OR(R345="",Q345=""),"",R345/(Q345/1000))</f>
        <v/>
      </c>
      <c r="U345" s="334" t="str">
        <f>IF(AQ93="","",AQ93)</f>
        <v/>
      </c>
      <c r="V345" s="15" t="str">
        <f>IF(AN93="","",AN93)</f>
        <v/>
      </c>
      <c r="W345" s="15" t="str">
        <f>IF(AO93="","",AO93)</f>
        <v/>
      </c>
      <c r="X345" s="16" t="str">
        <f>IF(W345="","",W345/$X$341)</f>
        <v/>
      </c>
      <c r="Y345" s="248" t="str">
        <f t="shared" si="56"/>
        <v/>
      </c>
    </row>
    <row r="346" spans="1:25" ht="14.1" customHeight="1" thickBot="1">
      <c r="A346" s="20">
        <v>58</v>
      </c>
      <c r="B346" s="71"/>
      <c r="C346" s="111"/>
      <c r="D346" s="470" t="str">
        <f>IF(P343="","",P343)</f>
        <v/>
      </c>
      <c r="E346" s="460" t="str">
        <f>IF(Q343="","",Q343)</f>
        <v/>
      </c>
      <c r="F346" s="460" t="str">
        <f>IF(R343="","",R343)</f>
        <v/>
      </c>
      <c r="G346" s="461" t="str">
        <f>IF(S343="","",S343)</f>
        <v/>
      </c>
      <c r="H346" s="472" t="str">
        <f>IF(T343="","",T343)</f>
        <v/>
      </c>
      <c r="I346" s="475" t="str">
        <f>IF(U343="","",U343)</f>
        <v/>
      </c>
      <c r="J346" s="451" t="str">
        <f>IF(V343="","",V343)</f>
        <v/>
      </c>
      <c r="K346" s="451" t="str">
        <f>IF(W343="","",W343)</f>
        <v/>
      </c>
      <c r="L346" s="452" t="str">
        <f>IF(X343="","",X343)</f>
        <v/>
      </c>
      <c r="M346" s="488" t="str">
        <f>IF(Y343="","",Y343)</f>
        <v/>
      </c>
      <c r="O346" s="329"/>
      <c r="P346" s="482" t="str">
        <f>IF(AQ31="","",AQ31)</f>
        <v/>
      </c>
      <c r="Q346" s="238" t="str">
        <f>IF(AN31="","",AN31)</f>
        <v/>
      </c>
      <c r="R346" s="238" t="str">
        <f>IF(AO31="","",AO31)</f>
        <v/>
      </c>
      <c r="S346" s="252" t="str">
        <f>IF(R346="","",R346/$S$341)</f>
        <v/>
      </c>
      <c r="T346" s="253" t="str">
        <f>IF(OR(R346="",Q346=""),"",R346/(Q346/1000))</f>
        <v/>
      </c>
      <c r="U346" s="482" t="str">
        <f>IF(AQ94="","",AQ94)</f>
        <v/>
      </c>
      <c r="V346" s="238" t="str">
        <f>IF(AN94="","",AN94)</f>
        <v/>
      </c>
      <c r="W346" s="238" t="str">
        <f>IF(AO94="","",AO94)</f>
        <v/>
      </c>
      <c r="X346" s="252" t="str">
        <f>IF(W346="","",W346/$X$341)</f>
        <v/>
      </c>
      <c r="Y346" s="253" t="str">
        <f t="shared" si="56"/>
        <v/>
      </c>
    </row>
    <row r="347" spans="1:25" ht="14.1" customHeight="1">
      <c r="A347" s="20">
        <v>59</v>
      </c>
      <c r="B347" s="71"/>
      <c r="C347" s="111"/>
      <c r="D347" s="467" t="str">
        <f>IF(P344="","",P344)</f>
        <v/>
      </c>
      <c r="E347" s="311" t="str">
        <f>IF(Q344="","",Q344)</f>
        <v/>
      </c>
      <c r="F347" s="311" t="str">
        <f>IF(R344="","",R344)</f>
        <v/>
      </c>
      <c r="G347" s="305" t="str">
        <f>IF(S344="","",S344)</f>
        <v/>
      </c>
      <c r="H347" s="473" t="str">
        <f>IF(T344="","",T344)</f>
        <v/>
      </c>
      <c r="I347" s="467" t="str">
        <f>IF(U344="","",U344)</f>
        <v/>
      </c>
      <c r="J347" s="311" t="str">
        <f>IF(V344="","",V344)</f>
        <v/>
      </c>
      <c r="K347" s="311" t="str">
        <f>IF(W344="","",W344)</f>
        <v/>
      </c>
      <c r="L347" s="305" t="str">
        <f>IF(X344="","",X344)</f>
        <v/>
      </c>
      <c r="M347" s="489" t="str">
        <f>IF(Y344="","",Y344)</f>
        <v/>
      </c>
      <c r="O347" s="328" t="s">
        <v>210</v>
      </c>
      <c r="P347" s="477" t="str">
        <f t="shared" ref="P347:Y347" si="57">IF(OR(P343="",P344="",P345="",P346=""),"",AVERAGE(P343:P346))</f>
        <v/>
      </c>
      <c r="Q347" s="478" t="str">
        <f t="shared" si="57"/>
        <v/>
      </c>
      <c r="R347" s="479" t="str">
        <f t="shared" si="57"/>
        <v/>
      </c>
      <c r="S347" s="480" t="str">
        <f t="shared" si="57"/>
        <v/>
      </c>
      <c r="T347" s="481" t="str">
        <f t="shared" si="57"/>
        <v/>
      </c>
      <c r="U347" s="477" t="str">
        <f t="shared" si="57"/>
        <v/>
      </c>
      <c r="V347" s="478" t="str">
        <f t="shared" si="57"/>
        <v/>
      </c>
      <c r="W347" s="479" t="str">
        <f t="shared" si="57"/>
        <v/>
      </c>
      <c r="X347" s="480" t="str">
        <f t="shared" si="57"/>
        <v/>
      </c>
      <c r="Y347" s="481" t="str">
        <f t="shared" si="57"/>
        <v/>
      </c>
    </row>
    <row r="348" spans="1:25" ht="14.1" customHeight="1">
      <c r="A348" s="20">
        <v>60</v>
      </c>
      <c r="B348" s="71"/>
      <c r="C348" s="111"/>
      <c r="D348" s="467" t="str">
        <f>IF(P345="","",P345)</f>
        <v/>
      </c>
      <c r="E348" s="311" t="str">
        <f>IF(Q345="","",Q345)</f>
        <v/>
      </c>
      <c r="F348" s="311" t="str">
        <f>IF(R345="","",R345)</f>
        <v/>
      </c>
      <c r="G348" s="305" t="str">
        <f>IF(S345="","",S345)</f>
        <v/>
      </c>
      <c r="H348" s="473" t="str">
        <f>IF(T345="","",T345)</f>
        <v/>
      </c>
      <c r="I348" s="467" t="str">
        <f>IF(U345="","",U345)</f>
        <v/>
      </c>
      <c r="J348" s="311" t="str">
        <f>IF(V345="","",V345)</f>
        <v/>
      </c>
      <c r="K348" s="311" t="str">
        <f>IF(W345="","",W345)</f>
        <v/>
      </c>
      <c r="L348" s="305" t="str">
        <f>IF(X345="","",X345)</f>
        <v/>
      </c>
      <c r="M348" s="489" t="str">
        <f>IF(Y345="","",Y345)</f>
        <v/>
      </c>
      <c r="O348" s="328" t="s">
        <v>344</v>
      </c>
      <c r="P348" s="334" t="str">
        <f t="shared" ref="P348:Y348" si="58">IF(OR(P343="",P344="",P345="",P346=""),"",_xlfn.STDEV.S(P343:P346))</f>
        <v/>
      </c>
      <c r="Q348" s="15" t="str">
        <f t="shared" si="58"/>
        <v/>
      </c>
      <c r="R348" s="15" t="str">
        <f t="shared" si="58"/>
        <v/>
      </c>
      <c r="S348" s="16" t="str">
        <f t="shared" si="58"/>
        <v/>
      </c>
      <c r="T348" s="248" t="str">
        <f t="shared" si="58"/>
        <v/>
      </c>
      <c r="U348" s="334" t="str">
        <f t="shared" si="58"/>
        <v/>
      </c>
      <c r="V348" s="15" t="str">
        <f t="shared" si="58"/>
        <v/>
      </c>
      <c r="W348" s="15" t="str">
        <f t="shared" si="58"/>
        <v/>
      </c>
      <c r="X348" s="16" t="str">
        <f t="shared" si="58"/>
        <v/>
      </c>
      <c r="Y348" s="248" t="str">
        <f t="shared" si="58"/>
        <v/>
      </c>
    </row>
    <row r="349" spans="1:25" ht="14.1" customHeight="1" thickBot="1">
      <c r="A349" s="20">
        <v>61</v>
      </c>
      <c r="B349" s="71"/>
      <c r="C349" s="111"/>
      <c r="D349" s="469" t="str">
        <f>IF(P346="","",P346)</f>
        <v/>
      </c>
      <c r="E349" s="458" t="str">
        <f>IF(Q346="","",Q346)</f>
        <v/>
      </c>
      <c r="F349" s="458" t="str">
        <f>IF(R346="","",R346)</f>
        <v/>
      </c>
      <c r="G349" s="459" t="str">
        <f>IF(S346="","",S346)</f>
        <v/>
      </c>
      <c r="H349" s="474" t="str">
        <f>IF(T346="","",T346)</f>
        <v/>
      </c>
      <c r="I349" s="469" t="str">
        <f>IF(U346="","",U346)</f>
        <v/>
      </c>
      <c r="J349" s="458" t="str">
        <f>IF(V346="","",V346)</f>
        <v/>
      </c>
      <c r="K349" s="458" t="str">
        <f>IF(W346="","",W346)</f>
        <v/>
      </c>
      <c r="L349" s="459" t="str">
        <f>IF(X346="","",X346)</f>
        <v/>
      </c>
      <c r="M349" s="490" t="str">
        <f>IF(Y346="","",Y346)</f>
        <v/>
      </c>
      <c r="O349" s="328" t="s">
        <v>274</v>
      </c>
      <c r="P349" s="194" t="str">
        <f t="shared" ref="P349:Y349" si="59">IF(OR(P347="",P348=""),"",P348/P347)</f>
        <v/>
      </c>
      <c r="Q349" s="188" t="str">
        <f t="shared" si="59"/>
        <v/>
      </c>
      <c r="R349" s="188" t="str">
        <f t="shared" si="59"/>
        <v/>
      </c>
      <c r="S349" s="335" t="str">
        <f t="shared" si="59"/>
        <v/>
      </c>
      <c r="T349" s="336" t="str">
        <f t="shared" si="59"/>
        <v/>
      </c>
      <c r="U349" s="194" t="str">
        <f t="shared" si="59"/>
        <v/>
      </c>
      <c r="V349" s="188" t="str">
        <f t="shared" si="59"/>
        <v/>
      </c>
      <c r="W349" s="188" t="str">
        <f t="shared" si="59"/>
        <v/>
      </c>
      <c r="X349" s="335" t="str">
        <f t="shared" si="59"/>
        <v/>
      </c>
      <c r="Y349" s="336" t="str">
        <f t="shared" si="59"/>
        <v/>
      </c>
    </row>
    <row r="350" spans="1:25" ht="14.1" customHeight="1">
      <c r="A350" s="20">
        <v>62</v>
      </c>
      <c r="B350" s="71"/>
      <c r="C350" s="166" t="s">
        <v>210</v>
      </c>
      <c r="D350" s="470" t="str">
        <f>IF(P347="","",P347)</f>
        <v/>
      </c>
      <c r="E350" s="460" t="str">
        <f>IF(Q347="","",Q347)</f>
        <v/>
      </c>
      <c r="F350" s="460" t="str">
        <f>IF(R347="","",R347)</f>
        <v/>
      </c>
      <c r="G350" s="461" t="str">
        <f>IF(S347="","",S347)</f>
        <v/>
      </c>
      <c r="H350" s="472" t="str">
        <f>IF(T347="","",T347)</f>
        <v/>
      </c>
      <c r="I350" s="470" t="str">
        <f>IF(U347="","",U347)</f>
        <v/>
      </c>
      <c r="J350" s="460" t="str">
        <f>IF(V347="","",V347)</f>
        <v/>
      </c>
      <c r="K350" s="460" t="str">
        <f>IF(W347="","",W347)</f>
        <v/>
      </c>
      <c r="L350" s="461" t="str">
        <f>IF(X347="","",X347)</f>
        <v/>
      </c>
      <c r="M350" s="491" t="str">
        <f>IF(Y347="","",Y347)</f>
        <v/>
      </c>
      <c r="O350" s="328" t="s">
        <v>346</v>
      </c>
      <c r="P350" s="641"/>
      <c r="Q350" s="641"/>
      <c r="R350" s="325"/>
      <c r="S350" s="326" t="str">
        <f>IF(AB86="","",AB86)</f>
        <v/>
      </c>
      <c r="T350" s="327" t="str">
        <f>IF(AB87="","",AB87)</f>
        <v/>
      </c>
      <c r="U350" s="641"/>
      <c r="V350" s="641"/>
      <c r="W350" s="325"/>
      <c r="X350" s="326" t="str">
        <f>IF(AG86="","",AG86)</f>
        <v/>
      </c>
      <c r="Y350" s="327" t="str">
        <f>IF(AG87="","",AG87)</f>
        <v/>
      </c>
    </row>
    <row r="351" spans="1:25" ht="14.1" customHeight="1">
      <c r="A351" s="20">
        <v>63</v>
      </c>
      <c r="B351" s="71"/>
      <c r="C351" s="166" t="s">
        <v>344</v>
      </c>
      <c r="D351" s="467" t="str">
        <f>IF(P348="","",P348)</f>
        <v/>
      </c>
      <c r="E351" s="311" t="str">
        <f>IF(Q348="","",Q348)</f>
        <v/>
      </c>
      <c r="F351" s="311" t="str">
        <f>IF(R348="","",R348)</f>
        <v/>
      </c>
      <c r="G351" s="305" t="str">
        <f>IF(S348="","",S348)</f>
        <v/>
      </c>
      <c r="H351" s="473" t="str">
        <f>IF(T348="","",T348)</f>
        <v/>
      </c>
      <c r="I351" s="467" t="str">
        <f>IF(U348="","",U348)</f>
        <v/>
      </c>
      <c r="J351" s="311" t="str">
        <f>IF(V348="","",V348)</f>
        <v/>
      </c>
      <c r="K351" s="311" t="str">
        <f>IF(W348="","",W348)</f>
        <v/>
      </c>
      <c r="L351" s="305" t="str">
        <f>IF(X348="","",X348)</f>
        <v/>
      </c>
      <c r="M351" s="489" t="str">
        <f>IF(Y348="","",Y348)</f>
        <v/>
      </c>
      <c r="O351" s="33"/>
      <c r="P351" s="117" t="s">
        <v>204</v>
      </c>
      <c r="Q351" s="142" t="s">
        <v>347</v>
      </c>
      <c r="Y351" s="35"/>
    </row>
    <row r="352" spans="1:25" ht="14.1" customHeight="1" thickBot="1">
      <c r="A352" s="20">
        <v>64</v>
      </c>
      <c r="B352" s="71"/>
      <c r="C352" s="328" t="s">
        <v>274</v>
      </c>
      <c r="D352" s="423" t="str">
        <f>IF(P349="","",P349)</f>
        <v/>
      </c>
      <c r="E352" s="485"/>
      <c r="F352" s="424" t="str">
        <f>IF(R349="","",R349)</f>
        <v/>
      </c>
      <c r="G352" s="424" t="str">
        <f>IF(S349="","",S349)</f>
        <v/>
      </c>
      <c r="H352" s="484"/>
      <c r="I352" s="423" t="str">
        <f>IF(U349="","",U349)</f>
        <v/>
      </c>
      <c r="J352" s="485"/>
      <c r="K352" s="424" t="str">
        <f>IF(W349="","",W349)</f>
        <v/>
      </c>
      <c r="L352" s="424" t="str">
        <f>IF(X349="","",X349)</f>
        <v/>
      </c>
      <c r="M352" s="492"/>
      <c r="O352" s="33"/>
      <c r="Q352" s="142" t="s">
        <v>348</v>
      </c>
      <c r="Y352" s="35"/>
    </row>
    <row r="353" spans="1:25" ht="14.1" customHeight="1" thickBot="1">
      <c r="A353" s="20">
        <v>65</v>
      </c>
      <c r="B353" s="71"/>
      <c r="C353" s="166"/>
      <c r="D353" s="344"/>
      <c r="E353" s="344"/>
      <c r="F353" s="344"/>
      <c r="G353" s="483" t="s">
        <v>547</v>
      </c>
      <c r="H353" s="389" t="str">
        <f>IF(H350="","",IF(H350&gt;7,"Pass","Fail"))</f>
        <v/>
      </c>
      <c r="I353" s="72"/>
      <c r="J353" s="72"/>
      <c r="K353" s="72"/>
      <c r="L353" s="166" t="s">
        <v>548</v>
      </c>
      <c r="M353" s="493" t="str">
        <f>IF(M350="","",IF(M350&gt;2,"Pass","Fail"))</f>
        <v/>
      </c>
      <c r="O353" s="43"/>
      <c r="P353" s="44"/>
      <c r="Q353" s="280" t="s">
        <v>349</v>
      </c>
      <c r="R353" s="44"/>
      <c r="S353" s="44"/>
      <c r="T353" s="44"/>
      <c r="U353" s="44"/>
      <c r="V353" s="44"/>
      <c r="W353" s="44"/>
      <c r="X353" s="44"/>
      <c r="Y353" s="45"/>
    </row>
    <row r="354" spans="1:25" ht="14.1" customHeight="1">
      <c r="A354" s="20">
        <v>66</v>
      </c>
      <c r="B354" s="71"/>
      <c r="C354" s="166"/>
      <c r="D354" s="72"/>
      <c r="E354" s="72"/>
      <c r="F354" s="111"/>
      <c r="G354" s="111"/>
      <c r="H354" s="72"/>
      <c r="I354" s="72"/>
      <c r="J354" s="72"/>
      <c r="K354" s="72"/>
      <c r="L354" s="72"/>
      <c r="M354" s="73"/>
      <c r="O354" s="140" t="s">
        <v>350</v>
      </c>
      <c r="P354" s="26"/>
      <c r="Q354" s="26"/>
      <c r="R354" s="26"/>
      <c r="S354" s="26"/>
      <c r="T354" s="26"/>
      <c r="U354" s="26"/>
      <c r="V354" s="26"/>
      <c r="W354" s="26"/>
      <c r="X354" s="26"/>
      <c r="Y354" s="27"/>
    </row>
    <row r="355" spans="1:25" ht="14.1" customHeight="1">
      <c r="A355" s="20">
        <v>67</v>
      </c>
      <c r="B355" s="71"/>
      <c r="C355" s="72"/>
      <c r="D355" s="5" t="s">
        <v>204</v>
      </c>
      <c r="E355" s="105" t="s">
        <v>347</v>
      </c>
      <c r="F355" s="72"/>
      <c r="G355" s="72"/>
      <c r="H355" s="72"/>
      <c r="I355" s="72"/>
      <c r="J355" s="72"/>
      <c r="K355" s="72"/>
      <c r="L355" s="72"/>
      <c r="M355" s="73"/>
      <c r="O355" s="33"/>
      <c r="P355" s="38" t="s">
        <v>95</v>
      </c>
      <c r="Q355" s="640" t="str">
        <f>AK10&amp;"/"&amp;AL10</f>
        <v>Mo/Mo</v>
      </c>
      <c r="R355" s="38" t="s">
        <v>173</v>
      </c>
      <c r="S355" s="640">
        <f>AH27</f>
        <v>28</v>
      </c>
      <c r="T355" s="639"/>
      <c r="Y355" s="35"/>
    </row>
    <row r="356" spans="1:25" ht="14.1" customHeight="1">
      <c r="A356" s="20">
        <v>68</v>
      </c>
      <c r="B356" s="71"/>
      <c r="C356" s="72"/>
      <c r="D356" s="72"/>
      <c r="E356" s="105" t="s">
        <v>348</v>
      </c>
      <c r="F356" s="72"/>
      <c r="G356" s="72"/>
      <c r="H356" s="72"/>
      <c r="I356" s="72"/>
      <c r="J356" s="72"/>
      <c r="K356" s="72"/>
      <c r="L356" s="72"/>
      <c r="M356" s="73"/>
      <c r="O356" s="33"/>
      <c r="P356" s="639" t="s">
        <v>72</v>
      </c>
      <c r="Q356" s="639" t="s">
        <v>25</v>
      </c>
      <c r="R356" s="639" t="s">
        <v>26</v>
      </c>
      <c r="S356" s="639" t="s">
        <v>27</v>
      </c>
      <c r="T356" s="639" t="s">
        <v>338</v>
      </c>
      <c r="U356" s="639" t="s">
        <v>339</v>
      </c>
      <c r="V356" s="6"/>
      <c r="W356" s="6"/>
      <c r="X356" s="6"/>
      <c r="Y356" s="35"/>
    </row>
    <row r="357" spans="1:25" ht="14.1" customHeight="1">
      <c r="A357" s="20">
        <v>69</v>
      </c>
      <c r="B357" s="71"/>
      <c r="C357" s="72"/>
      <c r="D357" s="72"/>
      <c r="E357" s="105" t="s">
        <v>349</v>
      </c>
      <c r="F357" s="72"/>
      <c r="G357" s="72"/>
      <c r="H357" s="72"/>
      <c r="I357" s="72"/>
      <c r="J357" s="72"/>
      <c r="K357" s="72"/>
      <c r="L357" s="72"/>
      <c r="M357" s="73"/>
      <c r="O357" s="33"/>
      <c r="P357" s="14">
        <f>IF(AI27="","",AI27)</f>
        <v>20</v>
      </c>
      <c r="Q357" s="15" t="str">
        <f>IF(AQ27="","",AQ27)</f>
        <v/>
      </c>
      <c r="R357" s="110" t="str">
        <f>IF(AN27="","",AN27)</f>
        <v/>
      </c>
      <c r="S357" s="15" t="str">
        <f>IF(AO27="","",AO27)</f>
        <v/>
      </c>
      <c r="T357" s="16" t="str">
        <f>IF(S357="","",S357/P357)</f>
        <v/>
      </c>
      <c r="U357" s="15" t="str">
        <f>IF(OR(S357="",R357=""),"",S357/(R357/1000))</f>
        <v/>
      </c>
      <c r="V357" s="6"/>
      <c r="W357" s="6"/>
      <c r="X357" s="6"/>
      <c r="Y357" s="35"/>
    </row>
    <row r="358" spans="1:25" ht="14.1" customHeight="1" thickBot="1">
      <c r="A358" s="20">
        <v>70</v>
      </c>
      <c r="B358" s="84"/>
      <c r="C358" s="85"/>
      <c r="D358" s="85"/>
      <c r="E358" s="85"/>
      <c r="F358" s="85"/>
      <c r="G358" s="85"/>
      <c r="H358" s="85"/>
      <c r="I358" s="85"/>
      <c r="J358" s="85"/>
      <c r="K358" s="85"/>
      <c r="L358" s="85"/>
      <c r="M358" s="86"/>
      <c r="O358" s="33"/>
      <c r="P358" s="14">
        <f>IF(AI28="","",AI28)</f>
        <v>50</v>
      </c>
      <c r="Q358" s="15" t="str">
        <f>P347</f>
        <v/>
      </c>
      <c r="R358" s="110" t="str">
        <f>Q347</f>
        <v/>
      </c>
      <c r="S358" s="15" t="str">
        <f>R347</f>
        <v/>
      </c>
      <c r="T358" s="16" t="str">
        <f>S347</f>
        <v/>
      </c>
      <c r="U358" s="15" t="str">
        <f>T347</f>
        <v/>
      </c>
      <c r="V358" s="6"/>
      <c r="W358" s="6"/>
      <c r="X358" s="6"/>
      <c r="Y358" s="35"/>
    </row>
    <row r="359" spans="1:25" ht="14.1" customHeight="1" thickTop="1">
      <c r="A359" s="20">
        <v>71</v>
      </c>
      <c r="C359" s="113" t="s">
        <v>11</v>
      </c>
      <c r="D359" s="387" t="str">
        <f>IF($P$7="","",$P$7)</f>
        <v/>
      </c>
      <c r="E359" s="30"/>
      <c r="F359" s="30"/>
      <c r="G359" s="30"/>
      <c r="H359" s="30"/>
      <c r="I359" s="30"/>
      <c r="J359" s="30"/>
      <c r="K359" s="30"/>
      <c r="L359" s="113" t="s">
        <v>12</v>
      </c>
      <c r="M359" s="388" t="str">
        <f>IF($X$7="","",$X$7)</f>
        <v>Eugene Mah</v>
      </c>
      <c r="O359" s="33"/>
      <c r="P359" s="14">
        <f>IF(AI38="","",AI38)</f>
        <v>100</v>
      </c>
      <c r="Q359" s="15" t="str">
        <f>IF(AQ38="","",AQ38)</f>
        <v/>
      </c>
      <c r="R359" s="110" t="str">
        <f>IF(AN38="","",AN38)</f>
        <v/>
      </c>
      <c r="S359" s="15" t="str">
        <f>IF(AO38="","",AO38)</f>
        <v/>
      </c>
      <c r="T359" s="16" t="str">
        <f>IF(S359="","",S359/P359)</f>
        <v/>
      </c>
      <c r="U359" s="15" t="str">
        <f>IF(OR(S359="",R359=""),"",S359/(R359/1000))</f>
        <v/>
      </c>
      <c r="V359" s="6"/>
      <c r="W359" s="6"/>
      <c r="X359" s="6"/>
      <c r="Y359" s="35"/>
    </row>
    <row r="360" spans="1:25" ht="14.1" customHeight="1">
      <c r="A360" s="20">
        <v>72</v>
      </c>
      <c r="C360" s="113" t="s">
        <v>121</v>
      </c>
      <c r="D360" s="504" t="str">
        <f>IF($R$14="","",$R$14)</f>
        <v/>
      </c>
      <c r="E360" s="30"/>
      <c r="F360" s="30"/>
      <c r="G360" s="30"/>
      <c r="H360" s="30"/>
      <c r="I360" s="30"/>
      <c r="J360" s="30"/>
      <c r="K360" s="30"/>
      <c r="L360" s="113" t="s">
        <v>37</v>
      </c>
      <c r="M360" s="504" t="str">
        <f>IF($R$13="","",$R$13)</f>
        <v/>
      </c>
      <c r="O360" s="33"/>
      <c r="P360" s="14">
        <f>IF(AI39="","",AI39)</f>
        <v>300</v>
      </c>
      <c r="Q360" s="15" t="str">
        <f>IF(AQ39="","",AQ39)</f>
        <v/>
      </c>
      <c r="R360" s="110" t="str">
        <f>IF(AN39="","",AN39)</f>
        <v/>
      </c>
      <c r="S360" s="15" t="str">
        <f>IF(AO39="","",AO39)</f>
        <v/>
      </c>
      <c r="T360" s="16" t="str">
        <f>IF(S360="","",S360/P360)</f>
        <v/>
      </c>
      <c r="U360" s="15" t="str">
        <f>IF(OR(S360="",R360=""),"",S360/(R360/1000))</f>
        <v/>
      </c>
      <c r="V360" s="6"/>
      <c r="W360" s="6"/>
      <c r="X360" s="6"/>
      <c r="Y360" s="35"/>
    </row>
    <row r="361" spans="1:25" ht="14.1" customHeight="1">
      <c r="A361" s="20">
        <v>1</v>
      </c>
      <c r="B361" s="72"/>
      <c r="C361" s="72"/>
      <c r="D361" s="72"/>
      <c r="E361" s="72"/>
      <c r="F361" s="72"/>
      <c r="G361" s="72"/>
      <c r="H361" s="72"/>
      <c r="I361" s="72"/>
      <c r="J361" s="72"/>
      <c r="K361" s="72"/>
      <c r="L361" s="72"/>
      <c r="M361" s="585" t="str">
        <f>$H$2</f>
        <v>Medical University of South Carolina</v>
      </c>
      <c r="O361" s="33"/>
      <c r="S361" s="38" t="s">
        <v>351</v>
      </c>
      <c r="T361" s="185" t="str">
        <f>IF(OR(T357="",T358="",T359="",T360=""),"",(MAX(T357:T360)-MIN(T357:T360))/(MAX(T357:T360)+MIN(T357:T360)))</f>
        <v/>
      </c>
      <c r="V361" s="6"/>
      <c r="W361" s="6"/>
      <c r="X361" s="6"/>
      <c r="Y361" s="35"/>
    </row>
    <row r="362" spans="1:25" ht="14.1" customHeight="1" thickBot="1">
      <c r="A362" s="20">
        <v>2</v>
      </c>
      <c r="B362" s="85"/>
      <c r="C362" s="85"/>
      <c r="D362" s="85"/>
      <c r="E362" s="85"/>
      <c r="F362" s="85"/>
      <c r="G362" s="85"/>
      <c r="H362" s="586" t="s">
        <v>73</v>
      </c>
      <c r="I362" s="85"/>
      <c r="J362" s="85"/>
      <c r="K362" s="85"/>
      <c r="L362" s="85"/>
      <c r="M362" s="587" t="str">
        <f>$H$5</f>
        <v>Mammography System Compliance Inspection</v>
      </c>
      <c r="O362" s="33"/>
      <c r="P362" s="117" t="s">
        <v>204</v>
      </c>
      <c r="Q362" s="142" t="s">
        <v>352</v>
      </c>
      <c r="Y362" s="35"/>
    </row>
    <row r="363" spans="1:25" ht="14.1" customHeight="1" thickTop="1">
      <c r="A363" s="20">
        <v>3</v>
      </c>
      <c r="B363" s="71"/>
      <c r="C363" s="150" t="s">
        <v>350</v>
      </c>
      <c r="D363" s="72"/>
      <c r="E363" s="72"/>
      <c r="F363" s="72"/>
      <c r="G363" s="72"/>
      <c r="H363" s="72"/>
      <c r="I363" s="72"/>
      <c r="J363" s="72"/>
      <c r="K363" s="72"/>
      <c r="L363" s="72"/>
      <c r="M363" s="73"/>
      <c r="O363" s="281" t="str">
        <f>IF(R360="","",IF(R360/1000&gt;=3,1,2))</f>
        <v/>
      </c>
      <c r="P363" s="24" t="s">
        <v>353</v>
      </c>
      <c r="Y363" s="35"/>
    </row>
    <row r="364" spans="1:25" ht="14.1" customHeight="1" thickBot="1">
      <c r="A364" s="20">
        <v>4</v>
      </c>
      <c r="B364" s="71"/>
      <c r="C364" s="166" t="s">
        <v>51</v>
      </c>
      <c r="D364" s="144" t="str">
        <f>IF(Q355="","",Q355)</f>
        <v>Mo/Mo</v>
      </c>
      <c r="E364" s="166" t="s">
        <v>54</v>
      </c>
      <c r="F364" s="144">
        <f>IF(S355="","",S355)</f>
        <v>28</v>
      </c>
      <c r="G364" s="72"/>
      <c r="H364" s="72"/>
      <c r="I364" s="72"/>
      <c r="J364" s="72"/>
      <c r="K364" s="72"/>
      <c r="L364" s="72"/>
      <c r="M364" s="73"/>
      <c r="O364" s="43"/>
      <c r="P364" s="44"/>
      <c r="Q364" s="44"/>
      <c r="R364" s="44"/>
      <c r="S364" s="44"/>
      <c r="T364" s="44"/>
      <c r="U364" s="44"/>
      <c r="V364" s="44"/>
      <c r="W364" s="44"/>
      <c r="X364" s="44"/>
      <c r="Y364" s="45"/>
    </row>
    <row r="365" spans="1:25" ht="14.1" customHeight="1" thickBot="1">
      <c r="A365" s="20">
        <v>5</v>
      </c>
      <c r="B365" s="71"/>
      <c r="C365" s="72"/>
      <c r="D365" s="111"/>
      <c r="E365" s="72"/>
      <c r="F365" s="72"/>
      <c r="G365" s="72"/>
      <c r="H365" s="72"/>
      <c r="I365" s="72"/>
      <c r="J365" s="72"/>
      <c r="K365" s="72"/>
      <c r="L365" s="72"/>
      <c r="M365" s="73"/>
      <c r="O365" s="140" t="s">
        <v>355</v>
      </c>
      <c r="P365" s="26"/>
      <c r="Q365" s="716">
        <v>1</v>
      </c>
      <c r="R365" s="26" t="s">
        <v>520</v>
      </c>
      <c r="S365" s="26"/>
      <c r="T365" s="26"/>
      <c r="U365" s="26"/>
      <c r="V365" s="26"/>
      <c r="W365" s="26"/>
      <c r="X365" s="26"/>
      <c r="Y365" s="27"/>
    </row>
    <row r="366" spans="1:25" ht="14.1" customHeight="1" thickBot="1">
      <c r="A366" s="20">
        <v>6</v>
      </c>
      <c r="B366" s="71"/>
      <c r="C366" s="277" t="s">
        <v>354</v>
      </c>
      <c r="D366" s="277" t="s">
        <v>25</v>
      </c>
      <c r="E366" s="277" t="s">
        <v>345</v>
      </c>
      <c r="F366" s="277" t="s">
        <v>338</v>
      </c>
      <c r="G366" s="277" t="s">
        <v>339</v>
      </c>
      <c r="H366" s="72"/>
      <c r="I366" s="389" t="str">
        <f>IF(F371="","",IF(F371&lt;=0.1,"Pass","Fail"))</f>
        <v/>
      </c>
      <c r="J366" s="72" t="s">
        <v>549</v>
      </c>
      <c r="K366" s="72"/>
      <c r="L366" s="72"/>
      <c r="M366" s="73"/>
      <c r="O366" s="33"/>
      <c r="P366" s="704" t="s">
        <v>71</v>
      </c>
      <c r="Q366" s="705" t="str">
        <f>$P$319</f>
        <v>Mo/Mo</v>
      </c>
      <c r="R366" s="705" t="str">
        <f>$P$319</f>
        <v>Mo/Mo</v>
      </c>
      <c r="S366" s="705" t="str">
        <f>$P$319</f>
        <v>Mo/Mo</v>
      </c>
      <c r="T366" s="705" t="str">
        <f>$P$319</f>
        <v>Mo/Mo</v>
      </c>
      <c r="U366" s="705" t="str">
        <f>$P$319</f>
        <v>Mo/Mo</v>
      </c>
      <c r="V366" s="705" t="str">
        <f>$P$326</f>
        <v>Mo/Rh</v>
      </c>
      <c r="W366" s="705" t="str">
        <f>$P$326</f>
        <v>Mo/Rh</v>
      </c>
      <c r="X366" s="705" t="str">
        <f>$P$326</f>
        <v>Mo/Rh</v>
      </c>
      <c r="Y366" s="706" t="str">
        <f>$P$326</f>
        <v>Mo/Rh</v>
      </c>
    </row>
    <row r="367" spans="1:25" ht="14.1" customHeight="1" thickBot="1">
      <c r="A367" s="20">
        <v>7</v>
      </c>
      <c r="B367" s="71"/>
      <c r="C367" s="14">
        <f>IF(P357="","",P357)</f>
        <v>20</v>
      </c>
      <c r="D367" s="15" t="str">
        <f>IF(Q357="","",Q357)</f>
        <v/>
      </c>
      <c r="E367" s="15" t="str">
        <f>IF(S357="","",S357)</f>
        <v/>
      </c>
      <c r="F367" s="16" t="str">
        <f>IF(T357="","",T357)</f>
        <v/>
      </c>
      <c r="G367" s="15" t="str">
        <f>IF(U357="","",U357)</f>
        <v/>
      </c>
      <c r="H367" s="72"/>
      <c r="I367" s="389" t="str">
        <f>IF(O363="","",IF(O363=1,"Pass","Fail"))</f>
        <v/>
      </c>
      <c r="J367" s="72" t="s">
        <v>550</v>
      </c>
      <c r="K367" s="72"/>
      <c r="L367" s="72"/>
      <c r="M367" s="73"/>
      <c r="O367" s="33"/>
      <c r="P367" s="707" t="s">
        <v>269</v>
      </c>
      <c r="Q367" s="710">
        <f>AH10</f>
        <v>24</v>
      </c>
      <c r="R367" s="710">
        <f>AH18</f>
        <v>25</v>
      </c>
      <c r="S367" s="710">
        <f>AH27</f>
        <v>28</v>
      </c>
      <c r="T367" s="710">
        <f>AH73</f>
        <v>32</v>
      </c>
      <c r="U367" s="304">
        <f>AH49</f>
        <v>34</v>
      </c>
      <c r="V367" s="710">
        <v>28</v>
      </c>
      <c r="W367" s="710">
        <v>30</v>
      </c>
      <c r="X367" s="708">
        <v>32</v>
      </c>
      <c r="Y367" s="709">
        <v>34</v>
      </c>
    </row>
    <row r="368" spans="1:25" ht="14.1" customHeight="1">
      <c r="A368" s="20">
        <v>8</v>
      </c>
      <c r="B368" s="71"/>
      <c r="C368" s="14">
        <f>IF(P358="","",P358)</f>
        <v>50</v>
      </c>
      <c r="D368" s="15" t="str">
        <f>IF(Q358="","",Q358)</f>
        <v/>
      </c>
      <c r="E368" s="15" t="str">
        <f>IF(S358="","",S358)</f>
        <v/>
      </c>
      <c r="F368" s="16" t="str">
        <f>IF(T358="","",T358)</f>
        <v/>
      </c>
      <c r="G368" s="15" t="str">
        <f>IF(U358="","",U358)</f>
        <v/>
      </c>
      <c r="H368" s="72"/>
      <c r="I368" s="72"/>
      <c r="J368" s="72"/>
      <c r="K368" s="72"/>
      <c r="L368" s="72"/>
      <c r="M368" s="73"/>
      <c r="O368" s="33"/>
      <c r="P368" s="707" t="s">
        <v>356</v>
      </c>
      <c r="Q368" s="710" t="s">
        <v>357</v>
      </c>
      <c r="R368" s="710"/>
      <c r="S368" s="710"/>
      <c r="T368" s="710"/>
      <c r="U368" s="710"/>
      <c r="V368" s="710"/>
      <c r="W368" s="710"/>
      <c r="X368" s="710"/>
      <c r="Y368" s="715"/>
    </row>
    <row r="369" spans="1:25" ht="14.1" customHeight="1">
      <c r="A369" s="20">
        <v>9</v>
      </c>
      <c r="B369" s="71"/>
      <c r="C369" s="14">
        <f>IF(P359="","",P359)</f>
        <v>100</v>
      </c>
      <c r="D369" s="15" t="str">
        <f>IF(Q359="","",Q359)</f>
        <v/>
      </c>
      <c r="E369" s="15" t="str">
        <f>IF(S359="","",S359)</f>
        <v/>
      </c>
      <c r="F369" s="16" t="str">
        <f>IF(T359="","",T359)</f>
        <v/>
      </c>
      <c r="G369" s="15" t="str">
        <f>IF(U359="","",U359)</f>
        <v/>
      </c>
      <c r="H369" s="72"/>
      <c r="I369" s="72"/>
      <c r="J369" s="72"/>
      <c r="K369" s="72"/>
      <c r="L369" s="72"/>
      <c r="M369" s="73"/>
      <c r="O369" s="33"/>
      <c r="P369" s="707">
        <v>0</v>
      </c>
      <c r="Q369" s="710" t="str">
        <f>IF(AO10="","",AO10)</f>
        <v/>
      </c>
      <c r="R369" s="710" t="str">
        <f>IF(AO18="","",AO18)</f>
        <v/>
      </c>
      <c r="S369" s="710" t="str">
        <f>IF(AO28="","",AO28)</f>
        <v/>
      </c>
      <c r="T369" s="710" t="str">
        <f>IF(AO41="","",AO41)</f>
        <v/>
      </c>
      <c r="U369" s="304" t="str">
        <f>IF(AO49="","",AO49)</f>
        <v/>
      </c>
      <c r="V369" s="710" t="str">
        <f>IF(AO91="","",AO91)</f>
        <v/>
      </c>
      <c r="W369" s="710" t="str">
        <f>IF(AO65="","",AO65)</f>
        <v/>
      </c>
      <c r="X369" s="711" t="str">
        <f>IF(AO73="","",AO73)</f>
        <v/>
      </c>
      <c r="Y369" s="712" t="str">
        <f>IF(AO81="","",AO81)</f>
        <v/>
      </c>
    </row>
    <row r="370" spans="1:25" ht="14.1" customHeight="1" thickBot="1">
      <c r="A370" s="20">
        <v>10</v>
      </c>
      <c r="B370" s="71"/>
      <c r="C370" s="14">
        <f>IF(P360="","",P360)</f>
        <v>300</v>
      </c>
      <c r="D370" s="15" t="str">
        <f>IF(Q360="","",Q360)</f>
        <v/>
      </c>
      <c r="E370" s="15" t="str">
        <f>IF(S360="","",S360)</f>
        <v/>
      </c>
      <c r="F370" s="16" t="str">
        <f>IF(T360="","",T360)</f>
        <v/>
      </c>
      <c r="G370" s="15" t="str">
        <f>IF(U360="","",U360)</f>
        <v/>
      </c>
      <c r="H370" s="72"/>
      <c r="I370" s="72"/>
      <c r="J370" s="72"/>
      <c r="K370" s="72"/>
      <c r="L370" s="72"/>
      <c r="M370" s="73"/>
      <c r="O370" s="33"/>
      <c r="P370" s="707">
        <v>0</v>
      </c>
      <c r="Q370" s="710" t="str">
        <f>IF(AO11="","",AO11)</f>
        <v/>
      </c>
      <c r="R370" s="710" t="str">
        <f>IF(AO19="","",AO19)</f>
        <v/>
      </c>
      <c r="S370" s="710" t="str">
        <f>IF(AO29="","",AO29)</f>
        <v/>
      </c>
      <c r="T370" s="710" t="str">
        <f>IF(AO42="","",AO42)</f>
        <v/>
      </c>
      <c r="U370" s="304" t="str">
        <f>IF(AO50="","",AO50)</f>
        <v/>
      </c>
      <c r="V370" s="710" t="str">
        <f>IF(AO92="","",AO92)</f>
        <v/>
      </c>
      <c r="W370" s="710" t="str">
        <f>IF(AO66="","",AO66)</f>
        <v/>
      </c>
      <c r="X370" s="711" t="str">
        <f>IF(AO74="","",AO74)</f>
        <v/>
      </c>
      <c r="Y370" s="712" t="str">
        <f>IF(AO82="","",AO82)</f>
        <v/>
      </c>
    </row>
    <row r="371" spans="1:25" ht="14.1" customHeight="1" thickBot="1">
      <c r="A371" s="20">
        <v>11</v>
      </c>
      <c r="B371" s="71"/>
      <c r="C371" s="72"/>
      <c r="D371" s="72"/>
      <c r="E371" s="166" t="s">
        <v>351</v>
      </c>
      <c r="F371" s="282" t="str">
        <f>IF(T361="","",T361)</f>
        <v/>
      </c>
      <c r="G371" s="72"/>
      <c r="H371" s="72"/>
      <c r="I371" s="72"/>
      <c r="J371" s="72"/>
      <c r="K371" s="72"/>
      <c r="L371" s="72"/>
      <c r="M371" s="73"/>
      <c r="O371" s="33"/>
      <c r="P371" s="707" t="s">
        <v>358</v>
      </c>
      <c r="Q371" s="710" t="str">
        <f>IF('HVL Processing'!G3="","",'HVL Processing'!G3)</f>
        <v/>
      </c>
      <c r="R371" s="710" t="str">
        <f>IF('HVL Processing'!G11="","",'HVL Processing'!G11)</f>
        <v/>
      </c>
      <c r="S371" s="710" t="str">
        <f>IF('HVL Processing'!G19="","",'HVL Processing'!G19)</f>
        <v/>
      </c>
      <c r="T371" s="710" t="str">
        <f>IF('HVL Processing'!G27="","",'HVL Processing'!G27)</f>
        <v/>
      </c>
      <c r="U371" s="304" t="str">
        <f>IF('HVL Processing'!G35="","",'HVL Processing'!G35)</f>
        <v/>
      </c>
      <c r="V371" s="710" t="str">
        <f>IF('HVL Processing'!O3="","",'HVL Processing'!O3)</f>
        <v/>
      </c>
      <c r="W371" s="710" t="str">
        <f>IF('HVL Processing'!O11="","",'HVL Processing'!O11)</f>
        <v/>
      </c>
      <c r="X371" s="713" t="str">
        <f>IF('HVL Processing'!O19="","",'HVL Processing'!O19)</f>
        <v/>
      </c>
      <c r="Y371" s="714" t="str">
        <f>IF('HVL Processing'!O27="","",'HVL Processing'!O27)</f>
        <v/>
      </c>
    </row>
    <row r="372" spans="1:25" ht="14.1" customHeight="1">
      <c r="A372" s="20">
        <v>12</v>
      </c>
      <c r="B372" s="71"/>
      <c r="C372" s="72"/>
      <c r="D372" s="5" t="s">
        <v>204</v>
      </c>
      <c r="E372" s="105" t="s">
        <v>352</v>
      </c>
      <c r="F372" s="72"/>
      <c r="G372" s="72"/>
      <c r="H372" s="72"/>
      <c r="I372" s="72"/>
      <c r="J372" s="72"/>
      <c r="K372" s="72"/>
      <c r="L372" s="72"/>
      <c r="M372" s="73"/>
      <c r="O372" s="33"/>
      <c r="P372" s="707" t="s">
        <v>359</v>
      </c>
      <c r="Q372" s="710" t="str">
        <f>IF(OR(Q369="",Q370=""),"",ABS(Q370-Q369)/Q369)</f>
        <v/>
      </c>
      <c r="R372" s="710" t="str">
        <f t="shared" ref="R372:T372" si="60">IF(OR(R369="",R370=""),"",ABS(R370-R369)/R369)</f>
        <v/>
      </c>
      <c r="S372" s="710" t="str">
        <f t="shared" si="60"/>
        <v/>
      </c>
      <c r="T372" s="710" t="str">
        <f t="shared" si="60"/>
        <v/>
      </c>
      <c r="U372" s="304"/>
      <c r="V372" s="710" t="str">
        <f>IF(OR(V369="",V370=""),"",ABS(V370-V369)/V369)</f>
        <v/>
      </c>
      <c r="W372" s="710" t="str">
        <f>IF(OR(W369="",W370=""),"",ABS(W370-W369)/W369)</f>
        <v/>
      </c>
      <c r="X372" s="710" t="str">
        <f>IF(OR(X369="",X370=""),"",ABS(X370-X369)/X369)</f>
        <v/>
      </c>
      <c r="Y372" s="715" t="str">
        <f>IF(OR(Y369="",Y370=""),"",ABS(Y370-Y369)/Y369)</f>
        <v/>
      </c>
    </row>
    <row r="373" spans="1:25" ht="14.1" customHeight="1" thickBot="1">
      <c r="A373" s="20">
        <v>13</v>
      </c>
      <c r="B373" s="71"/>
      <c r="C373" s="150" t="s">
        <v>355</v>
      </c>
      <c r="D373" s="72"/>
      <c r="E373" s="72"/>
      <c r="F373" s="72"/>
      <c r="G373" s="72"/>
      <c r="H373" s="72"/>
      <c r="I373" s="72"/>
      <c r="J373" s="72"/>
      <c r="K373" s="72"/>
      <c r="L373" s="72"/>
      <c r="M373" s="73"/>
      <c r="O373" s="33"/>
      <c r="P373" s="707" t="s">
        <v>360</v>
      </c>
      <c r="Q373" s="710">
        <f>IF($Q$365=1,Q367/100+0.03,Q367/100)</f>
        <v>0.27</v>
      </c>
      <c r="R373" s="710">
        <f>IF($Q$365=1,R367/100+0.03,R367/100)</f>
        <v>0.28000000000000003</v>
      </c>
      <c r="S373" s="710">
        <f>IF($Q$365=1,S367/100+0.03,S367/100)</f>
        <v>0.31000000000000005</v>
      </c>
      <c r="T373" s="710">
        <f>IF($Q$365=1,T367/100+0.03,T367/100)</f>
        <v>0.35</v>
      </c>
      <c r="U373" s="710">
        <f>IF($Q$365=1,U367/100+0.03,U367/100)</f>
        <v>0.37</v>
      </c>
      <c r="V373" s="710">
        <f>IF($Q$365=1,V367/100+0.03,V367/100)</f>
        <v>0.31000000000000005</v>
      </c>
      <c r="W373" s="710">
        <f>IF($Q$365=1,W367/100+0.03,W367/100)</f>
        <v>0.32999999999999996</v>
      </c>
      <c r="X373" s="710">
        <f>IF($Q$365=1,X367/100+0.03,X367/100)</f>
        <v>0.35</v>
      </c>
      <c r="Y373" s="715">
        <f>IF($Q$365=1,Y367/100+0.03,Y367/100)</f>
        <v>0.37</v>
      </c>
    </row>
    <row r="374" spans="1:25" ht="14.1" customHeight="1">
      <c r="A374" s="20">
        <v>14</v>
      </c>
      <c r="B374" s="71"/>
      <c r="C374" s="431" t="s">
        <v>71</v>
      </c>
      <c r="D374" s="432" t="str">
        <f>Q366</f>
        <v>Mo/Mo</v>
      </c>
      <c r="E374" s="432" t="str">
        <f>R366</f>
        <v>Mo/Mo</v>
      </c>
      <c r="F374" s="432" t="str">
        <f>S366</f>
        <v>Mo/Mo</v>
      </c>
      <c r="G374" s="432" t="str">
        <f>T366</f>
        <v>Mo/Mo</v>
      </c>
      <c r="H374" s="432" t="str">
        <f>U366</f>
        <v>Mo/Mo</v>
      </c>
      <c r="I374" s="432" t="str">
        <f>V366</f>
        <v>Mo/Rh</v>
      </c>
      <c r="J374" s="719" t="str">
        <f>W366</f>
        <v>Mo/Rh</v>
      </c>
      <c r="K374" s="719" t="str">
        <f>X366</f>
        <v>Mo/Rh</v>
      </c>
      <c r="L374" s="414" t="str">
        <f>Y366</f>
        <v>Mo/Rh</v>
      </c>
      <c r="M374" s="73"/>
      <c r="O374" s="33"/>
      <c r="P374" s="707" t="s">
        <v>361</v>
      </c>
      <c r="Q374" s="710">
        <f>Q367/100+0.12</f>
        <v>0.36</v>
      </c>
      <c r="R374" s="710">
        <f t="shared" ref="R374:T374" si="61">R367/100+0.12</f>
        <v>0.37</v>
      </c>
      <c r="S374" s="710">
        <f t="shared" si="61"/>
        <v>0.4</v>
      </c>
      <c r="T374" s="710">
        <f t="shared" si="61"/>
        <v>0.44</v>
      </c>
      <c r="U374" s="710">
        <f t="shared" ref="U374" si="62">U367/100+0.12</f>
        <v>0.46</v>
      </c>
      <c r="V374" s="710">
        <f>V367/100+0.12</f>
        <v>0.4</v>
      </c>
      <c r="W374" s="710">
        <f>W367/100+0.12</f>
        <v>0.42</v>
      </c>
      <c r="X374" s="710">
        <f>X367/100+0.12</f>
        <v>0.44</v>
      </c>
      <c r="Y374" s="715">
        <f>Y367/100+0.12</f>
        <v>0.46</v>
      </c>
    </row>
    <row r="375" spans="1:25" ht="14.1" customHeight="1" thickBot="1">
      <c r="A375" s="20">
        <v>15</v>
      </c>
      <c r="B375" s="71"/>
      <c r="C375" s="349" t="s">
        <v>25</v>
      </c>
      <c r="D375" s="346">
        <f>IF(Q367="","",Q367)</f>
        <v>24</v>
      </c>
      <c r="E375" s="346">
        <f>IF(R367="","",R367)</f>
        <v>25</v>
      </c>
      <c r="F375" s="346">
        <f>IF(S367="","",S367)</f>
        <v>28</v>
      </c>
      <c r="G375" s="346">
        <f>IF(T367="","",T367)</f>
        <v>32</v>
      </c>
      <c r="H375" s="346">
        <f>IF(U367="","",U367)</f>
        <v>34</v>
      </c>
      <c r="I375" s="346">
        <f>IF(V367="","",V367)</f>
        <v>28</v>
      </c>
      <c r="J375" s="346">
        <f>IF(W367="","",W367)</f>
        <v>30</v>
      </c>
      <c r="K375" s="346">
        <f>IF(X367="","",X367)</f>
        <v>32</v>
      </c>
      <c r="L375" s="368">
        <f>IF(Y367="","",Y367)</f>
        <v>34</v>
      </c>
      <c r="M375" s="73"/>
      <c r="O375" s="33"/>
      <c r="P375" s="399" t="s">
        <v>218</v>
      </c>
      <c r="Q375" s="717" t="str">
        <f>IF(Q371="","",IF(AND(Q371&gt;=Q373,Q371&lt;=Q374),"Pass","Fail"))</f>
        <v/>
      </c>
      <c r="R375" s="717" t="str">
        <f t="shared" ref="R375:Y375" si="63">IF(R371="","",IF(AND(R371&gt;=R373,R371&lt;=R374),"Pass","Fail"))</f>
        <v/>
      </c>
      <c r="S375" s="717" t="str">
        <f t="shared" si="63"/>
        <v/>
      </c>
      <c r="T375" s="717" t="str">
        <f t="shared" si="63"/>
        <v/>
      </c>
      <c r="U375" s="717" t="str">
        <f t="shared" si="63"/>
        <v/>
      </c>
      <c r="V375" s="717" t="str">
        <f t="shared" si="63"/>
        <v/>
      </c>
      <c r="W375" s="717" t="str">
        <f t="shared" si="63"/>
        <v/>
      </c>
      <c r="X375" s="717" t="str">
        <f t="shared" si="63"/>
        <v/>
      </c>
      <c r="Y375" s="718" t="str">
        <f t="shared" si="63"/>
        <v/>
      </c>
    </row>
    <row r="376" spans="1:25" ht="14.1" customHeight="1">
      <c r="A376" s="20">
        <v>16</v>
      </c>
      <c r="B376" s="71"/>
      <c r="C376" s="436" t="s">
        <v>452</v>
      </c>
      <c r="D376" s="311" t="str">
        <f>IF(Q371="","",Q371)</f>
        <v/>
      </c>
      <c r="E376" s="311" t="str">
        <f>IF(R371="","",R371)</f>
        <v/>
      </c>
      <c r="F376" s="311" t="str">
        <f>IF(S371="","",S371)</f>
        <v/>
      </c>
      <c r="G376" s="311" t="str">
        <f>IF(T371="","",T371)</f>
        <v/>
      </c>
      <c r="H376" s="311" t="str">
        <f>IF(U371="","",U371)</f>
        <v/>
      </c>
      <c r="I376" s="311" t="str">
        <f>IF(V371="","",V371)</f>
        <v/>
      </c>
      <c r="J376" s="311" t="str">
        <f>IF(W371="","",W371)</f>
        <v/>
      </c>
      <c r="K376" s="311" t="str">
        <f>IF(X371="","",X371)</f>
        <v/>
      </c>
      <c r="L376" s="468" t="str">
        <f>IF(Y371="","",Y371)</f>
        <v/>
      </c>
      <c r="M376" s="73"/>
      <c r="O376" s="33"/>
      <c r="P376" s="644"/>
      <c r="Q376" s="644" t="s">
        <v>581</v>
      </c>
      <c r="R376" s="644" t="s">
        <v>581</v>
      </c>
      <c r="S376" s="644" t="s">
        <v>581</v>
      </c>
      <c r="T376" s="644" t="s">
        <v>581</v>
      </c>
      <c r="U376" s="644" t="s">
        <v>581</v>
      </c>
      <c r="V376" s="644" t="s">
        <v>581</v>
      </c>
      <c r="W376" s="314" t="s">
        <v>581</v>
      </c>
      <c r="X376" s="314" t="s">
        <v>581</v>
      </c>
      <c r="Y376" s="35"/>
    </row>
    <row r="377" spans="1:25" ht="14.1" customHeight="1">
      <c r="A377" s="20">
        <v>17</v>
      </c>
      <c r="B377" s="71"/>
      <c r="C377" s="436" t="s">
        <v>551</v>
      </c>
      <c r="D377" s="18" t="str">
        <f>IF(Q372="","",Q372)</f>
        <v/>
      </c>
      <c r="E377" s="18" t="str">
        <f>IF(R372="","",R372)</f>
        <v/>
      </c>
      <c r="F377" s="18" t="str">
        <f>IF(S372="","",S372)</f>
        <v/>
      </c>
      <c r="G377" s="18" t="str">
        <f>IF(T372="","",T372)</f>
        <v/>
      </c>
      <c r="H377" s="18" t="str">
        <f>IF(U372="","",U372)</f>
        <v/>
      </c>
      <c r="I377" s="18" t="str">
        <f>IF(V372="","",V372)</f>
        <v/>
      </c>
      <c r="J377" s="18" t="str">
        <f>IF(W372="","",W372)</f>
        <v/>
      </c>
      <c r="K377" s="18" t="str">
        <f>IF(X372="","",X372)</f>
        <v/>
      </c>
      <c r="L377" s="434" t="str">
        <f>IF(Y372="","",Y372)</f>
        <v/>
      </c>
      <c r="M377" s="73"/>
      <c r="O377" s="33"/>
      <c r="P377" s="644"/>
      <c r="Q377" s="644"/>
      <c r="R377" s="644"/>
      <c r="S377" s="644"/>
      <c r="T377" s="644"/>
      <c r="U377" s="644"/>
      <c r="V377" s="644"/>
      <c r="W377" s="315"/>
      <c r="X377" s="315"/>
      <c r="Y377" s="35"/>
    </row>
    <row r="378" spans="1:25" ht="14.1" customHeight="1">
      <c r="A378" s="20">
        <v>18</v>
      </c>
      <c r="B378" s="71"/>
      <c r="C378" s="349" t="s">
        <v>360</v>
      </c>
      <c r="D378" s="311">
        <f>Q373</f>
        <v>0.27</v>
      </c>
      <c r="E378" s="311">
        <f>R373</f>
        <v>0.28000000000000003</v>
      </c>
      <c r="F378" s="311">
        <f>S373</f>
        <v>0.31000000000000005</v>
      </c>
      <c r="G378" s="311">
        <f>T373</f>
        <v>0.35</v>
      </c>
      <c r="H378" s="311">
        <f>U373</f>
        <v>0.37</v>
      </c>
      <c r="I378" s="311">
        <f>V373</f>
        <v>0.31000000000000005</v>
      </c>
      <c r="J378" s="311">
        <f>W373</f>
        <v>0.32999999999999996</v>
      </c>
      <c r="K378" s="311">
        <f>X373</f>
        <v>0.35</v>
      </c>
      <c r="L378" s="468">
        <f>Y373</f>
        <v>0.37</v>
      </c>
      <c r="M378" s="73"/>
      <c r="O378" s="33"/>
      <c r="P378" s="644"/>
      <c r="Q378" s="644"/>
      <c r="R378" s="644"/>
      <c r="S378" s="644"/>
      <c r="T378" s="644"/>
      <c r="U378" s="644"/>
      <c r="V378" s="644"/>
      <c r="W378" s="316"/>
      <c r="X378" s="316"/>
      <c r="Y378" s="35"/>
    </row>
    <row r="379" spans="1:25" ht="14.1" customHeight="1">
      <c r="A379" s="20">
        <v>19</v>
      </c>
      <c r="B379" s="71"/>
      <c r="C379" s="720" t="s">
        <v>361</v>
      </c>
      <c r="D379" s="311">
        <f>Q374</f>
        <v>0.36</v>
      </c>
      <c r="E379" s="311">
        <f>R374</f>
        <v>0.37</v>
      </c>
      <c r="F379" s="311">
        <f>S374</f>
        <v>0.4</v>
      </c>
      <c r="G379" s="311">
        <f>T374</f>
        <v>0.44</v>
      </c>
      <c r="H379" s="311">
        <f>U374</f>
        <v>0.46</v>
      </c>
      <c r="I379" s="311">
        <f>V374</f>
        <v>0.4</v>
      </c>
      <c r="J379" s="311">
        <f>W374</f>
        <v>0.42</v>
      </c>
      <c r="K379" s="311">
        <f>X374</f>
        <v>0.44</v>
      </c>
      <c r="L379" s="468">
        <f>Y374</f>
        <v>0.46</v>
      </c>
      <c r="M379" s="73"/>
      <c r="O379" s="33"/>
      <c r="P379" s="644"/>
      <c r="Q379" s="644"/>
      <c r="R379" s="644"/>
      <c r="S379" s="644"/>
      <c r="T379" s="644"/>
      <c r="U379" s="644"/>
      <c r="V379" s="644"/>
      <c r="W379" s="316"/>
      <c r="X379" s="316"/>
      <c r="Y379" s="35"/>
    </row>
    <row r="380" spans="1:25" ht="14.1" customHeight="1" thickBot="1">
      <c r="A380" s="20">
        <v>20</v>
      </c>
      <c r="B380" s="71"/>
      <c r="C380" s="721" t="s">
        <v>218</v>
      </c>
      <c r="D380" s="457" t="str">
        <f>Q375</f>
        <v/>
      </c>
      <c r="E380" s="457" t="str">
        <f>R375</f>
        <v/>
      </c>
      <c r="F380" s="457" t="str">
        <f>S375</f>
        <v/>
      </c>
      <c r="G380" s="457" t="str">
        <f>T375</f>
        <v/>
      </c>
      <c r="H380" s="457" t="str">
        <f>U375</f>
        <v/>
      </c>
      <c r="I380" s="457" t="str">
        <f>V375</f>
        <v/>
      </c>
      <c r="J380" s="457" t="str">
        <f>W375</f>
        <v/>
      </c>
      <c r="K380" s="457" t="str">
        <f>X375</f>
        <v/>
      </c>
      <c r="L380" s="400" t="str">
        <f>Y375</f>
        <v/>
      </c>
      <c r="M380" s="73"/>
      <c r="O380" s="33"/>
      <c r="P380" s="644"/>
      <c r="Q380" s="644"/>
      <c r="R380" s="644"/>
      <c r="S380" s="644"/>
      <c r="T380" s="644"/>
      <c r="U380" s="644"/>
      <c r="V380" s="644"/>
      <c r="W380" s="641"/>
      <c r="X380" s="641"/>
      <c r="Y380" s="241"/>
    </row>
    <row r="381" spans="1:25" ht="14.1" customHeight="1" thickBot="1">
      <c r="A381" s="20">
        <v>21</v>
      </c>
      <c r="B381" s="71"/>
      <c r="C381" s="72"/>
      <c r="D381" s="5" t="s">
        <v>204</v>
      </c>
      <c r="E381" s="449" t="s">
        <v>362</v>
      </c>
      <c r="F381" s="72"/>
      <c r="G381" s="72"/>
      <c r="H381" s="72"/>
      <c r="I381" s="72"/>
      <c r="J381" s="72"/>
      <c r="K381" s="72"/>
      <c r="L381" s="72"/>
      <c r="M381" s="73"/>
      <c r="O381" s="43"/>
      <c r="P381" s="117" t="s">
        <v>204</v>
      </c>
      <c r="Q381" s="195" t="s">
        <v>362</v>
      </c>
      <c r="R381" s="6"/>
      <c r="S381" s="6"/>
      <c r="T381" s="6"/>
      <c r="U381" s="6"/>
      <c r="V381" s="6"/>
      <c r="W381" s="6"/>
      <c r="X381" s="6"/>
      <c r="Y381" s="45"/>
    </row>
    <row r="382" spans="1:25" ht="14.1" customHeight="1">
      <c r="A382" s="20">
        <v>22</v>
      </c>
      <c r="B382" s="71"/>
      <c r="C382" s="72"/>
      <c r="D382" s="72"/>
      <c r="E382" s="72"/>
      <c r="F382" s="72"/>
      <c r="G382" s="72"/>
      <c r="H382" s="72"/>
      <c r="I382" s="72"/>
      <c r="J382" s="72"/>
      <c r="K382" s="72"/>
      <c r="L382" s="72"/>
      <c r="M382" s="73"/>
      <c r="O382" s="140" t="s">
        <v>325</v>
      </c>
      <c r="P382" s="26"/>
      <c r="Q382" s="26"/>
      <c r="R382" s="26"/>
      <c r="S382" s="26"/>
      <c r="T382" s="26"/>
      <c r="U382" s="26"/>
      <c r="V382" s="26"/>
      <c r="W382" s="26"/>
      <c r="X382" s="26"/>
      <c r="Y382" s="27"/>
    </row>
    <row r="383" spans="1:25" ht="14.1" customHeight="1">
      <c r="A383" s="20">
        <v>23</v>
      </c>
      <c r="B383" s="71"/>
      <c r="C383" s="150" t="s">
        <v>320</v>
      </c>
      <c r="D383" s="72"/>
      <c r="E383" s="72"/>
      <c r="F383" s="72"/>
      <c r="G383" s="72"/>
      <c r="H383" s="72"/>
      <c r="I383" s="72"/>
      <c r="J383" s="72"/>
      <c r="K383" s="72"/>
      <c r="L383" s="72"/>
      <c r="M383" s="73"/>
      <c r="O383" s="286" t="s">
        <v>326</v>
      </c>
      <c r="P383" s="38" t="s">
        <v>44</v>
      </c>
      <c r="Q383" s="272"/>
      <c r="R383" s="38" t="s">
        <v>340</v>
      </c>
      <c r="S383" s="272"/>
      <c r="U383" s="38" t="s">
        <v>363</v>
      </c>
      <c r="V383" s="272"/>
      <c r="Y383" s="35"/>
    </row>
    <row r="384" spans="1:25" ht="14.1" customHeight="1" thickBot="1">
      <c r="A384" s="20">
        <v>24</v>
      </c>
      <c r="B384" s="71"/>
      <c r="C384" s="72"/>
      <c r="D384" s="166" t="s">
        <v>173</v>
      </c>
      <c r="E384" s="144" t="str">
        <f>IF(Q411="","",Q411)</f>
        <v/>
      </c>
      <c r="F384" s="72"/>
      <c r="G384" s="72"/>
      <c r="H384" s="72" t="s">
        <v>321</v>
      </c>
      <c r="I384" s="72" t="s">
        <v>322</v>
      </c>
      <c r="J384" s="72" t="s">
        <v>290</v>
      </c>
      <c r="K384" s="72" t="s">
        <v>291</v>
      </c>
      <c r="L384" s="72"/>
      <c r="M384" s="73"/>
      <c r="O384" s="33"/>
      <c r="Y384" s="35"/>
    </row>
    <row r="385" spans="1:25" ht="14.1" customHeight="1" thickBot="1">
      <c r="A385" s="20">
        <v>25</v>
      </c>
      <c r="B385" s="71"/>
      <c r="C385" s="72"/>
      <c r="D385" s="166" t="s">
        <v>176</v>
      </c>
      <c r="E385" s="144" t="str">
        <f>IF(Q412="","",Q412)</f>
        <v/>
      </c>
      <c r="F385" s="72"/>
      <c r="G385" s="166" t="s">
        <v>198</v>
      </c>
      <c r="H385" s="494" t="str">
        <f>IF(T415="","",T415)</f>
        <v/>
      </c>
      <c r="I385" s="391" t="str">
        <f>IF(U415="","",U415)</f>
        <v/>
      </c>
      <c r="J385" s="496" t="str">
        <f>IF(V415="","",V415)</f>
        <v/>
      </c>
      <c r="K385" s="497" t="str">
        <f>IF(X415="","",X415)</f>
        <v/>
      </c>
      <c r="L385" s="72"/>
      <c r="M385" s="73"/>
      <c r="O385" s="33"/>
      <c r="P385" s="38"/>
      <c r="R385" s="24" t="s">
        <v>322</v>
      </c>
      <c r="V385" s="24" t="s">
        <v>322</v>
      </c>
      <c r="Y385" s="35"/>
    </row>
    <row r="386" spans="1:25" ht="14.1" customHeight="1" thickBot="1">
      <c r="A386" s="20">
        <v>26</v>
      </c>
      <c r="B386" s="71"/>
      <c r="C386" s="72"/>
      <c r="D386" s="166" t="s">
        <v>51</v>
      </c>
      <c r="E386" s="144" t="str">
        <f>IF(Q413="","",Q413)</f>
        <v/>
      </c>
      <c r="F386" s="72"/>
      <c r="G386" s="166" t="s">
        <v>199</v>
      </c>
      <c r="H386" s="495" t="str">
        <f>IF(T416="","",T416)</f>
        <v/>
      </c>
      <c r="I386" s="396" t="str">
        <f>IF(U416="","",U416)</f>
        <v/>
      </c>
      <c r="J386" s="498" t="str">
        <f>IF(V416="","",V416)</f>
        <v/>
      </c>
      <c r="K386" s="448" t="str">
        <f>IF(X416="","",X416)</f>
        <v/>
      </c>
      <c r="L386" s="72"/>
      <c r="M386" s="73"/>
      <c r="O386" s="33"/>
      <c r="P386" s="38" t="s">
        <v>173</v>
      </c>
      <c r="Q386" s="149"/>
      <c r="R386" s="126" t="str">
        <f>IF(AB91="","",AB91)</f>
        <v/>
      </c>
      <c r="T386" s="38" t="s">
        <v>187</v>
      </c>
      <c r="U386" s="149"/>
      <c r="V386" s="126" t="str">
        <f>IF(AB97="","",AB97)</f>
        <v/>
      </c>
      <c r="Y386" s="35"/>
    </row>
    <row r="387" spans="1:25" ht="14.1" customHeight="1">
      <c r="A387" s="20">
        <v>27</v>
      </c>
      <c r="B387" s="71"/>
      <c r="C387" s="72"/>
      <c r="D387" s="166" t="s">
        <v>54</v>
      </c>
      <c r="E387" s="144" t="str">
        <f>IF(Q414="","",Q414)</f>
        <v/>
      </c>
      <c r="F387" s="72"/>
      <c r="G387" s="72"/>
      <c r="H387" s="72"/>
      <c r="I387" s="72"/>
      <c r="J387" s="72"/>
      <c r="K387" s="72"/>
      <c r="L387" s="72"/>
      <c r="M387" s="73"/>
      <c r="O387" s="33"/>
      <c r="P387" s="38" t="s">
        <v>176</v>
      </c>
      <c r="Q387" s="149"/>
      <c r="R387" s="126" t="str">
        <f>IF(AB92="","",AB92)</f>
        <v/>
      </c>
      <c r="T387" s="38" t="s">
        <v>189</v>
      </c>
      <c r="U387" s="149"/>
      <c r="V387" s="126" t="str">
        <f>IF(AB98="","",AB98)</f>
        <v/>
      </c>
      <c r="Y387" s="35"/>
    </row>
    <row r="388" spans="1:25" ht="14.1" customHeight="1" thickBot="1">
      <c r="A388" s="20">
        <v>28</v>
      </c>
      <c r="B388" s="71"/>
      <c r="C388" s="72"/>
      <c r="D388" s="5" t="s">
        <v>204</v>
      </c>
      <c r="E388" s="105" t="s">
        <v>323</v>
      </c>
      <c r="F388" s="72"/>
      <c r="G388" s="72"/>
      <c r="H388" s="72"/>
      <c r="I388" s="72"/>
      <c r="J388" s="72"/>
      <c r="K388" s="72"/>
      <c r="L388" s="72"/>
      <c r="M388" s="73"/>
      <c r="O388" s="33"/>
      <c r="P388" s="38" t="s">
        <v>332</v>
      </c>
      <c r="Q388" s="149"/>
      <c r="R388" s="126" t="str">
        <f>IF(AB93="","",AB93)</f>
        <v/>
      </c>
      <c r="T388" s="38" t="s">
        <v>191</v>
      </c>
      <c r="U388" s="149"/>
      <c r="V388" s="126" t="str">
        <f>IF(AB99="","",AB99)</f>
        <v/>
      </c>
      <c r="Y388" s="35"/>
    </row>
    <row r="389" spans="1:25" ht="14.1" customHeight="1" thickBot="1">
      <c r="A389" s="20">
        <v>29</v>
      </c>
      <c r="B389" s="71"/>
      <c r="C389" s="72"/>
      <c r="D389" s="72"/>
      <c r="E389" s="105" t="s">
        <v>324</v>
      </c>
      <c r="F389" s="72"/>
      <c r="G389" s="72"/>
      <c r="H389" s="72"/>
      <c r="I389" s="72"/>
      <c r="J389" s="72"/>
      <c r="K389" s="72"/>
      <c r="L389" s="72"/>
      <c r="M389" s="73"/>
      <c r="O389" s="33"/>
      <c r="P389" s="38" t="s">
        <v>182</v>
      </c>
      <c r="Q389" s="149"/>
      <c r="R389" s="126" t="str">
        <f>IF(AB94="","",AB94)</f>
        <v/>
      </c>
      <c r="T389" s="38" t="s">
        <v>218</v>
      </c>
      <c r="U389" s="148" t="str">
        <f>IF(OR(U386="",U387="",U388=""),"",IF(AND(U386&gt;=5,U387&gt;=4,U388&gt;=4),"Pass","Fail"))</f>
        <v/>
      </c>
      <c r="Y389" s="35"/>
    </row>
    <row r="390" spans="1:25" ht="14.1" customHeight="1">
      <c r="A390" s="20">
        <v>30</v>
      </c>
      <c r="B390" s="71"/>
      <c r="C390" s="72"/>
      <c r="D390" s="72"/>
      <c r="E390" s="72"/>
      <c r="F390" s="72"/>
      <c r="G390" s="72"/>
      <c r="H390" s="72"/>
      <c r="I390" s="72"/>
      <c r="J390" s="72"/>
      <c r="K390" s="72"/>
      <c r="L390" s="72"/>
      <c r="M390" s="73"/>
      <c r="O390" s="33"/>
      <c r="P390" s="38" t="s">
        <v>184</v>
      </c>
      <c r="Q390" s="149"/>
      <c r="R390" s="126" t="str">
        <f>IF(AB95="","",AB95)</f>
        <v/>
      </c>
      <c r="T390" s="117" t="s">
        <v>204</v>
      </c>
      <c r="U390" s="142" t="s">
        <v>364</v>
      </c>
      <c r="Y390" s="35"/>
    </row>
    <row r="391" spans="1:25" ht="14.1" customHeight="1">
      <c r="A391" s="20">
        <v>31</v>
      </c>
      <c r="B391" s="71"/>
      <c r="C391" s="150" t="s">
        <v>325</v>
      </c>
      <c r="D391" s="72"/>
      <c r="E391" s="72"/>
      <c r="F391" s="72"/>
      <c r="G391" s="72"/>
      <c r="H391" s="72"/>
      <c r="I391" s="72"/>
      <c r="J391" s="72"/>
      <c r="K391" s="72"/>
      <c r="L391" s="72"/>
      <c r="M391" s="73"/>
      <c r="O391" s="33"/>
      <c r="P391" s="38" t="s">
        <v>185</v>
      </c>
      <c r="Q391" s="19" t="str">
        <f>IF(OR(Q389="",Q390=""),"",Q390-Q389)</f>
        <v/>
      </c>
      <c r="R391" s="126" t="str">
        <f>IF(AB96="","",AB96)</f>
        <v/>
      </c>
      <c r="Y391" s="35"/>
    </row>
    <row r="392" spans="1:25" ht="14.1" customHeight="1" thickBot="1">
      <c r="A392" s="20">
        <v>32</v>
      </c>
      <c r="B392" s="71"/>
      <c r="C392" s="72"/>
      <c r="D392" s="505" t="s">
        <v>326</v>
      </c>
      <c r="E392" s="505"/>
      <c r="F392" s="343"/>
      <c r="G392" s="343"/>
      <c r="H392" s="505" t="s">
        <v>327</v>
      </c>
      <c r="I392" s="505"/>
      <c r="J392" s="72"/>
      <c r="K392" s="343"/>
      <c r="L392" s="321" t="s">
        <v>328</v>
      </c>
      <c r="M392" s="321"/>
      <c r="O392" s="33"/>
      <c r="Y392" s="35"/>
    </row>
    <row r="393" spans="1:25" ht="14.1" customHeight="1">
      <c r="A393" s="20">
        <v>33</v>
      </c>
      <c r="B393" s="71"/>
      <c r="C393" s="343"/>
      <c r="D393" s="166" t="s">
        <v>173</v>
      </c>
      <c r="E393" s="499" t="str">
        <f>IF(Q386="","",Q386)</f>
        <v/>
      </c>
      <c r="F393" s="343"/>
      <c r="G393" s="166" t="s">
        <v>71</v>
      </c>
      <c r="H393" s="349" t="str">
        <f>IF(Q401="","",Q401)</f>
        <v>Mo/Mo</v>
      </c>
      <c r="I393" s="304" t="str">
        <f>IF(R401="","",R401)</f>
        <v>Mo/Rh</v>
      </c>
      <c r="J393" s="350" t="str">
        <f>IF(S401="","",S401)</f>
        <v>W/Rh</v>
      </c>
      <c r="K393" s="343"/>
      <c r="L393" s="111" t="s">
        <v>254</v>
      </c>
      <c r="M393" s="268" t="s">
        <v>255</v>
      </c>
      <c r="O393" s="286" t="s">
        <v>365</v>
      </c>
      <c r="Y393" s="35"/>
    </row>
    <row r="394" spans="1:25" ht="14.1" customHeight="1" thickBot="1">
      <c r="A394" s="20">
        <v>34</v>
      </c>
      <c r="B394" s="71"/>
      <c r="C394" s="343"/>
      <c r="D394" s="166" t="s">
        <v>176</v>
      </c>
      <c r="E394" s="500" t="str">
        <f>IF(Q387="","",Q387)</f>
        <v/>
      </c>
      <c r="F394" s="343"/>
      <c r="G394" s="166" t="s">
        <v>173</v>
      </c>
      <c r="H394" s="349" t="str">
        <f>IF(Q402="","",Q402)</f>
        <v/>
      </c>
      <c r="I394" s="304" t="str">
        <f>IF(R402="","",R402)</f>
        <v/>
      </c>
      <c r="J394" s="350" t="str">
        <f>IF(S402="","",S402)</f>
        <v/>
      </c>
      <c r="K394" s="343"/>
      <c r="L394" s="166" t="s">
        <v>330</v>
      </c>
      <c r="M394" s="270" t="str">
        <f>IF(R394="","",R394)</f>
        <v/>
      </c>
      <c r="O394" s="33"/>
      <c r="Q394" s="38" t="s">
        <v>330</v>
      </c>
      <c r="R394" s="272"/>
      <c r="U394" s="38" t="s">
        <v>330</v>
      </c>
      <c r="V394" s="272"/>
      <c r="Y394" s="35"/>
    </row>
    <row r="395" spans="1:25" ht="14.1" customHeight="1">
      <c r="A395" s="20">
        <v>35</v>
      </c>
      <c r="B395" s="71"/>
      <c r="C395" s="343"/>
      <c r="D395" s="166" t="s">
        <v>332</v>
      </c>
      <c r="E395" s="500" t="str">
        <f>IF(Q388="","",Q388)</f>
        <v/>
      </c>
      <c r="F395" s="343"/>
      <c r="G395" s="166" t="s">
        <v>176</v>
      </c>
      <c r="H395" s="349" t="str">
        <f>IF(Q403="","",Q403)</f>
        <v/>
      </c>
      <c r="I395" s="304" t="str">
        <f>IF(R403="","",R403)</f>
        <v/>
      </c>
      <c r="J395" s="350" t="str">
        <f>IF(S403="","",S403)</f>
        <v/>
      </c>
      <c r="K395" s="166" t="s">
        <v>187</v>
      </c>
      <c r="L395" s="208" t="str">
        <f>IF(Q396="","",Q396)</f>
        <v/>
      </c>
      <c r="M395" s="271" t="str">
        <f>IF(R396="","",R396)</f>
        <v/>
      </c>
      <c r="O395" s="33"/>
      <c r="Q395" s="639" t="s">
        <v>254</v>
      </c>
      <c r="R395" s="639" t="s">
        <v>255</v>
      </c>
      <c r="U395" s="639" t="s">
        <v>254</v>
      </c>
      <c r="V395" s="639" t="s">
        <v>255</v>
      </c>
      <c r="Y395" s="35"/>
    </row>
    <row r="396" spans="1:25" ht="14.1" customHeight="1">
      <c r="A396" s="20">
        <v>36</v>
      </c>
      <c r="B396" s="71"/>
      <c r="C396" s="343"/>
      <c r="D396" s="166" t="s">
        <v>182</v>
      </c>
      <c r="E396" s="500" t="str">
        <f>IF(Q389="","",Q389)</f>
        <v/>
      </c>
      <c r="F396" s="343"/>
      <c r="G396" s="166" t="s">
        <v>187</v>
      </c>
      <c r="H396" s="349" t="str">
        <f>IF(Q404="","",Q404)</f>
        <v/>
      </c>
      <c r="I396" s="304" t="str">
        <f>IF(R404="","",R404)</f>
        <v/>
      </c>
      <c r="J396" s="350" t="str">
        <f>IF(S404="","",S404)</f>
        <v/>
      </c>
      <c r="K396" s="166" t="s">
        <v>189</v>
      </c>
      <c r="L396" s="210" t="str">
        <f>IF(Q397="","",Q397)</f>
        <v/>
      </c>
      <c r="M396" s="273" t="str">
        <f>IF(R397="","",R397)</f>
        <v/>
      </c>
      <c r="O396" s="165"/>
      <c r="P396" s="38" t="s">
        <v>187</v>
      </c>
      <c r="Q396" s="149"/>
      <c r="R396" s="149"/>
      <c r="T396" s="38" t="s">
        <v>187</v>
      </c>
      <c r="U396" s="149"/>
      <c r="V396" s="149"/>
      <c r="Y396" s="35"/>
    </row>
    <row r="397" spans="1:25" ht="14.1" customHeight="1" thickBot="1">
      <c r="A397" s="20">
        <v>37</v>
      </c>
      <c r="B397" s="71"/>
      <c r="C397" s="343"/>
      <c r="D397" s="166" t="s">
        <v>184</v>
      </c>
      <c r="E397" s="500" t="str">
        <f>IF(Q390="","",Q390)</f>
        <v/>
      </c>
      <c r="F397" s="343"/>
      <c r="G397" s="166" t="s">
        <v>189</v>
      </c>
      <c r="H397" s="399" t="str">
        <f>IF(Q405="","",Q405)</f>
        <v/>
      </c>
      <c r="I397" s="457" t="str">
        <f>IF(R405="","",R405)</f>
        <v/>
      </c>
      <c r="J397" s="400" t="str">
        <f>IF(S405="","",S405)</f>
        <v/>
      </c>
      <c r="K397" s="166" t="s">
        <v>191</v>
      </c>
      <c r="L397" s="211" t="str">
        <f>IF(Q398="","",Q398)</f>
        <v/>
      </c>
      <c r="M397" s="274" t="str">
        <f>IF(R398="","",R398)</f>
        <v/>
      </c>
      <c r="O397" s="165"/>
      <c r="P397" s="38" t="s">
        <v>189</v>
      </c>
      <c r="Q397" s="149"/>
      <c r="R397" s="149"/>
      <c r="T397" s="38" t="s">
        <v>189</v>
      </c>
      <c r="U397" s="149"/>
      <c r="V397" s="149"/>
      <c r="Y397" s="35"/>
    </row>
    <row r="398" spans="1:25" ht="14.1" customHeight="1" thickBot="1">
      <c r="A398" s="20">
        <v>38</v>
      </c>
      <c r="B398" s="71"/>
      <c r="C398" s="343"/>
      <c r="D398" s="166" t="s">
        <v>185</v>
      </c>
      <c r="E398" s="500" t="str">
        <f>IF(Q391="","",Q391)</f>
        <v/>
      </c>
      <c r="F398" s="343"/>
      <c r="G398" s="166" t="s">
        <v>191</v>
      </c>
      <c r="H398" s="591" t="str">
        <f>IF(Q406="","",Q406)</f>
        <v/>
      </c>
      <c r="I398" s="592" t="str">
        <f>IF(R406="","",R406)</f>
        <v/>
      </c>
      <c r="J398" s="593" t="str">
        <f>IF(S406="","",S406)</f>
        <v/>
      </c>
      <c r="K398" s="343"/>
      <c r="L398" s="166" t="s">
        <v>330</v>
      </c>
      <c r="M398" s="270" t="str">
        <f>IF(V394="","",V394)</f>
        <v/>
      </c>
      <c r="O398" s="165"/>
      <c r="P398" s="38" t="s">
        <v>191</v>
      </c>
      <c r="Q398" s="149"/>
      <c r="R398" s="149"/>
      <c r="T398" s="38" t="s">
        <v>191</v>
      </c>
      <c r="U398" s="149"/>
      <c r="V398" s="149"/>
      <c r="Y398" s="35"/>
    </row>
    <row r="399" spans="1:25" ht="14.1" customHeight="1" thickBot="1">
      <c r="A399" s="20">
        <v>39</v>
      </c>
      <c r="B399" s="71"/>
      <c r="C399" s="72"/>
      <c r="D399" s="166" t="s">
        <v>187</v>
      </c>
      <c r="E399" s="500" t="str">
        <f>IF(U386="","",U386)</f>
        <v/>
      </c>
      <c r="F399" s="343"/>
      <c r="G399" s="166"/>
      <c r="H399" s="463" t="str">
        <f>Q407</f>
        <v/>
      </c>
      <c r="I399" s="441" t="str">
        <f>R407</f>
        <v/>
      </c>
      <c r="J399" s="594" t="str">
        <f>S407</f>
        <v/>
      </c>
      <c r="K399" s="166" t="s">
        <v>187</v>
      </c>
      <c r="L399" s="208" t="str">
        <f>IF(U396="","",U396)</f>
        <v/>
      </c>
      <c r="M399" s="271" t="str">
        <f>IF(V396="","",V396)</f>
        <v/>
      </c>
      <c r="O399" s="33"/>
      <c r="Y399" s="35"/>
    </row>
    <row r="400" spans="1:25" ht="14.1" customHeight="1">
      <c r="A400" s="20">
        <v>40</v>
      </c>
      <c r="B400" s="71"/>
      <c r="C400" s="72"/>
      <c r="D400" s="166" t="s">
        <v>189</v>
      </c>
      <c r="E400" s="500" t="str">
        <f>IF(U387="","",U387)</f>
        <v/>
      </c>
      <c r="F400" s="72"/>
      <c r="G400" s="72"/>
      <c r="H400" s="72"/>
      <c r="I400" s="111"/>
      <c r="J400" s="111"/>
      <c r="K400" s="166" t="s">
        <v>189</v>
      </c>
      <c r="L400" s="210" t="str">
        <f>IF(U397="","",U397)</f>
        <v/>
      </c>
      <c r="M400" s="273" t="str">
        <f>IF(V397="","",V397)</f>
        <v/>
      </c>
      <c r="O400" s="286" t="s">
        <v>366</v>
      </c>
      <c r="Q400" s="6"/>
      <c r="R400" s="38" t="s">
        <v>367</v>
      </c>
      <c r="S400" s="642">
        <f>Q265</f>
        <v>0</v>
      </c>
      <c r="Y400" s="35"/>
    </row>
    <row r="401" spans="1:25" ht="14.1" customHeight="1" thickBot="1">
      <c r="A401" s="20">
        <v>41</v>
      </c>
      <c r="B401" s="71"/>
      <c r="C401" s="72"/>
      <c r="D401" s="166" t="s">
        <v>191</v>
      </c>
      <c r="E401" s="501" t="str">
        <f>IF(U388="","",U388)</f>
        <v/>
      </c>
      <c r="F401" s="72"/>
      <c r="G401" s="72"/>
      <c r="H401" s="72"/>
      <c r="I401" s="72"/>
      <c r="J401" s="72"/>
      <c r="K401" s="166" t="s">
        <v>191</v>
      </c>
      <c r="L401" s="211" t="str">
        <f>IF(U398="","",U398)</f>
        <v/>
      </c>
      <c r="M401" s="274" t="str">
        <f>IF(V398="","",V398)</f>
        <v/>
      </c>
      <c r="O401" s="33"/>
      <c r="P401" s="38" t="s">
        <v>71</v>
      </c>
      <c r="Q401" s="287" t="s">
        <v>237</v>
      </c>
      <c r="R401" s="287" t="s">
        <v>262</v>
      </c>
      <c r="S401" s="287" t="s">
        <v>238</v>
      </c>
      <c r="T401" s="38" t="s">
        <v>322</v>
      </c>
      <c r="U401" s="38" t="s">
        <v>71</v>
      </c>
      <c r="V401" s="287" t="s">
        <v>237</v>
      </c>
      <c r="W401" s="287" t="s">
        <v>262</v>
      </c>
      <c r="X401" s="287" t="s">
        <v>238</v>
      </c>
      <c r="Y401" s="35"/>
    </row>
    <row r="402" spans="1:25" ht="14.1" customHeight="1">
      <c r="A402" s="20">
        <v>42</v>
      </c>
      <c r="B402" s="71"/>
      <c r="C402" s="72"/>
      <c r="D402" s="72"/>
      <c r="E402" s="72"/>
      <c r="F402" s="72"/>
      <c r="G402" s="72"/>
      <c r="H402" s="72"/>
      <c r="I402" s="72"/>
      <c r="J402" s="72"/>
      <c r="K402" s="72"/>
      <c r="L402" s="72"/>
      <c r="M402" s="73"/>
      <c r="O402" s="33"/>
      <c r="P402" s="38" t="s">
        <v>269</v>
      </c>
      <c r="Q402" s="288"/>
      <c r="R402" s="289"/>
      <c r="S402" s="290"/>
      <c r="T402" s="6"/>
      <c r="U402" s="38" t="s">
        <v>269</v>
      </c>
      <c r="V402" s="291" t="str">
        <f>IF(AB101="","",AB101)</f>
        <v/>
      </c>
      <c r="W402" s="292" t="str">
        <f>IF(AB106="","",AB106)</f>
        <v/>
      </c>
      <c r="X402" s="293" t="str">
        <f>IF(AB111="","",AB111)</f>
        <v/>
      </c>
      <c r="Y402" s="35"/>
    </row>
    <row r="403" spans="1:25" ht="14.1" customHeight="1">
      <c r="A403" s="20">
        <v>43</v>
      </c>
      <c r="B403" s="71"/>
      <c r="C403" s="72"/>
      <c r="D403" s="5" t="s">
        <v>204</v>
      </c>
      <c r="E403" s="12" t="s">
        <v>371</v>
      </c>
      <c r="F403" s="72"/>
      <c r="G403" s="72"/>
      <c r="H403" s="72"/>
      <c r="I403" s="72"/>
      <c r="J403" s="72"/>
      <c r="K403" s="72"/>
      <c r="L403" s="72"/>
      <c r="M403" s="73"/>
      <c r="O403" s="33"/>
      <c r="P403" s="38" t="s">
        <v>72</v>
      </c>
      <c r="Q403" s="294"/>
      <c r="R403" s="295"/>
      <c r="S403" s="296"/>
      <c r="T403" s="6"/>
      <c r="U403" s="38" t="s">
        <v>72</v>
      </c>
      <c r="V403" s="297" t="str">
        <f>IF(AB102="","",AB102)</f>
        <v/>
      </c>
      <c r="W403" s="298" t="str">
        <f>IF(AB107="","",AB107)</f>
        <v/>
      </c>
      <c r="X403" s="299" t="str">
        <f>IF(AB112="","",AB112)</f>
        <v/>
      </c>
      <c r="Y403" s="35"/>
    </row>
    <row r="404" spans="1:25" ht="14.1" customHeight="1">
      <c r="A404" s="20">
        <v>44</v>
      </c>
      <c r="B404" s="71"/>
      <c r="C404" s="72"/>
      <c r="D404" s="72"/>
      <c r="E404" s="72"/>
      <c r="F404" s="72"/>
      <c r="G404" s="72"/>
      <c r="H404" s="72"/>
      <c r="I404" s="72"/>
      <c r="J404" s="72"/>
      <c r="K404" s="72"/>
      <c r="L404" s="72"/>
      <c r="M404" s="73"/>
      <c r="O404" s="33"/>
      <c r="P404" s="38" t="s">
        <v>368</v>
      </c>
      <c r="Q404" s="294"/>
      <c r="R404" s="295"/>
      <c r="S404" s="296"/>
      <c r="T404" s="6"/>
      <c r="U404" s="38" t="s">
        <v>368</v>
      </c>
      <c r="V404" s="297" t="str">
        <f>IF(AB103="","",AB103)</f>
        <v/>
      </c>
      <c r="W404" s="298" t="str">
        <f>IF(AB108="","",AB108)</f>
        <v/>
      </c>
      <c r="X404" s="299" t="str">
        <f>IF(AB113="","",AB113)</f>
        <v/>
      </c>
      <c r="Y404" s="35"/>
    </row>
    <row r="405" spans="1:25" ht="14.1" customHeight="1">
      <c r="A405" s="20">
        <v>45</v>
      </c>
      <c r="B405" s="71"/>
      <c r="C405" s="676" t="s">
        <v>224</v>
      </c>
      <c r="D405" s="588" t="str">
        <f>IF(Q424="","",IF(LEN(Q424)&lt;=135,Q424,IF(LEN(Q424)&lt;=260,LEFT(Q424,SEARCH(" ",Q424,125)),LEFT(Q424,SEARCH(" ",Q424,130)))))</f>
        <v/>
      </c>
      <c r="E405" s="677"/>
      <c r="F405" s="677"/>
      <c r="G405" s="677"/>
      <c r="H405" s="677"/>
      <c r="I405" s="677"/>
      <c r="J405" s="677"/>
      <c r="K405" s="677"/>
      <c r="L405" s="677"/>
      <c r="M405" s="73"/>
      <c r="O405" s="33"/>
      <c r="P405" s="38" t="s">
        <v>369</v>
      </c>
      <c r="Q405" s="294"/>
      <c r="R405" s="295"/>
      <c r="S405" s="296"/>
      <c r="T405" s="6"/>
      <c r="U405" s="38" t="s">
        <v>369</v>
      </c>
      <c r="V405" s="297" t="str">
        <f>IF(AB104="","",AB104)</f>
        <v/>
      </c>
      <c r="W405" s="298" t="str">
        <f>IF(AB109="","",AB109)</f>
        <v/>
      </c>
      <c r="X405" s="299" t="str">
        <f>IF(AB114="","",AB114)</f>
        <v/>
      </c>
      <c r="Y405" s="35"/>
    </row>
    <row r="406" spans="1:25" ht="14.1" customHeight="1">
      <c r="A406" s="20">
        <v>46</v>
      </c>
      <c r="B406" s="71"/>
      <c r="C406" s="682"/>
      <c r="D406" s="589" t="str">
        <f>IF(LEN(Q424)&lt;=135,"",IF(LEN(Q424)&lt;=260,RIGHT(Q424,LEN(Q424)-SEARCH(" ",Q424,125)),MID(Q424,SEARCH(" ",Q424,130),IF(LEN(Q424)&lt;=265,LEN(Q424),SEARCH(" ",Q424,255)-SEARCH(" ",Q424,130)))))</f>
        <v/>
      </c>
      <c r="E406" s="683"/>
      <c r="F406" s="683"/>
      <c r="G406" s="683"/>
      <c r="H406" s="683"/>
      <c r="I406" s="683"/>
      <c r="J406" s="683"/>
      <c r="K406" s="683"/>
      <c r="L406" s="683"/>
      <c r="M406" s="73"/>
      <c r="O406" s="33"/>
      <c r="P406" s="38" t="s">
        <v>370</v>
      </c>
      <c r="Q406" s="294"/>
      <c r="R406" s="295"/>
      <c r="S406" s="296"/>
      <c r="T406" s="6"/>
      <c r="U406" s="38" t="s">
        <v>370</v>
      </c>
      <c r="V406" s="297" t="str">
        <f>IF(AB105="","",AB105)</f>
        <v/>
      </c>
      <c r="W406" s="298" t="str">
        <f>IF(AB110="","",AB110)</f>
        <v/>
      </c>
      <c r="X406" s="299" t="str">
        <f>IF(AB115="","",AB115)</f>
        <v/>
      </c>
      <c r="Y406" s="35"/>
    </row>
    <row r="407" spans="1:25" ht="14.1" customHeight="1">
      <c r="A407" s="20">
        <v>47</v>
      </c>
      <c r="B407" s="71"/>
      <c r="C407" s="682"/>
      <c r="D407" s="589" t="str">
        <f>IF(LEN(Q424)&lt;=265,"",RIGHT(Q424,LEN(Q424)-SEARCH(" ",Q424,255)))</f>
        <v/>
      </c>
      <c r="E407" s="683"/>
      <c r="F407" s="683"/>
      <c r="G407" s="683"/>
      <c r="H407" s="683"/>
      <c r="I407" s="683"/>
      <c r="J407" s="683"/>
      <c r="K407" s="683"/>
      <c r="L407" s="683"/>
      <c r="M407" s="73"/>
      <c r="O407" s="33"/>
      <c r="P407" s="300"/>
      <c r="Q407" s="4" t="str">
        <f>IF(Q404="","",IF(AND(Q404&gt;=5,Q405&gt;=4,Q406&gt;=4),"Pass","Fail"))</f>
        <v/>
      </c>
      <c r="R407" s="4" t="str">
        <f>IF(R404="","",IF(AND(R404&gt;=5,R405&gt;=4,R406&gt;=4),"Pass","Fail"))</f>
        <v/>
      </c>
      <c r="S407" s="4" t="str">
        <f>IF(S404="","",IF(AND(S404&gt;=5,S405&gt;=4,S406&gt;=4),"Pass","Fail"))</f>
        <v/>
      </c>
      <c r="T407" s="6"/>
      <c r="U407" s="6"/>
      <c r="V407" s="6"/>
      <c r="Y407" s="35"/>
    </row>
    <row r="408" spans="1:25" ht="14.1" customHeight="1" thickBot="1">
      <c r="A408" s="20">
        <v>48</v>
      </c>
      <c r="B408" s="71"/>
      <c r="C408" s="692"/>
      <c r="D408" s="589" t="str">
        <f>IF(Q426="","",IF(LEN(Q426)&lt;=135,Q426,IF(LEN(Q426)&lt;=260,LEFT(Q426,SEARCH(" ",Q426,125)),LEFT(Q426,SEARCH(" ",Q426,130)))))</f>
        <v/>
      </c>
      <c r="E408" s="683"/>
      <c r="F408" s="683"/>
      <c r="G408" s="683"/>
      <c r="H408" s="683"/>
      <c r="I408" s="683"/>
      <c r="J408" s="683"/>
      <c r="K408" s="683"/>
      <c r="L408" s="683"/>
      <c r="M408" s="73"/>
      <c r="O408" s="43"/>
      <c r="P408" s="301" t="s">
        <v>204</v>
      </c>
      <c r="Q408" s="302" t="s">
        <v>371</v>
      </c>
      <c r="R408" s="196"/>
      <c r="S408" s="196"/>
      <c r="T408" s="44"/>
      <c r="U408" s="44"/>
      <c r="V408" s="44"/>
      <c r="W408" s="44"/>
      <c r="X408" s="44"/>
      <c r="Y408" s="45"/>
    </row>
    <row r="409" spans="1:25" ht="14.1" customHeight="1">
      <c r="A409" s="20">
        <v>49</v>
      </c>
      <c r="B409" s="71"/>
      <c r="C409" s="692"/>
      <c r="D409" s="589" t="str">
        <f>IF(LEN(Q426)&lt;=135,"",IF(LEN(Q426)&lt;=260,RIGHT(Q426,LEN(Q426)-SEARCH(" ",Q426,125)),MID(Q426,SEARCH(" ",Q426,130),IF(LEN(Q426)&lt;=265,LEN(Q426),SEARCH(" ",Q426,255)-SEARCH(" ",Q426,130)))))</f>
        <v/>
      </c>
      <c r="E409" s="683"/>
      <c r="F409" s="683"/>
      <c r="G409" s="683"/>
      <c r="H409" s="683"/>
      <c r="I409" s="683"/>
      <c r="J409" s="683"/>
      <c r="K409" s="683"/>
      <c r="L409" s="683"/>
      <c r="M409" s="73"/>
      <c r="O409" s="143" t="s">
        <v>372</v>
      </c>
      <c r="Y409" s="35"/>
    </row>
    <row r="410" spans="1:25" ht="14.1" customHeight="1">
      <c r="A410" s="20">
        <v>50</v>
      </c>
      <c r="B410" s="71"/>
      <c r="C410" s="692"/>
      <c r="D410" s="589" t="str">
        <f>IF(LEN(Q426)&lt;=265,"",RIGHT(Q426,LEN(Q426)-SEARCH(" ",Q426,255)))</f>
        <v/>
      </c>
      <c r="E410" s="683"/>
      <c r="F410" s="683"/>
      <c r="G410" s="683"/>
      <c r="H410" s="683"/>
      <c r="I410" s="683"/>
      <c r="J410" s="683"/>
      <c r="K410" s="683"/>
      <c r="L410" s="683"/>
      <c r="M410" s="73"/>
      <c r="O410" s="33"/>
      <c r="T410" s="24" t="s">
        <v>373</v>
      </c>
      <c r="U410" s="24" t="s">
        <v>374</v>
      </c>
      <c r="Y410" s="35"/>
    </row>
    <row r="411" spans="1:25" ht="14.1" customHeight="1">
      <c r="A411" s="20">
        <v>51</v>
      </c>
      <c r="B411" s="71"/>
      <c r="C411" s="694"/>
      <c r="D411" s="589" t="str">
        <f>IF(Q428="","",IF(LEN(Q428)&lt;=135,Q428,IF(LEN(Q428)&lt;=260,LEFT(Q428,SEARCH(" ",Q428,125)),LEFT(Q428,SEARCH(" ",Q428,130)))))</f>
        <v/>
      </c>
      <c r="E411" s="683"/>
      <c r="F411" s="683"/>
      <c r="G411" s="683"/>
      <c r="H411" s="683"/>
      <c r="I411" s="683"/>
      <c r="J411" s="683"/>
      <c r="K411" s="683"/>
      <c r="L411" s="683"/>
      <c r="M411" s="73"/>
      <c r="O411" s="33"/>
      <c r="P411" s="38" t="s">
        <v>173</v>
      </c>
      <c r="Q411" s="141"/>
      <c r="R411" s="38"/>
      <c r="S411" s="38" t="s">
        <v>375</v>
      </c>
      <c r="T411" s="149"/>
      <c r="U411" s="149"/>
      <c r="Y411" s="35"/>
    </row>
    <row r="412" spans="1:25" ht="14.1" customHeight="1">
      <c r="A412" s="20">
        <v>52</v>
      </c>
      <c r="B412" s="71"/>
      <c r="C412" s="694"/>
      <c r="D412" s="589" t="str">
        <f>IF(LEN(Q428)&lt;=135,"",IF(LEN(Q428)&lt;=260,RIGHT(Q428,LEN(Q428)-SEARCH(" ",Q428,125)),MID(Q428,SEARCH(" ",Q428,130),IF(LEN(Q428)&lt;=265,LEN(Q428),SEARCH(" ",Q428,255)-SEARCH(" ",Q428,130)))))</f>
        <v/>
      </c>
      <c r="E412" s="683"/>
      <c r="F412" s="683"/>
      <c r="G412" s="683"/>
      <c r="H412" s="683"/>
      <c r="I412" s="683"/>
      <c r="J412" s="683"/>
      <c r="K412" s="683"/>
      <c r="L412" s="683"/>
      <c r="M412" s="73"/>
      <c r="O412" s="33"/>
      <c r="P412" s="38" t="s">
        <v>176</v>
      </c>
      <c r="Q412" s="141"/>
      <c r="R412" s="38"/>
      <c r="S412" s="38" t="s">
        <v>376</v>
      </c>
      <c r="T412" s="149"/>
      <c r="U412" s="149"/>
      <c r="Y412" s="35"/>
    </row>
    <row r="413" spans="1:25" ht="14.1" customHeight="1">
      <c r="A413" s="20">
        <v>53</v>
      </c>
      <c r="B413" s="71"/>
      <c r="C413" s="694"/>
      <c r="D413" s="589" t="str">
        <f>IF(LEN(Q428)&lt;=265,"",RIGHT(Q428,LEN(Q428)-SEARCH(" ",Q428,255)))</f>
        <v/>
      </c>
      <c r="E413" s="683"/>
      <c r="F413" s="683"/>
      <c r="G413" s="683"/>
      <c r="H413" s="683"/>
      <c r="I413" s="683"/>
      <c r="J413" s="683"/>
      <c r="K413" s="683"/>
      <c r="L413" s="683"/>
      <c r="M413" s="73"/>
      <c r="O413" s="33"/>
      <c r="P413" s="38" t="s">
        <v>51</v>
      </c>
      <c r="Q413" s="272"/>
      <c r="Y413" s="35"/>
    </row>
    <row r="414" spans="1:25" ht="14.1" customHeight="1">
      <c r="A414" s="20">
        <v>54</v>
      </c>
      <c r="B414" s="71"/>
      <c r="C414" s="654"/>
      <c r="D414" s="589" t="str">
        <f>IF(Q430="","",IF(LEN(Q430)&lt;=135,Q430,IF(LEN(Q430)&lt;=260,LEFT(Q430,SEARCH(" ",Q430,125)),LEFT(Q430,SEARCH(" ",Q430,130)))))</f>
        <v/>
      </c>
      <c r="E414" s="683"/>
      <c r="F414" s="683"/>
      <c r="G414" s="683"/>
      <c r="H414" s="683"/>
      <c r="I414" s="683"/>
      <c r="J414" s="683"/>
      <c r="K414" s="683"/>
      <c r="L414" s="683"/>
      <c r="M414" s="73"/>
      <c r="O414" s="33"/>
      <c r="P414" s="38" t="s">
        <v>54</v>
      </c>
      <c r="Q414" s="272"/>
      <c r="T414" s="639" t="s">
        <v>321</v>
      </c>
      <c r="U414" s="639" t="s">
        <v>322</v>
      </c>
      <c r="V414" s="639" t="s">
        <v>290</v>
      </c>
      <c r="W414" s="639" t="s">
        <v>377</v>
      </c>
      <c r="X414" s="639" t="s">
        <v>291</v>
      </c>
      <c r="Y414" s="35"/>
    </row>
    <row r="415" spans="1:25" ht="14.1" customHeight="1">
      <c r="A415" s="20">
        <v>55</v>
      </c>
      <c r="B415" s="71"/>
      <c r="C415" s="682"/>
      <c r="D415" s="589" t="str">
        <f>IF(LEN(Q430)&lt;=135,"",IF(LEN(Q430)&lt;=260,RIGHT(Q430,LEN(Q430)-SEARCH(" ",Q430,125)),MID(Q430,SEARCH(" ",Q430,130),IF(LEN(Q430)&lt;=265,LEN(Q430),SEARCH(" ",Q430,255)-SEARCH(" ",Q430,130)))))</f>
        <v/>
      </c>
      <c r="E415" s="683"/>
      <c r="F415" s="683"/>
      <c r="G415" s="683"/>
      <c r="H415" s="683"/>
      <c r="I415" s="683"/>
      <c r="J415" s="683"/>
      <c r="K415" s="683"/>
      <c r="L415" s="683"/>
      <c r="M415" s="73"/>
      <c r="O415" s="33"/>
      <c r="S415" s="24" t="s">
        <v>198</v>
      </c>
      <c r="T415" s="257" t="str">
        <f>IF(OR(T412="",U412=""),"",(T412-50)/U412)</f>
        <v/>
      </c>
      <c r="U415" s="126" t="str">
        <f>IF(AB116="","",AB116)</f>
        <v/>
      </c>
      <c r="V415" s="258" t="str">
        <f>IF(OR(T415="",W415=""),"",(T415-W415)/W415)</f>
        <v/>
      </c>
      <c r="W415" s="303"/>
      <c r="X415" s="259" t="str">
        <f>IF(T415="","",IF(AND(T415&gt;=40,ABS(V415)&lt;=0.15),"Pass","Fail"))</f>
        <v/>
      </c>
      <c r="Y415" s="35"/>
    </row>
    <row r="416" spans="1:25" ht="14.1" customHeight="1">
      <c r="A416" s="20">
        <v>56</v>
      </c>
      <c r="B416" s="71"/>
      <c r="C416" s="682"/>
      <c r="D416" s="589" t="str">
        <f>IF(LEN(Q430)&lt;=265,"",RIGHT(Q430,LEN(Q430)-SEARCH(" ",Q430,255)))</f>
        <v/>
      </c>
      <c r="E416" s="683"/>
      <c r="F416" s="683"/>
      <c r="G416" s="683"/>
      <c r="H416" s="683"/>
      <c r="I416" s="683"/>
      <c r="J416" s="683"/>
      <c r="K416" s="683"/>
      <c r="L416" s="683"/>
      <c r="M416" s="73"/>
      <c r="O416" s="33"/>
      <c r="S416" s="24" t="s">
        <v>199</v>
      </c>
      <c r="T416" s="257" t="str">
        <f>IF(OR(T412="",T411=""),"",(T412-T411)/U412)</f>
        <v/>
      </c>
      <c r="U416" s="126" t="str">
        <f>IF(AB117="","",AB117)</f>
        <v/>
      </c>
      <c r="V416" s="258" t="str">
        <f>IF(OR(T416="",W416=""),"",(T416-W416)/W416)</f>
        <v/>
      </c>
      <c r="W416" s="303"/>
      <c r="X416" s="19" t="str">
        <f>IF(T416="","",IF(AND(T416&gt;=2,ABS(V416)&lt;=0.15),"Pass","Fail"))</f>
        <v/>
      </c>
      <c r="Y416" s="35"/>
    </row>
    <row r="417" spans="1:25" ht="14.1" customHeight="1">
      <c r="A417" s="20">
        <v>57</v>
      </c>
      <c r="B417" s="71"/>
      <c r="C417" s="654"/>
      <c r="D417" s="589" t="str">
        <f>IF(Q432="","",IF(LEN(Q432)&lt;=135,Q432,IF(LEN(Q432)&lt;=260,LEFT(Q432,SEARCH(" ",Q432,125)),LEFT(Q432,SEARCH(" ",Q432,130)))))</f>
        <v/>
      </c>
      <c r="E417" s="683"/>
      <c r="F417" s="683"/>
      <c r="G417" s="683"/>
      <c r="H417" s="683"/>
      <c r="I417" s="683"/>
      <c r="J417" s="683"/>
      <c r="K417" s="683"/>
      <c r="L417" s="683"/>
      <c r="M417" s="73"/>
      <c r="O417" s="33"/>
      <c r="P417" s="117" t="s">
        <v>204</v>
      </c>
      <c r="Q417" s="105" t="s">
        <v>378</v>
      </c>
      <c r="R417" s="72"/>
      <c r="S417" s="72"/>
      <c r="T417" s="72"/>
      <c r="U417" s="72"/>
      <c r="V417" s="72"/>
      <c r="W417" s="72"/>
      <c r="X417" s="72"/>
      <c r="Y417" s="35"/>
    </row>
    <row r="418" spans="1:25" ht="14.1" customHeight="1">
      <c r="A418" s="20">
        <v>58</v>
      </c>
      <c r="B418" s="71"/>
      <c r="C418" s="682"/>
      <c r="D418" s="589" t="str">
        <f>IF(LEN(Q432)&lt;=135,"",IF(LEN(Q432)&lt;=260,RIGHT(Q432,LEN(Q432)-SEARCH(" ",Q432,125)),MID(Q432,SEARCH(" ",Q432,130),IF(LEN(Q432)&lt;=265,LEN(Q432),SEARCH(" ",Q432,255)-SEARCH(" ",Q432,130)))))</f>
        <v/>
      </c>
      <c r="E418" s="683"/>
      <c r="F418" s="683"/>
      <c r="G418" s="683"/>
      <c r="H418" s="683"/>
      <c r="I418" s="683"/>
      <c r="J418" s="683"/>
      <c r="K418" s="683"/>
      <c r="L418" s="683"/>
      <c r="M418" s="73"/>
      <c r="O418" s="33"/>
      <c r="Q418" s="142" t="s">
        <v>379</v>
      </c>
      <c r="Y418" s="35"/>
    </row>
    <row r="419" spans="1:25" ht="14.1" customHeight="1" thickBot="1">
      <c r="A419" s="20">
        <v>59</v>
      </c>
      <c r="B419" s="71"/>
      <c r="C419" s="682"/>
      <c r="D419" s="589" t="str">
        <f>IF(LEN(Q432)&lt;=265,"",RIGHT(Q432,LEN(Q432)-SEARCH(" ",Q432,255)))</f>
        <v/>
      </c>
      <c r="E419" s="683"/>
      <c r="F419" s="683"/>
      <c r="G419" s="683"/>
      <c r="H419" s="683"/>
      <c r="I419" s="683"/>
      <c r="J419" s="683"/>
      <c r="K419" s="683"/>
      <c r="L419" s="683"/>
      <c r="M419" s="73"/>
      <c r="O419" s="43"/>
      <c r="P419" s="44"/>
      <c r="Q419" s="44"/>
      <c r="R419" s="44"/>
      <c r="S419" s="44"/>
      <c r="T419" s="44"/>
      <c r="U419" s="44"/>
      <c r="V419" s="44"/>
      <c r="W419" s="44"/>
      <c r="X419" s="44"/>
      <c r="Y419" s="45"/>
    </row>
    <row r="420" spans="1:25" ht="14.1" customHeight="1">
      <c r="A420" s="20">
        <v>60</v>
      </c>
      <c r="B420" s="71"/>
      <c r="C420" s="654"/>
      <c r="D420" s="589" t="str">
        <f>IF(Q434="","",IF(LEN(Q434)&lt;=135,Q434,IF(LEN(Q434)&lt;=260,LEFT(Q434,SEARCH(" ",Q434,125)),LEFT(Q434,SEARCH(" ",Q434,130)))))</f>
        <v/>
      </c>
      <c r="E420" s="683"/>
      <c r="F420" s="683"/>
      <c r="G420" s="683"/>
      <c r="H420" s="683"/>
      <c r="I420" s="683"/>
      <c r="J420" s="683"/>
      <c r="K420" s="683"/>
      <c r="L420" s="683"/>
      <c r="M420" s="73"/>
      <c r="O420" s="503"/>
      <c r="P420" s="342"/>
    </row>
    <row r="421" spans="1:25" ht="14.1" customHeight="1">
      <c r="A421" s="20">
        <v>61</v>
      </c>
      <c r="B421" s="71"/>
      <c r="C421" s="682"/>
      <c r="D421" s="589" t="str">
        <f>IF(LEN(Q434)&lt;=135,"",IF(LEN(Q434)&lt;=260,RIGHT(Q434,LEN(Q434)-SEARCH(" ",Q434,125)),MID(Q434,SEARCH(" ",Q434,130),IF(LEN(Q434)&lt;=265,LEN(Q434),SEARCH(" ",Q434,255)-SEARCH(" ",Q434,130)))))</f>
        <v/>
      </c>
      <c r="E421" s="683"/>
      <c r="F421" s="683"/>
      <c r="G421" s="683"/>
      <c r="H421" s="683"/>
      <c r="I421" s="683"/>
      <c r="J421" s="683"/>
      <c r="K421" s="683"/>
      <c r="L421" s="683"/>
      <c r="M421" s="73"/>
      <c r="O421" s="645"/>
      <c r="P421" s="645"/>
      <c r="Q421" s="645"/>
      <c r="R421" s="645"/>
      <c r="S421" s="645"/>
      <c r="T421" s="646" t="s">
        <v>558</v>
      </c>
      <c r="U421" s="645"/>
      <c r="V421" s="645"/>
      <c r="W421" s="645"/>
      <c r="X421" s="645"/>
      <c r="Y421" s="645"/>
    </row>
    <row r="422" spans="1:25" ht="14.1" customHeight="1" thickBot="1">
      <c r="A422" s="20">
        <v>62</v>
      </c>
      <c r="B422" s="71"/>
      <c r="C422" s="682"/>
      <c r="D422" s="589" t="str">
        <f>IF(LEN(Q434)&lt;=265,"",RIGHT(Q434,LEN(Q434)-SEARCH(" ",Q434,255)))</f>
        <v/>
      </c>
      <c r="E422" s="683"/>
      <c r="F422" s="683"/>
      <c r="G422" s="683"/>
      <c r="H422" s="683"/>
      <c r="I422" s="683"/>
      <c r="J422" s="683"/>
      <c r="K422" s="683"/>
      <c r="L422" s="506"/>
      <c r="M422" s="73"/>
      <c r="O422" s="645"/>
      <c r="P422" s="647" t="s">
        <v>559</v>
      </c>
      <c r="Q422" s="645"/>
      <c r="R422" s="645"/>
      <c r="S422" s="645"/>
      <c r="T422" s="645"/>
      <c r="U422" s="645"/>
      <c r="V422" s="645"/>
      <c r="W422" s="645"/>
      <c r="X422" s="645"/>
      <c r="Y422" s="645"/>
    </row>
    <row r="423" spans="1:25" ht="14.1" customHeight="1" thickTop="1">
      <c r="A423" s="20">
        <v>63</v>
      </c>
      <c r="B423" s="71"/>
      <c r="C423" s="654"/>
      <c r="D423" s="589" t="str">
        <f>IF(Q436="","",IF(LEN(Q436)&lt;=135,Q436,IF(LEN(Q436)&lt;=260,LEFT(Q436,SEARCH(" ",Q436,125)),LEFT(Q436,SEARCH(" ",Q436,130)))))</f>
        <v/>
      </c>
      <c r="E423" s="683"/>
      <c r="F423" s="683"/>
      <c r="G423" s="683"/>
      <c r="H423" s="683"/>
      <c r="I423" s="683"/>
      <c r="J423" s="683"/>
      <c r="K423" s="683"/>
      <c r="L423" s="506"/>
      <c r="M423" s="73"/>
      <c r="O423" s="648"/>
      <c r="P423" s="649"/>
      <c r="Q423" s="649"/>
      <c r="R423" s="650"/>
      <c r="S423" s="651" t="s">
        <v>560</v>
      </c>
      <c r="T423" s="649"/>
      <c r="U423" s="649"/>
      <c r="V423" s="649"/>
      <c r="W423" s="649"/>
      <c r="X423" s="649"/>
      <c r="Y423" s="652"/>
    </row>
    <row r="424" spans="1:25" ht="14.1" customHeight="1">
      <c r="A424" s="20">
        <v>64</v>
      </c>
      <c r="B424" s="71"/>
      <c r="C424" s="72"/>
      <c r="D424" s="589" t="str">
        <f>IF(LEN(Q436)&lt;=135,"",IF(LEN(Q436)&lt;=260,RIGHT(Q436,LEN(Q436)-SEARCH(" ",Q436,125)),MID(Q436,SEARCH(" ",Q436,130),IF(LEN(Q436)&lt;=265,LEN(Q436),SEARCH(" ",Q436,255)-SEARCH(" ",Q436,130)))))</f>
        <v/>
      </c>
      <c r="E424" s="506"/>
      <c r="F424" s="506"/>
      <c r="G424" s="506"/>
      <c r="H424" s="506"/>
      <c r="I424" s="506"/>
      <c r="J424" s="506"/>
      <c r="K424" s="506"/>
      <c r="L424" s="506"/>
      <c r="M424" s="73"/>
      <c r="O424" s="653"/>
      <c r="P424" s="654" t="s">
        <v>224</v>
      </c>
      <c r="Q424" s="655"/>
      <c r="R424" s="656"/>
      <c r="S424" s="657" t="str">
        <f>IF(OR(AD720=0,AD720=""),"",AD720)</f>
        <v/>
      </c>
      <c r="T424" s="658"/>
      <c r="U424" s="658"/>
      <c r="V424" s="658"/>
      <c r="W424" s="658"/>
      <c r="X424" s="658"/>
      <c r="Y424" s="659"/>
    </row>
    <row r="425" spans="1:25" ht="14.1" customHeight="1">
      <c r="A425" s="20">
        <v>65</v>
      </c>
      <c r="B425" s="71"/>
      <c r="C425" s="72"/>
      <c r="D425" s="589" t="str">
        <f>IF(LEN(Q436)&lt;=265,"",RIGHT(Q436,LEN(Q436)-SEARCH(" ",Q436,255)))</f>
        <v/>
      </c>
      <c r="E425" s="506"/>
      <c r="F425" s="506"/>
      <c r="G425" s="506"/>
      <c r="H425" s="506"/>
      <c r="I425" s="506"/>
      <c r="J425" s="506"/>
      <c r="K425" s="506"/>
      <c r="L425" s="506"/>
      <c r="M425" s="73"/>
      <c r="O425" s="660"/>
      <c r="P425" s="661" t="s">
        <v>561</v>
      </c>
      <c r="Q425" s="662"/>
      <c r="R425" s="663">
        <f>LEN(Q424)</f>
        <v>0</v>
      </c>
      <c r="S425" s="664"/>
      <c r="T425" s="665">
        <f>LEN(S424)</f>
        <v>0</v>
      </c>
      <c r="U425" s="666"/>
      <c r="V425" s="667"/>
      <c r="W425" s="667"/>
      <c r="X425" s="667"/>
      <c r="Y425" s="668"/>
    </row>
    <row r="426" spans="1:25" ht="14.1" customHeight="1">
      <c r="A426" s="20">
        <v>66</v>
      </c>
      <c r="B426" s="71"/>
      <c r="C426" s="72"/>
      <c r="D426" s="589" t="str">
        <f>IF(Q438="","",IF(LEN(Q438)&lt;=135,Q438,IF(LEN(Q438)&lt;=260,LEFT(Q438,SEARCH(" ",Q438,125)),LEFT(Q438,SEARCH(" ",Q438,130)))))</f>
        <v/>
      </c>
      <c r="E426" s="506"/>
      <c r="F426" s="506"/>
      <c r="G426" s="506"/>
      <c r="H426" s="506"/>
      <c r="I426" s="506"/>
      <c r="J426" s="506"/>
      <c r="K426" s="506"/>
      <c r="L426" s="506"/>
      <c r="M426" s="73"/>
      <c r="O426" s="660"/>
      <c r="P426" s="654" t="s">
        <v>562</v>
      </c>
      <c r="Q426" s="655"/>
      <c r="R426" s="656"/>
      <c r="S426" s="657" t="str">
        <f>IF(OR(AD722=0,AD722=""),"",AD722)</f>
        <v/>
      </c>
      <c r="T426" s="658"/>
      <c r="U426" s="658"/>
      <c r="V426" s="658"/>
      <c r="W426" s="658"/>
      <c r="X426" s="658"/>
      <c r="Y426" s="659"/>
    </row>
    <row r="427" spans="1:25" ht="14.1" customHeight="1">
      <c r="A427" s="20">
        <v>67</v>
      </c>
      <c r="B427" s="71"/>
      <c r="C427" s="682"/>
      <c r="D427" s="589" t="str">
        <f>IF(LEN(Q438)&lt;=135,"",IF(LEN(Q438)&lt;=260,RIGHT(Q438,LEN(Q438)-SEARCH(" ",Q438,125)),MID(Q438,SEARCH(" ",Q438,130),IF(LEN(Q438)&lt;=265,LEN(Q438),SEARCH(" ",Q438,255)-SEARCH(" ",Q438,130)))))</f>
        <v/>
      </c>
      <c r="E427" s="683"/>
      <c r="F427" s="683"/>
      <c r="G427" s="683"/>
      <c r="H427" s="683"/>
      <c r="I427" s="683"/>
      <c r="J427" s="683"/>
      <c r="K427" s="683"/>
      <c r="L427" s="701"/>
      <c r="M427" s="73"/>
      <c r="O427" s="660"/>
      <c r="P427" s="661" t="s">
        <v>561</v>
      </c>
      <c r="Q427" s="662"/>
      <c r="R427" s="663">
        <f>LEN(Q426)</f>
        <v>0</v>
      </c>
      <c r="S427" s="664"/>
      <c r="T427" s="665">
        <f>LEN(S426)</f>
        <v>0</v>
      </c>
      <c r="U427" s="666"/>
      <c r="V427" s="658"/>
      <c r="W427" s="658"/>
      <c r="X427" s="658"/>
      <c r="Y427" s="659"/>
    </row>
    <row r="428" spans="1:25" ht="14.1" customHeight="1">
      <c r="A428" s="20">
        <v>68</v>
      </c>
      <c r="B428" s="71"/>
      <c r="C428" s="72"/>
      <c r="D428" s="589" t="str">
        <f>IF(LEN(Q438)&lt;=265,"",RIGHT(Q438,LEN(Q438)-SEARCH(" ",Q438,255)))</f>
        <v/>
      </c>
      <c r="E428" s="506"/>
      <c r="F428" s="506"/>
      <c r="G428" s="506"/>
      <c r="H428" s="506"/>
      <c r="I428" s="506"/>
      <c r="J428" s="506"/>
      <c r="K428" s="506"/>
      <c r="L428" s="506"/>
      <c r="M428" s="73"/>
      <c r="O428" s="669"/>
      <c r="P428" s="654" t="s">
        <v>562</v>
      </c>
      <c r="Q428" s="655"/>
      <c r="R428" s="656"/>
      <c r="S428" s="657" t="str">
        <f>IF(OR(AD724=0,AD724=""),"",AD724)</f>
        <v/>
      </c>
      <c r="T428" s="667"/>
      <c r="U428" s="667"/>
      <c r="V428" s="667"/>
      <c r="W428" s="667"/>
      <c r="X428" s="667"/>
      <c r="Y428" s="668"/>
    </row>
    <row r="429" spans="1:25" ht="14.1" customHeight="1">
      <c r="A429" s="20">
        <v>69</v>
      </c>
      <c r="B429" s="71"/>
      <c r="C429" s="72"/>
      <c r="D429" s="72"/>
      <c r="E429" s="72"/>
      <c r="F429" s="72"/>
      <c r="G429" s="72"/>
      <c r="H429" s="72"/>
      <c r="I429" s="72"/>
      <c r="J429" s="72"/>
      <c r="K429" s="72"/>
      <c r="L429" s="72"/>
      <c r="M429" s="73"/>
      <c r="O429" s="660"/>
      <c r="P429" s="661" t="s">
        <v>561</v>
      </c>
      <c r="Q429" s="662"/>
      <c r="R429" s="663">
        <f>LEN(Q428)</f>
        <v>0</v>
      </c>
      <c r="S429" s="664"/>
      <c r="T429" s="665">
        <f>LEN(S428)</f>
        <v>0</v>
      </c>
      <c r="U429" s="666"/>
      <c r="V429" s="658"/>
      <c r="W429" s="658"/>
      <c r="X429" s="658"/>
      <c r="Y429" s="659"/>
    </row>
    <row r="430" spans="1:25" ht="14.1" customHeight="1" thickBot="1">
      <c r="A430" s="20">
        <v>70</v>
      </c>
      <c r="B430" s="84"/>
      <c r="C430" s="702"/>
      <c r="D430" s="703"/>
      <c r="E430" s="697"/>
      <c r="F430" s="697"/>
      <c r="G430" s="697"/>
      <c r="H430" s="697"/>
      <c r="I430" s="697"/>
      <c r="J430" s="697"/>
      <c r="K430" s="697"/>
      <c r="L430" s="85"/>
      <c r="M430" s="86"/>
      <c r="O430" s="660"/>
      <c r="P430" s="654" t="s">
        <v>562</v>
      </c>
      <c r="Q430" s="655"/>
      <c r="R430" s="656"/>
      <c r="S430" s="657" t="str">
        <f>IF(OR(AD726=0,AD726=""),"",AD726)</f>
        <v/>
      </c>
      <c r="T430" s="658"/>
      <c r="U430" s="658"/>
      <c r="V430" s="658"/>
      <c r="W430" s="658"/>
      <c r="X430" s="658"/>
      <c r="Y430" s="659"/>
    </row>
    <row r="431" spans="1:25" ht="14.1" customHeight="1" thickTop="1">
      <c r="A431" s="20">
        <v>71</v>
      </c>
      <c r="C431" s="113" t="s">
        <v>11</v>
      </c>
      <c r="D431" s="387" t="str">
        <f>IF($P$7="","",$P$7)</f>
        <v/>
      </c>
      <c r="E431" s="30"/>
      <c r="F431" s="30"/>
      <c r="G431" s="30"/>
      <c r="H431" s="30"/>
      <c r="I431" s="30"/>
      <c r="J431" s="30"/>
      <c r="K431" s="30"/>
      <c r="L431" s="113" t="s">
        <v>12</v>
      </c>
      <c r="M431" s="388" t="str">
        <f>IF($X$7="","",$X$7)</f>
        <v>Eugene Mah</v>
      </c>
      <c r="O431" s="669"/>
      <c r="P431" s="661" t="s">
        <v>561</v>
      </c>
      <c r="Q431" s="662"/>
      <c r="R431" s="663">
        <f>LEN(Q430)</f>
        <v>0</v>
      </c>
      <c r="S431" s="664"/>
      <c r="T431" s="665">
        <f>LEN(S430)</f>
        <v>0</v>
      </c>
      <c r="U431" s="666"/>
      <c r="V431" s="667"/>
      <c r="W431" s="667"/>
      <c r="X431" s="667"/>
      <c r="Y431" s="668"/>
    </row>
    <row r="432" spans="1:25" ht="14.1" customHeight="1">
      <c r="A432" s="20">
        <v>72</v>
      </c>
      <c r="C432" s="113" t="s">
        <v>121</v>
      </c>
      <c r="D432" s="388" t="str">
        <f>IF($R$14="","",$R$14)</f>
        <v/>
      </c>
      <c r="E432" s="30"/>
      <c r="F432" s="30"/>
      <c r="G432" s="30"/>
      <c r="H432" s="30"/>
      <c r="I432" s="30"/>
      <c r="J432" s="30"/>
      <c r="K432" s="30"/>
      <c r="L432" s="113" t="s">
        <v>37</v>
      </c>
      <c r="M432" s="388" t="str">
        <f>IF($R$13="","",$R$13)</f>
        <v/>
      </c>
      <c r="O432" s="660"/>
      <c r="P432" s="654" t="s">
        <v>562</v>
      </c>
      <c r="Q432" s="655"/>
      <c r="R432" s="656"/>
      <c r="S432" s="657" t="str">
        <f>IF(OR(AD728=0,AD728=""),"",AD728)</f>
        <v/>
      </c>
      <c r="T432" s="658"/>
      <c r="U432" s="658"/>
      <c r="V432" s="658"/>
      <c r="W432" s="658"/>
      <c r="X432" s="658"/>
      <c r="Y432" s="659"/>
    </row>
    <row r="433" spans="15:25" ht="14.1" customHeight="1">
      <c r="O433" s="660"/>
      <c r="P433" s="661" t="s">
        <v>561</v>
      </c>
      <c r="Q433" s="662"/>
      <c r="R433" s="663">
        <f>LEN(Q432)</f>
        <v>0</v>
      </c>
      <c r="S433" s="664"/>
      <c r="T433" s="665">
        <f>LEN(S432)</f>
        <v>0</v>
      </c>
      <c r="U433" s="666"/>
      <c r="V433" s="658"/>
      <c r="W433" s="658"/>
      <c r="X433" s="658"/>
      <c r="Y433" s="659"/>
    </row>
    <row r="434" spans="15:25" ht="14.1" customHeight="1">
      <c r="O434" s="669"/>
      <c r="P434" s="654" t="s">
        <v>562</v>
      </c>
      <c r="Q434" s="655"/>
      <c r="R434" s="656"/>
      <c r="S434" s="657" t="str">
        <f>IF(OR(AD730=0,AD730=""),"",AD730)</f>
        <v/>
      </c>
      <c r="T434" s="667"/>
      <c r="U434" s="667"/>
      <c r="V434" s="667"/>
      <c r="W434" s="667"/>
      <c r="X434" s="667"/>
      <c r="Y434" s="668"/>
    </row>
    <row r="435" spans="15:25" ht="14.1" customHeight="1">
      <c r="O435" s="660"/>
      <c r="P435" s="661" t="s">
        <v>561</v>
      </c>
      <c r="Q435" s="670"/>
      <c r="R435" s="671">
        <f>LEN(Q434)</f>
        <v>0</v>
      </c>
      <c r="S435" s="672"/>
      <c r="T435" s="673">
        <f>LEN(S434)</f>
        <v>0</v>
      </c>
      <c r="U435" s="674"/>
      <c r="V435" s="675"/>
      <c r="W435" s="675"/>
      <c r="X435" s="675"/>
      <c r="Y435" s="659"/>
    </row>
    <row r="436" spans="15:25" ht="14.1" customHeight="1">
      <c r="O436" s="660"/>
      <c r="P436" s="654" t="s">
        <v>562</v>
      </c>
      <c r="Q436" s="655"/>
      <c r="R436" s="656"/>
      <c r="S436" s="657" t="str">
        <f>IF(OR(AD732=0,AD732=""),"",AD732)</f>
        <v/>
      </c>
      <c r="T436" s="667"/>
      <c r="U436" s="667"/>
      <c r="V436" s="667"/>
      <c r="W436" s="667"/>
      <c r="X436" s="667"/>
      <c r="Y436" s="659"/>
    </row>
    <row r="437" spans="15:25" ht="14.1" customHeight="1">
      <c r="O437" s="669"/>
      <c r="P437" s="661" t="s">
        <v>561</v>
      </c>
      <c r="Q437" s="670"/>
      <c r="R437" s="671">
        <f>LEN(Q436)</f>
        <v>0</v>
      </c>
      <c r="S437" s="672"/>
      <c r="T437" s="673">
        <f>LEN(S436)</f>
        <v>0</v>
      </c>
      <c r="U437" s="674"/>
      <c r="V437" s="675"/>
      <c r="W437" s="675"/>
      <c r="X437" s="675"/>
      <c r="Y437" s="668"/>
    </row>
    <row r="438" spans="15:25" ht="14.1" customHeight="1">
      <c r="O438" s="660"/>
      <c r="P438" s="654" t="s">
        <v>562</v>
      </c>
      <c r="Q438" s="655"/>
      <c r="R438" s="656"/>
      <c r="S438" s="657" t="str">
        <f>IF(OR(AD734=0,AD734=""),"",AD734)</f>
        <v/>
      </c>
      <c r="T438" s="667"/>
      <c r="U438" s="667"/>
      <c r="V438" s="667"/>
      <c r="W438" s="667"/>
      <c r="X438" s="667"/>
      <c r="Y438" s="659"/>
    </row>
    <row r="439" spans="15:25" ht="14.1" customHeight="1">
      <c r="O439" s="660"/>
      <c r="P439" s="661" t="s">
        <v>561</v>
      </c>
      <c r="Q439" s="670"/>
      <c r="R439" s="671">
        <f>LEN(Q438)</f>
        <v>0</v>
      </c>
      <c r="S439" s="672"/>
      <c r="T439" s="673">
        <f>LEN(S438)</f>
        <v>0</v>
      </c>
      <c r="U439" s="674"/>
      <c r="V439" s="675"/>
      <c r="W439" s="675"/>
      <c r="X439" s="675"/>
      <c r="Y439" s="659"/>
    </row>
    <row r="440" spans="15:25" ht="14.1" customHeight="1">
      <c r="O440" s="669"/>
      <c r="P440" s="654"/>
      <c r="Q440" s="678"/>
      <c r="R440" s="679"/>
      <c r="S440" s="680"/>
      <c r="T440" s="681"/>
      <c r="U440" s="681"/>
      <c r="V440" s="681"/>
      <c r="W440" s="681"/>
      <c r="X440" s="681"/>
      <c r="Y440" s="668"/>
    </row>
    <row r="441" spans="15:25" ht="14.1" customHeight="1">
      <c r="O441" s="660"/>
      <c r="P441" s="661"/>
      <c r="Q441" s="684"/>
      <c r="R441" s="685"/>
      <c r="S441" s="685"/>
      <c r="T441" s="685"/>
      <c r="U441" s="686"/>
      <c r="V441" s="687"/>
      <c r="W441" s="687"/>
      <c r="X441" s="687"/>
      <c r="Y441" s="659"/>
    </row>
    <row r="442" spans="15:25" ht="14.1" customHeight="1">
      <c r="O442" s="660"/>
      <c r="P442" s="688"/>
      <c r="Q442" s="689"/>
      <c r="R442" s="690"/>
      <c r="S442" s="691"/>
      <c r="T442" s="675"/>
      <c r="U442" s="675"/>
      <c r="V442" s="675"/>
      <c r="W442" s="675"/>
      <c r="X442" s="675"/>
      <c r="Y442" s="659"/>
    </row>
    <row r="443" spans="15:25" ht="14.1" customHeight="1">
      <c r="O443" s="669"/>
      <c r="P443" s="693"/>
      <c r="Q443" s="693"/>
      <c r="R443" s="679"/>
      <c r="S443" s="681"/>
      <c r="T443" s="681"/>
      <c r="U443" s="681"/>
      <c r="V443" s="681"/>
      <c r="W443" s="681"/>
      <c r="X443" s="681"/>
      <c r="Y443" s="668"/>
    </row>
    <row r="444" spans="15:25" ht="14.1" customHeight="1">
      <c r="O444" s="660"/>
      <c r="P444" s="693"/>
      <c r="Q444" s="693"/>
      <c r="R444" s="679"/>
      <c r="S444" s="687"/>
      <c r="T444" s="687"/>
      <c r="U444" s="687"/>
      <c r="V444" s="687"/>
      <c r="W444" s="687"/>
      <c r="X444" s="687"/>
      <c r="Y444" s="659"/>
    </row>
    <row r="445" spans="15:25" ht="14.1" customHeight="1">
      <c r="O445" s="660"/>
      <c r="P445" s="693"/>
      <c r="Q445" s="693"/>
      <c r="R445" s="679"/>
      <c r="S445" s="687"/>
      <c r="T445" s="687"/>
      <c r="U445" s="687"/>
      <c r="V445" s="687"/>
      <c r="W445" s="687"/>
      <c r="X445" s="687"/>
      <c r="Y445" s="659"/>
    </row>
    <row r="446" spans="15:25" ht="14.1" customHeight="1">
      <c r="O446" s="669"/>
      <c r="P446" s="693"/>
      <c r="Q446" s="693"/>
      <c r="R446" s="679"/>
      <c r="S446" s="695"/>
      <c r="T446" s="681"/>
      <c r="U446" s="681"/>
      <c r="V446" s="687"/>
      <c r="W446" s="687"/>
      <c r="X446" s="687"/>
      <c r="Y446" s="668"/>
    </row>
    <row r="447" spans="15:25" ht="14.1" customHeight="1">
      <c r="O447" s="660"/>
      <c r="P447" s="693"/>
      <c r="Q447" s="693"/>
      <c r="R447" s="679"/>
      <c r="S447" s="687"/>
      <c r="T447" s="679"/>
      <c r="U447" s="687"/>
      <c r="V447" s="679"/>
      <c r="W447" s="687"/>
      <c r="X447" s="687"/>
      <c r="Y447" s="659"/>
    </row>
    <row r="448" spans="15:25" ht="14.1" customHeight="1">
      <c r="O448" s="660"/>
      <c r="P448" s="693"/>
      <c r="Q448" s="693"/>
      <c r="R448" s="679"/>
      <c r="S448" s="687"/>
      <c r="T448" s="679"/>
      <c r="U448" s="687"/>
      <c r="V448" s="679"/>
      <c r="W448" s="687"/>
      <c r="X448" s="687"/>
      <c r="Y448" s="659"/>
    </row>
    <row r="449" spans="15:25" ht="14.1" customHeight="1">
      <c r="O449" s="669"/>
      <c r="P449" s="693"/>
      <c r="Q449" s="693"/>
      <c r="R449" s="679"/>
      <c r="S449" s="687"/>
      <c r="T449" s="679"/>
      <c r="U449" s="687"/>
      <c r="V449" s="679"/>
      <c r="W449" s="687"/>
      <c r="X449" s="687"/>
      <c r="Y449" s="668"/>
    </row>
    <row r="450" spans="15:25" ht="14.1" customHeight="1" thickBot="1">
      <c r="O450" s="696"/>
      <c r="P450" s="697"/>
      <c r="Q450" s="698"/>
      <c r="R450" s="699"/>
      <c r="S450" s="697"/>
      <c r="T450" s="697"/>
      <c r="U450" s="697"/>
      <c r="V450" s="697"/>
      <c r="W450" s="697"/>
      <c r="X450" s="697"/>
      <c r="Y450" s="700"/>
    </row>
    <row r="451" spans="15:25" ht="14.1" customHeight="1" thickTop="1"/>
  </sheetData>
  <mergeCells count="56">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 ref="F13:G13"/>
    <mergeCell ref="K13:L13"/>
    <mergeCell ref="F16:G16"/>
    <mergeCell ref="K16:L16"/>
    <mergeCell ref="F17:G17"/>
    <mergeCell ref="K17:L17"/>
    <mergeCell ref="F10:G10"/>
    <mergeCell ref="K10:L10"/>
    <mergeCell ref="F11:G11"/>
    <mergeCell ref="K11:L11"/>
    <mergeCell ref="F12:G12"/>
    <mergeCell ref="K12:L12"/>
    <mergeCell ref="K24:L24"/>
    <mergeCell ref="F25:G25"/>
    <mergeCell ref="F26:G26"/>
    <mergeCell ref="F28:G28"/>
    <mergeCell ref="K28:L28"/>
    <mergeCell ref="K27:L27"/>
    <mergeCell ref="F29:G29"/>
    <mergeCell ref="K29:L29"/>
    <mergeCell ref="F30:G30"/>
    <mergeCell ref="K30:L30"/>
    <mergeCell ref="D35:F35"/>
    <mergeCell ref="G35:I35"/>
    <mergeCell ref="J35:L35"/>
    <mergeCell ref="G36:I36"/>
    <mergeCell ref="L44:M44"/>
    <mergeCell ref="P121:R122"/>
    <mergeCell ref="V121:X122"/>
    <mergeCell ref="S121:U122"/>
    <mergeCell ref="P129:R130"/>
    <mergeCell ref="S129:U130"/>
    <mergeCell ref="V129:X130"/>
    <mergeCell ref="P173:S173"/>
    <mergeCell ref="Q182:S182"/>
    <mergeCell ref="U182:W182"/>
    <mergeCell ref="U197:W197"/>
    <mergeCell ref="U251:W251"/>
    <mergeCell ref="S317:U317"/>
    <mergeCell ref="Q197:S197"/>
  </mergeCells>
  <conditionalFormatting sqref="Q266:S266">
    <cfRule type="cellIs" dxfId="55" priority="74" stopIfTrue="1" operator="equal">
      <formula>"Fail"</formula>
    </cfRule>
  </conditionalFormatting>
  <conditionalFormatting sqref="Q340">
    <cfRule type="cellIs" dxfId="54" priority="76" stopIfTrue="1" operator="equal">
      <formula>"Fail"</formula>
    </cfRule>
  </conditionalFormatting>
  <conditionalFormatting sqref="Q355">
    <cfRule type="cellIs" dxfId="53" priority="78" stopIfTrue="1" operator="equal">
      <formula>"Fail"</formula>
    </cfRule>
  </conditionalFormatting>
  <conditionalFormatting sqref="Q266:S266">
    <cfRule type="cellIs" dxfId="52" priority="73" stopIfTrue="1" operator="equal">
      <formula>"Pass"</formula>
    </cfRule>
  </conditionalFormatting>
  <conditionalFormatting sqref="Q340">
    <cfRule type="cellIs" dxfId="51" priority="75" stopIfTrue="1" operator="equal">
      <formula>"Pass"</formula>
    </cfRule>
  </conditionalFormatting>
  <conditionalFormatting sqref="Q355">
    <cfRule type="cellIs" dxfId="50" priority="77" stopIfTrue="1" operator="equal">
      <formula>"Pass"</formula>
    </cfRule>
  </conditionalFormatting>
  <conditionalFormatting sqref="X319:X324 X326:X330 X332:X336">
    <cfRule type="cellIs" dxfId="49" priority="65" operator="lessThan">
      <formula>0.05</formula>
    </cfRule>
    <cfRule type="cellIs" dxfId="48" priority="68" operator="greaterThan">
      <formula>0.05</formula>
    </cfRule>
  </conditionalFormatting>
  <conditionalFormatting sqref="U224:U227">
    <cfRule type="cellIs" dxfId="47" priority="66" operator="lessThan">
      <formula>0.1</formula>
    </cfRule>
    <cfRule type="cellIs" dxfId="46" priority="67" operator="greaterThan">
      <formula>0.1</formula>
    </cfRule>
  </conditionalFormatting>
  <conditionalFormatting sqref="T416">
    <cfRule type="cellIs" dxfId="45" priority="63" operator="lessThan">
      <formula>2</formula>
    </cfRule>
    <cfRule type="cellIs" dxfId="44" priority="64" operator="greaterThan">
      <formula>2</formula>
    </cfRule>
  </conditionalFormatting>
  <conditionalFormatting sqref="T415">
    <cfRule type="cellIs" dxfId="43" priority="61" operator="lessThan">
      <formula>40</formula>
    </cfRule>
    <cfRule type="cellIs" dxfId="42" priority="62" operator="greaterThan">
      <formula>40</formula>
    </cfRule>
  </conditionalFormatting>
  <conditionalFormatting sqref="V415:V416">
    <cfRule type="cellIs" dxfId="41" priority="59" operator="greaterThan">
      <formula>0.15</formula>
    </cfRule>
    <cfRule type="cellIs" dxfId="40" priority="60" operator="lessThan">
      <formula>0.15</formula>
    </cfRule>
  </conditionalFormatting>
  <conditionalFormatting sqref="X243:Y243">
    <cfRule type="cellIs" dxfId="39" priority="57" operator="lessThan">
      <formula>0.15</formula>
    </cfRule>
    <cfRule type="cellIs" dxfId="38" priority="58" operator="greaterThan">
      <formula>0.15</formula>
    </cfRule>
  </conditionalFormatting>
  <conditionalFormatting sqref="P245:V245">
    <cfRule type="cellIs" dxfId="37" priority="55" operator="lessThan">
      <formula>0.05</formula>
    </cfRule>
    <cfRule type="cellIs" dxfId="36" priority="56" operator="greaterThan">
      <formula>0.05</formula>
    </cfRule>
  </conditionalFormatting>
  <conditionalFormatting sqref="X226">
    <cfRule type="cellIs" dxfId="35" priority="53" operator="lessThan">
      <formula>0.05</formula>
    </cfRule>
    <cfRule type="cellIs" dxfId="34" priority="54" operator="greaterThan">
      <formula>0.05</formula>
    </cfRule>
  </conditionalFormatting>
  <conditionalFormatting sqref="Q188:S189 U188:W189 Q203:S204 U203:W204">
    <cfRule type="cellIs" dxfId="33" priority="51" operator="lessThan">
      <formula>13</formula>
    </cfRule>
    <cfRule type="cellIs" dxfId="32" priority="52" operator="greaterThan">
      <formula>13</formula>
    </cfRule>
  </conditionalFormatting>
  <conditionalFormatting sqref="Q205:S205 U205:W205">
    <cfRule type="cellIs" dxfId="31" priority="49" operator="lessThan">
      <formula>6.5</formula>
    </cfRule>
    <cfRule type="cellIs" dxfId="30" priority="50" operator="greaterThan">
      <formula>6.5</formula>
    </cfRule>
  </conditionalFormatting>
  <conditionalFormatting sqref="Q206:S206 U206:W206">
    <cfRule type="cellIs" dxfId="29" priority="47" operator="lessThan">
      <formula>5</formula>
    </cfRule>
    <cfRule type="cellIs" dxfId="28" priority="48" operator="greaterThan">
      <formula>5</formula>
    </cfRule>
  </conditionalFormatting>
  <conditionalFormatting sqref="X271">
    <cfRule type="cellIs" dxfId="27" priority="43" operator="lessThan">
      <formula>3</formula>
    </cfRule>
    <cfRule type="cellIs" dxfId="26" priority="44" operator="greaterThan">
      <formula>3</formula>
    </cfRule>
  </conditionalFormatting>
  <conditionalFormatting sqref="X276">
    <cfRule type="cellIs" dxfId="25" priority="42" operator="between">
      <formula>-0.15</formula>
      <formula>0.15</formula>
    </cfRule>
  </conditionalFormatting>
  <conditionalFormatting sqref="P349:S349">
    <cfRule type="cellIs" dxfId="24" priority="39" operator="greaterThan">
      <formula>0.02</formula>
    </cfRule>
    <cfRule type="cellIs" dxfId="23" priority="40" operator="lessThan">
      <formula>0.02</formula>
    </cfRule>
  </conditionalFormatting>
  <conditionalFormatting sqref="Q217:R217">
    <cfRule type="containsText" dxfId="22" priority="30" operator="containsText" text="Fail">
      <formula>NOT(ISERROR(SEARCH("Fail",Q217)))</formula>
    </cfRule>
    <cfRule type="containsText" dxfId="21" priority="31" operator="containsText" text="Pass">
      <formula>NOT(ISERROR(SEARCH("Pass",Q217)))</formula>
    </cfRule>
  </conditionalFormatting>
  <conditionalFormatting sqref="V340">
    <cfRule type="cellIs" dxfId="20" priority="29" stopIfTrue="1" operator="equal">
      <formula>"Fail"</formula>
    </cfRule>
  </conditionalFormatting>
  <conditionalFormatting sqref="V340">
    <cfRule type="cellIs" dxfId="19" priority="28" stopIfTrue="1" operator="equal">
      <formula>"Pass"</formula>
    </cfRule>
  </conditionalFormatting>
  <conditionalFormatting sqref="U349:X349">
    <cfRule type="cellIs" dxfId="18" priority="26" operator="greaterThan">
      <formula>0.02</formula>
    </cfRule>
    <cfRule type="cellIs" dxfId="17" priority="27" operator="lessThan">
      <formula>0.02</formula>
    </cfRule>
  </conditionalFormatting>
  <conditionalFormatting sqref="T347">
    <cfRule type="cellIs" dxfId="16" priority="24" operator="lessThan">
      <formula>7</formula>
    </cfRule>
    <cfRule type="cellIs" dxfId="15" priority="25" operator="greaterThan">
      <formula>7</formula>
    </cfRule>
  </conditionalFormatting>
  <conditionalFormatting sqref="Y347">
    <cfRule type="cellIs" dxfId="14" priority="22" operator="lessThan">
      <formula>2</formula>
    </cfRule>
    <cfRule type="cellIs" dxfId="13" priority="23" operator="greaterThan">
      <formula>2</formula>
    </cfRule>
  </conditionalFormatting>
  <conditionalFormatting sqref="U253:W257">
    <cfRule type="cellIs" dxfId="12" priority="21" operator="greaterThan">
      <formula>0.07</formula>
    </cfRule>
  </conditionalFormatting>
  <conditionalFormatting sqref="J343">
    <cfRule type="cellIs" dxfId="11" priority="10" stopIfTrue="1" operator="equal">
      <formula>"Fail"</formula>
    </cfRule>
  </conditionalFormatting>
  <conditionalFormatting sqref="J343">
    <cfRule type="cellIs" dxfId="10" priority="9" stopIfTrue="1" operator="equal">
      <formula>"Pass"</formula>
    </cfRule>
  </conditionalFormatting>
  <conditionalFormatting sqref="E343">
    <cfRule type="cellIs" dxfId="9" priority="12" stopIfTrue="1" operator="equal">
      <formula>"Fail"</formula>
    </cfRule>
  </conditionalFormatting>
  <conditionalFormatting sqref="E343">
    <cfRule type="cellIs" dxfId="8" priority="11" stopIfTrue="1" operator="equal">
      <formula>"Pass"</formula>
    </cfRule>
  </conditionalFormatting>
  <conditionalFormatting sqref="R147:R154">
    <cfRule type="cellIs" dxfId="7" priority="7" operator="lessThan">
      <formula>0.5</formula>
    </cfRule>
    <cfRule type="cellIs" dxfId="6" priority="8" operator="greaterThan">
      <formula>0.5</formula>
    </cfRule>
  </conditionalFormatting>
  <conditionalFormatting sqref="Q260:S260">
    <cfRule type="cellIs" dxfId="5" priority="5" operator="lessThan">
      <formula>0.07</formula>
    </cfRule>
    <cfRule type="cellIs" dxfId="4" priority="6" operator="greaterThan">
      <formula>0.07</formula>
    </cfRule>
  </conditionalFormatting>
  <conditionalFormatting sqref="X325">
    <cfRule type="cellIs" dxfId="3" priority="3" operator="lessThan">
      <formula>0.05</formula>
    </cfRule>
    <cfRule type="cellIs" dxfId="2" priority="4" operator="greaterThan">
      <formula>0.05</formula>
    </cfRule>
  </conditionalFormatting>
  <conditionalFormatting sqref="X331">
    <cfRule type="cellIs" dxfId="1" priority="1" operator="lessThan">
      <formula>0.05</formula>
    </cfRule>
    <cfRule type="cellIs" dxfId="0" priority="2" operator="greaterThan">
      <formula>0.05</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X32" sqref="X32"/>
    </sheetView>
  </sheetViews>
  <sheetFormatPr defaultRowHeight="14.25"/>
  <sheetData>
    <row r="1" spans="1:23">
      <c r="A1" s="638">
        <f>Sheet1!AH10</f>
        <v>24</v>
      </c>
      <c r="B1" t="s">
        <v>25</v>
      </c>
      <c r="I1" s="638">
        <f>Sheet1!AH57</f>
        <v>28</v>
      </c>
      <c r="J1" t="s">
        <v>25</v>
      </c>
      <c r="Q1" s="638">
        <f>Sheet1!AH91</f>
        <v>28</v>
      </c>
      <c r="R1" t="s">
        <v>25</v>
      </c>
    </row>
    <row r="2" spans="1:23" ht="15" thickBot="1">
      <c r="A2" t="s">
        <v>582</v>
      </c>
      <c r="B2" t="s">
        <v>583</v>
      </c>
      <c r="C2" t="s">
        <v>584</v>
      </c>
      <c r="D2" t="s">
        <v>585</v>
      </c>
      <c r="E2" t="s">
        <v>25</v>
      </c>
      <c r="G2" t="str">
        <f>IF(E3&lt;&gt;"","HVL @ "&amp;ROUND(E3,2)&amp;" kVp","HVL @ "&amp;A1&amp;" kVp")</f>
        <v>HVL @ 24 kVp</v>
      </c>
      <c r="I2" t="s">
        <v>582</v>
      </c>
      <c r="J2" t="s">
        <v>583</v>
      </c>
      <c r="K2" t="s">
        <v>584</v>
      </c>
      <c r="L2" t="s">
        <v>585</v>
      </c>
      <c r="M2" t="s">
        <v>25</v>
      </c>
      <c r="O2" t="str">
        <f>IF(M3&lt;&gt;"","HVL @ "&amp;ROUND(M3,2)&amp;" kVp","HVL @ "&amp;I1&amp;" kVp")</f>
        <v>HVL @ 28 kVp</v>
      </c>
      <c r="Q2" t="s">
        <v>582</v>
      </c>
      <c r="R2" t="s">
        <v>583</v>
      </c>
      <c r="S2" t="s">
        <v>584</v>
      </c>
      <c r="T2" t="s">
        <v>585</v>
      </c>
      <c r="U2" t="s">
        <v>25</v>
      </c>
      <c r="W2" t="str">
        <f>IF(U3&lt;&gt;"","HVL @ "&amp;ROUND(U3,2)&amp;" kVp","HVL @ "&amp;Q1&amp;" kVp")</f>
        <v>HVL @ 28 kVp</v>
      </c>
    </row>
    <row r="3" spans="1:23" ht="15" thickBot="1">
      <c r="A3" s="636">
        <f>Sheet1!AJ10</f>
        <v>0</v>
      </c>
      <c r="B3" s="636" t="str">
        <f>IF(MIN(Sheet1!AO10:AO11)=0,"",AVERAGE(Sheet1!AO10:AO11))</f>
        <v/>
      </c>
      <c r="C3" s="636" t="str">
        <f>IF(B3="","",ABS(B3-B3/2))</f>
        <v/>
      </c>
      <c r="D3" s="636" t="str">
        <f>IF(OR(B3="",B4=""),"",IF(ABS(B3-B3/2)=SMALL(C3:C6,1),A3,IF(ABS(B4-B3/2)=SMALL(C3:C6,1),A4,IF(ABS(B5-B3/2)=SMALL(C3:C6,1),A5,IF(ABS(B6-B3/2)=SMALL(C3:C6,1),A6,"")))))</f>
        <v/>
      </c>
      <c r="E3" s="636" t="str">
        <f>IF(OR(Sheet1!AO10="",Sheet1!AO11=""),"",AVERAGE(Sheet1!AO10:AO11))</f>
        <v/>
      </c>
      <c r="G3" s="637" t="str">
        <f>IF(OR(MIN(D3:D4)=0,MIN(D7:D8)=0),"",TREND(D3:D4,E7:E8,LN(B3/2)))</f>
        <v/>
      </c>
      <c r="I3" s="636">
        <f>Sheet1!AJ57</f>
        <v>0</v>
      </c>
      <c r="J3" s="636" t="str">
        <f>IF(MIN(Sheet1!AO57:AO58)=0,"",AVERAGE(Sheet1!AO57:AO58))</f>
        <v/>
      </c>
      <c r="K3" s="636" t="str">
        <f>IF(J3="","",ABS(J3-J3/2))</f>
        <v/>
      </c>
      <c r="L3" s="636" t="str">
        <f>IF(OR(J3="",J4=""),"",IF(ABS(J3-J3/2)=SMALL(K3:K6,1),I3,IF(ABS(J4-J3/2)=SMALL(K3:K6,1),I4,IF(ABS(J5-J3/2)=SMALL(K3:K6,1),I5,IF(ABS(J6-J3/2)=SMALL(K3:K6,1),I6,"")))))</f>
        <v/>
      </c>
      <c r="M3" s="636" t="str">
        <f>IF(OR(Sheet1!AO57="",Sheet1!AO58=""),"",AVERAGE(Sheet1!AO57:AO58))</f>
        <v/>
      </c>
      <c r="O3" s="637" t="str">
        <f>IF(OR(MIN(L3:L4)=0,MIN(L7:L8)=0),"",TREND(L3:L4,M7:M8,LN(J3/2)))</f>
        <v/>
      </c>
      <c r="Q3" s="636">
        <f>Sheet1!AJ91</f>
        <v>0</v>
      </c>
      <c r="R3" s="636" t="str">
        <f>IF(MIN(Sheet1!AO91:AO94)=0,"",AVERAGE(Sheet1!AO91:AO94))</f>
        <v/>
      </c>
      <c r="S3" s="636" t="str">
        <f>IF(R3="","",ABS(R3-R3/2))</f>
        <v/>
      </c>
      <c r="T3" s="636" t="str">
        <f>IF(OR(R3="",R4=""),"",IF(ABS(R3-R3/2)=SMALL(S3:S6,1),Q3,IF(ABS(R4-R3/2)=SMALL(S3:S6,1),Q4,IF(ABS(R5-R3/2)=SMALL(S3:S6,1),Q5,IF(ABS(R6-R3/2)=SMALL(S3:S6,1),Q6,"")))))</f>
        <v/>
      </c>
      <c r="U3" s="636" t="str">
        <f>IF(OR(Sheet1!AW57="",Sheet1!AW58=""),"",AVERAGE(Sheet1!AW57:AW58))</f>
        <v/>
      </c>
      <c r="W3" s="637" t="str">
        <f>IF(OR(MIN(T3:T4)=0,MIN(T7:T8)=0),"",TREND(T3:T4,U7:U8,LN(R3/2)))</f>
        <v/>
      </c>
    </row>
    <row r="4" spans="1:23">
      <c r="A4" s="636">
        <f>Sheet1!AJ12</f>
        <v>0.2</v>
      </c>
      <c r="B4" s="636" t="str">
        <f>IF(MIN(Sheet1!AO12:AO13)=0,"",AVERAGE(Sheet1!AO12:AO13))</f>
        <v/>
      </c>
      <c r="C4" s="636" t="str">
        <f>IF(B4="","",ABS(B4-B3/2))</f>
        <v/>
      </c>
      <c r="D4" s="636" t="str">
        <f>IF(OR(B3="",B4=""),"",IF(ABS(B3-B3/2)=SMALL(C3:C6,2),A3,IF(ABS(B4-B3/2)=SMALL(C3:C6,2),A4,IF(ABS(B5-B3/2)=SMALL(C3:C6,2),A5,IF(ABS(B6-B3/2)=SMALL(C3:C6,2),A6,"")))))</f>
        <v/>
      </c>
      <c r="I4" s="636">
        <f>Sheet1!AJ59</f>
        <v>0.4</v>
      </c>
      <c r="J4" s="636" t="str">
        <f>IF(MIN(Sheet1!AO59:AO60)=0,"",AVERAGE(Sheet1!AO59:AO60))</f>
        <v/>
      </c>
      <c r="K4" s="636" t="str">
        <f>IF(J4="","",ABS(J4-J3/2))</f>
        <v/>
      </c>
      <c r="L4" s="636" t="str">
        <f>IF(OR(J3="",J4=""),"",IF(ABS(J3-J3/2)=SMALL(K3:K6,2),I3,IF(ABS(J4-J3/2)=SMALL(K3:K6,2),I4,IF(ABS(J5-J3/2)=SMALL(K3:K6,2),I5,IF(ABS(J6-J3/2)=SMALL(K3:K6,2),I6,"")))))</f>
        <v/>
      </c>
      <c r="Q4" s="636">
        <f>Sheet1!AJ95</f>
        <v>0.4</v>
      </c>
      <c r="R4" s="636" t="str">
        <f>IF(MIN(Sheet1!AO95:AO96)=0,"",AVERAGE(Sheet1!AO95:AO96))</f>
        <v/>
      </c>
      <c r="S4" s="636" t="str">
        <f>IF(R4="","",ABS(R4-R3/2))</f>
        <v/>
      </c>
      <c r="T4" s="636" t="str">
        <f>IF(OR(R3="",R4=""),"",IF(ABS(R3-R3/2)=SMALL(S3:S6,2),Q3,IF(ABS(R4-R3/2)=SMALL(S3:S6,2),Q4,IF(ABS(R5-R3/2)=SMALL(S3:S6,2),Q5,IF(ABS(R6-R3/2)=SMALL(S3:S6,2),Q6,"")))))</f>
        <v/>
      </c>
    </row>
    <row r="5" spans="1:23">
      <c r="A5" s="636" t="str">
        <f>IF(AND(Sheet1!AM14="",Sheet1!AM16=""),"",IF(Sheet1!AM14&lt;&gt;"",Sheet1!AJ14,Sheet1!AJ16))</f>
        <v/>
      </c>
      <c r="B5" s="636" t="str">
        <f>IF(AND(Sheet1!AM14="",Sheet1!AM16=""),"",IF(Sheet1!AM14&lt;&gt;"",AVERAGE(Sheet1!AO14:AO15),AVERAGE(Sheet1!AO16:AO17)))</f>
        <v/>
      </c>
      <c r="C5" s="636" t="str">
        <f>IF(B5="","",ABS(B5-B3/2))</f>
        <v/>
      </c>
      <c r="I5" s="636" t="str">
        <f>IF(AND(Sheet1!AM61="",Sheet1!AM63=""),"",IF(Sheet1!AM61&lt;&gt;"",Sheet1!AJ61,Sheet1!AJ63))</f>
        <v/>
      </c>
      <c r="J5" s="636" t="str">
        <f>IF(AND(Sheet1!AM61="",Sheet1!AM63=""),"",IF(Sheet1!AM61&lt;&gt;"",AVERAGE(Sheet1!AO61:AO62),AVERAGE(Sheet1!AO63:AO64)))</f>
        <v/>
      </c>
      <c r="K5" s="636" t="str">
        <f>IF(J5="","",ABS(J5-J3/2))</f>
        <v/>
      </c>
      <c r="Q5" s="636" t="str">
        <f>IF(AND(Sheet1!AM97="",Sheet1!AM99=""),"",IF(Sheet1!AM97&lt;&gt;"",Sheet1!AJ97,Sheet1!AJ99))</f>
        <v/>
      </c>
      <c r="R5" s="636" t="str">
        <f>IF(AND(Sheet1!AM97="",Sheet1!AM99=""),"",IF(Sheet1!AM97&lt;&gt;"",AVERAGE(Sheet1!AO97:AO98),AVERAGE(Sheet1!AO99:AO100)))</f>
        <v/>
      </c>
      <c r="S5" s="636" t="str">
        <f>IF(R5="","",ABS(R5-R3/2))</f>
        <v/>
      </c>
    </row>
    <row r="6" spans="1:23">
      <c r="A6" s="636" t="str">
        <f>IF(OR(Sheet1!AM16="",AND(Sheet1!AM14="",Sheet1!AM16&lt;&gt;"")),"",Sheet1!AJ16)</f>
        <v/>
      </c>
      <c r="B6" s="636" t="str">
        <f>IF(OR(Sheet1!AM16="",AND(Sheet1!AM14="",Sheet1!AM16&lt;&gt;"")),"",AVERAGE(Sheet1!AO16:AO17))</f>
        <v/>
      </c>
      <c r="C6" s="636" t="str">
        <f>IF(B6="","",ABS(B6-B3/2))</f>
        <v/>
      </c>
      <c r="D6" t="s">
        <v>586</v>
      </c>
      <c r="E6" t="s">
        <v>587</v>
      </c>
      <c r="I6" s="636" t="str">
        <f>IF(OR(Sheet1!AM63="",AND(Sheet1!AM61="",Sheet1!AM63&lt;&gt;"")),"",Sheet1!AJ63)</f>
        <v/>
      </c>
      <c r="J6" s="636" t="str">
        <f>IF(OR(Sheet1!AM63="",AND(Sheet1!AM61="",Sheet1!AM63&lt;&gt;"")),"",AVERAGE(Sheet1!AO63:AO64))</f>
        <v/>
      </c>
      <c r="K6" s="636" t="str">
        <f>IF(J6="","",ABS(J6-J3/2))</f>
        <v/>
      </c>
      <c r="L6" t="s">
        <v>586</v>
      </c>
      <c r="M6" t="s">
        <v>587</v>
      </c>
      <c r="Q6" s="636" t="str">
        <f>IF(OR(Sheet1!AM99="",AND(Sheet1!AM97="",Sheet1!AM99&lt;&gt;"")),"",Sheet1!AJ99)</f>
        <v/>
      </c>
      <c r="R6" s="636" t="str">
        <f>IF(OR(Sheet1!AM99="",AND(Sheet1!AM97="",Sheet1!AM99&lt;&gt;"")),"",AVERAGE(Sheet1!AO99:AO100))</f>
        <v/>
      </c>
      <c r="S6" s="636" t="str">
        <f>IF(R6="","",ABS(R6-R3/2))</f>
        <v/>
      </c>
      <c r="T6" t="s">
        <v>586</v>
      </c>
      <c r="U6" t="s">
        <v>587</v>
      </c>
    </row>
    <row r="7" spans="1:23">
      <c r="A7" s="636" t="str">
        <f>G3</f>
        <v/>
      </c>
      <c r="B7" s="636" t="str">
        <f>IF(G3="","",EXP(TREND(E7:E8,D3:D4,A7)))</f>
        <v/>
      </c>
      <c r="D7" s="636" t="str">
        <f>IF(OR(B3="",B4=""),"",IF(A3=D3,B3,IF(A4=D3,B4,IF(A5=D3,B5,IF(A6=D3,B6)))))</f>
        <v/>
      </c>
      <c r="E7" s="636" t="str">
        <f>IF(D7="","",LN(D7))</f>
        <v/>
      </c>
      <c r="I7" s="636" t="str">
        <f>O3</f>
        <v/>
      </c>
      <c r="J7" s="636" t="str">
        <f>IF(O3="","",EXP(TREND(M7:M8,L3:L4,I7)))</f>
        <v/>
      </c>
      <c r="L7" s="636" t="str">
        <f>IF(OR(J3="",J4=""),"",IF(I3=L3,J3,IF(I4=L3,J4,IF(I5=L3,J5,IF(I6=L3,J6)))))</f>
        <v/>
      </c>
      <c r="M7" s="636" t="str">
        <f>IF(L7="","",LN(L7))</f>
        <v/>
      </c>
      <c r="Q7" s="636" t="str">
        <f>W3</f>
        <v/>
      </c>
      <c r="R7" s="636" t="str">
        <f>IF(W3="","",EXP(TREND(U7:U8,T3:T4,Q7)))</f>
        <v/>
      </c>
      <c r="T7" s="636" t="str">
        <f>IF(OR(R3="",R4=""),"",IF(Q3=T3,R3,IF(Q4=T3,R4,IF(Q5=T3,R5,IF(Q6=T3,R6)))))</f>
        <v/>
      </c>
      <c r="U7" s="636" t="str">
        <f>IF(T7="","",LN(T7))</f>
        <v/>
      </c>
    </row>
    <row r="8" spans="1:23">
      <c r="D8" s="636" t="str">
        <f>IF(OR(B3="",B4=""),"",IF(A3=D4,B3,IF(A4=D4,B4,IF(A5=D4,B5,IF(A6=D4,B6)))))</f>
        <v/>
      </c>
      <c r="E8" s="636" t="str">
        <f>IF(D8="","",LN(D8))</f>
        <v/>
      </c>
      <c r="L8" s="636" t="str">
        <f>IF(OR(J3="",J4=""),"",IF(I3=L4,J3,IF(I4=L4,J4,IF(I5=L4,J5,IF(I6=L4,J6)))))</f>
        <v/>
      </c>
      <c r="M8" s="636" t="str">
        <f>IF(L8="","",LN(L8))</f>
        <v/>
      </c>
      <c r="T8" s="636" t="str">
        <f>IF(OR(R3="",R4=""),"",IF(Q3=T4,R3,IF(Q4=T4,R4,IF(Q5=T4,R5,IF(Q6=T4,R6)))))</f>
        <v/>
      </c>
      <c r="U8" s="636" t="str">
        <f>IF(T8="","",LN(T8))</f>
        <v/>
      </c>
    </row>
    <row r="9" spans="1:23">
      <c r="A9" s="638">
        <f>Sheet1!AH18</f>
        <v>25</v>
      </c>
      <c r="B9" t="s">
        <v>25</v>
      </c>
      <c r="I9" s="638">
        <f>Sheet1!AH65</f>
        <v>30</v>
      </c>
      <c r="J9" t="s">
        <v>25</v>
      </c>
      <c r="Q9" s="638">
        <f>Sheet1!AH101</f>
        <v>30</v>
      </c>
      <c r="R9" t="s">
        <v>25</v>
      </c>
    </row>
    <row r="10" spans="1:23" ht="15" thickBot="1">
      <c r="A10" t="s">
        <v>582</v>
      </c>
      <c r="B10" t="s">
        <v>583</v>
      </c>
      <c r="C10" t="s">
        <v>584</v>
      </c>
      <c r="D10" t="s">
        <v>585</v>
      </c>
      <c r="E10" t="s">
        <v>25</v>
      </c>
      <c r="G10" t="str">
        <f>IF(E11&lt;&gt;"","HVL @ "&amp;ROUND(E11,2)&amp;" kVp","HVL @ "&amp;A9&amp;" kVp")</f>
        <v>HVL @ 25 kVp</v>
      </c>
      <c r="I10" t="s">
        <v>582</v>
      </c>
      <c r="J10" t="s">
        <v>583</v>
      </c>
      <c r="K10" t="s">
        <v>584</v>
      </c>
      <c r="L10" t="s">
        <v>585</v>
      </c>
      <c r="M10" t="s">
        <v>25</v>
      </c>
      <c r="O10" t="str">
        <f>IF(M11&lt;&gt;"","HVL @ "&amp;ROUND(M11,2)&amp;" kVp","HVL @ "&amp;I9&amp;" kVp")</f>
        <v>HVL @ 30 kVp</v>
      </c>
      <c r="Q10" t="s">
        <v>582</v>
      </c>
      <c r="R10" t="s">
        <v>583</v>
      </c>
      <c r="S10" t="s">
        <v>584</v>
      </c>
      <c r="T10" t="s">
        <v>585</v>
      </c>
      <c r="U10" t="s">
        <v>25</v>
      </c>
      <c r="W10" t="str">
        <f>IF(U11&lt;&gt;"","HVL @ "&amp;ROUND(U11,2)&amp;" kVp","HVL @ "&amp;Q9&amp;" kVp")</f>
        <v>HVL @ 30 kVp</v>
      </c>
    </row>
    <row r="11" spans="1:23" ht="15" thickBot="1">
      <c r="A11" s="636">
        <f>Sheet1!AJ18</f>
        <v>0</v>
      </c>
      <c r="B11" s="636" t="str">
        <f>IF(MIN(Sheet1!AO18:AO19)=0,"",AVERAGE(Sheet1!AO18:AO19))</f>
        <v/>
      </c>
      <c r="C11" s="636" t="str">
        <f>IF(B11="","",ABS(B11-B11/2))</f>
        <v/>
      </c>
      <c r="D11" s="636" t="str">
        <f>IF(OR(B11="",B12=""),"",IF(ABS(B11-B11/2)=SMALL(C11:C14,1),A11,IF(ABS(B12-B11/2)=SMALL(C11:C14,1),A12,IF(ABS(B13-B11/2)=SMALL(C11:C14,1),A13,IF(ABS(B14-B11/2)=SMALL(C11:C14,1),A14,"")))))</f>
        <v/>
      </c>
      <c r="E11" s="636" t="str">
        <f>IF(OR(Sheet1!AO18="",Sheet1!AO19=""),"",AVERAGE(Sheet1!AO18:AO19))</f>
        <v/>
      </c>
      <c r="G11" s="637" t="str">
        <f>IF(OR(MIN(D11:D12)=0,MIN(D15:D16)=0),"",TREND(D11:D12,E15:E16,LN(B11/2)))</f>
        <v/>
      </c>
      <c r="I11" s="636">
        <f>Sheet1!AJ65</f>
        <v>0</v>
      </c>
      <c r="J11" s="636" t="str">
        <f>IF(MIN(Sheet1!AO65:AO66)=0,"",AVERAGE(Sheet1!AO65:AO66))</f>
        <v/>
      </c>
      <c r="K11" s="636" t="str">
        <f>IF(J11="","",ABS(J11-J11/2))</f>
        <v/>
      </c>
      <c r="L11" s="636" t="str">
        <f>IF(OR(J11="",J12=""),"",IF(ABS(J11-J11/2)=SMALL(K11:K14,1),I11,IF(ABS(J12-J11/2)=SMALL(K11:K14,1),I12,IF(ABS(J13-J11/2)=SMALL(K11:K14,1),I13,IF(ABS(J14-J11/2)=SMALL(K11:K14,1),I14,"")))))</f>
        <v/>
      </c>
      <c r="M11" s="636" t="str">
        <f>IF(OR(Sheet1!AO65="",Sheet1!AO66=""),"",AVERAGE(Sheet1!AO65:AO66))</f>
        <v/>
      </c>
      <c r="O11" s="637" t="str">
        <f>IF(OR(MIN(L11:L12)=0,MIN(L15:L16)=0),"",TREND(L11:L12,M15:M16,LN(J11/2)))</f>
        <v/>
      </c>
      <c r="Q11" s="636">
        <f>Sheet1!AJ101</f>
        <v>0</v>
      </c>
      <c r="R11" s="636" t="str">
        <f>IF(MIN(Sheet1!AO101:AO102)=0,"",AVERAGE(Sheet1!AO101:AO102))</f>
        <v/>
      </c>
      <c r="S11" s="636" t="str">
        <f>IF(R11="","",ABS(R11-R11/2))</f>
        <v/>
      </c>
      <c r="T11" s="636" t="str">
        <f>IF(OR(R11="",R12=""),"",IF(ABS(R11-R11/2)=SMALL(S11:S14,1),Q11,IF(ABS(R12-R11/2)=SMALL(S11:S14,1),Q12,IF(ABS(R13-R11/2)=SMALL(S11:S14,1),Q13,IF(ABS(R14-R11/2)=SMALL(S11:S14,1),Q14,"")))))</f>
        <v/>
      </c>
      <c r="U11" s="636" t="str">
        <f>IF(OR(Sheet1!AW65="",Sheet1!AW66=""),"",AVERAGE(Sheet1!AW65:AW66))</f>
        <v/>
      </c>
      <c r="W11" s="637" t="str">
        <f>IF(OR(MIN(T11:T12)=0,MIN(T15:T16)=0),"",TREND(T11:T12,U15:U16,LN(R11/2)))</f>
        <v/>
      </c>
    </row>
    <row r="12" spans="1:23">
      <c r="A12" s="636">
        <f>Sheet1!AJ20</f>
        <v>0.2</v>
      </c>
      <c r="B12" s="636" t="str">
        <f>IF(MIN(Sheet1!AO20:AO21)=0,"",AVERAGE(Sheet1!AO20:AO21))</f>
        <v/>
      </c>
      <c r="C12" s="636" t="str">
        <f>IF(B12="","",ABS(B12-B11/2))</f>
        <v/>
      </c>
      <c r="D12" s="636" t="str">
        <f>IF(OR(B11="",B12=""),"",IF(ABS(B11-B11/2)=SMALL(C11:C14,2),A11,IF(ABS(B12-B11/2)=SMALL(C11:C14,2),A12,IF(ABS(B13-B11/2)=SMALL(C11:C14,2),A13,IF(ABS(B14-B11/2)=SMALL(C11:C14,2),A14,"")))))</f>
        <v/>
      </c>
      <c r="I12" s="636">
        <f>Sheet1!AJ67</f>
        <v>0.5</v>
      </c>
      <c r="J12" s="636" t="str">
        <f>IF(MIN(Sheet1!AO67:AO68)=0,"",AVERAGE(Sheet1!AO67:AO68))</f>
        <v/>
      </c>
      <c r="K12" s="636" t="str">
        <f>IF(J12="","",ABS(J12-J11/2))</f>
        <v/>
      </c>
      <c r="L12" s="636" t="str">
        <f>IF(OR(J11="",J12=""),"",IF(ABS(J11-J11/2)=SMALL(K11:K14,2),I11,IF(ABS(J12-J11/2)=SMALL(K11:K14,2),I12,IF(ABS(J13-J11/2)=SMALL(K11:K14,2),I13,IF(ABS(J14-J11/2)=SMALL(K11:K14,2),I14,"")))))</f>
        <v/>
      </c>
      <c r="Q12" s="636">
        <f>Sheet1!AJ103</f>
        <v>0.4</v>
      </c>
      <c r="R12" s="636" t="str">
        <f>IF(MIN(Sheet1!AO103:AO104)=0,"",AVERAGE(Sheet1!AO103:AO104))</f>
        <v/>
      </c>
      <c r="S12" s="636" t="str">
        <f>IF(R12="","",ABS(R12-R11/2))</f>
        <v/>
      </c>
      <c r="T12" s="636" t="str">
        <f>IF(OR(R11="",R12=""),"",IF(ABS(R11-R11/2)=SMALL(S11:S14,2),Q11,IF(ABS(R12-R11/2)=SMALL(S11:S14,2),Q12,IF(ABS(R13-R11/2)=SMALL(S11:S14,2),Q13,IF(ABS(R14-R11/2)=SMALL(S11:S14,2),Q14,"")))))</f>
        <v/>
      </c>
    </row>
    <row r="13" spans="1:23">
      <c r="A13" s="636" t="str">
        <f>IF(AND(Sheet1!AM22="",Sheet1!AM24=""),"",IF(Sheet1!AM22&lt;&gt;"",Sheet1!AJ22,Sheet1!AJ24))</f>
        <v/>
      </c>
      <c r="B13" s="636" t="str">
        <f>IF(AND(Sheet1!AM22="",Sheet1!AM24=""),"",IF(Sheet1!AM22&lt;&gt;"",AVERAGE(Sheet1!AO22:AO23),AVERAGE(Sheet1!AO24:AO25)))</f>
        <v/>
      </c>
      <c r="C13" s="636" t="str">
        <f>IF(B13="","",ABS(B13-B11/2))</f>
        <v/>
      </c>
      <c r="I13" s="636" t="str">
        <f>IF(AND(Sheet1!AM69="",Sheet1!AM71=""),"",IF(Sheet1!AM69&lt;&gt;"",Sheet1!AJ69,Sheet1!AJ71))</f>
        <v/>
      </c>
      <c r="J13" s="636" t="str">
        <f>IF(AND(Sheet1!AM69="",Sheet1!AM71=""),"",IF(Sheet1!AM69&lt;&gt;"",AVERAGE(Sheet1!AO69:AO70),AVERAGE(Sheet1!AO71:AO72)))</f>
        <v/>
      </c>
      <c r="K13" s="636" t="str">
        <f>IF(J13="","",ABS(J13-J11/2))</f>
        <v/>
      </c>
      <c r="Q13" s="636" t="str">
        <f>IF(AND(Sheet1!AM105="",Sheet1!AM107=""),"",IF(Sheet1!AM105&lt;&gt;"",Sheet1!AJ105,Sheet1!AJ107))</f>
        <v/>
      </c>
      <c r="R13" s="636" t="str">
        <f>IF(AND(Sheet1!AM105="",Sheet1!AM107=""),"",IF(Sheet1!AM105&lt;&gt;"",AVERAGE(Sheet1!AO105:AO106),AVERAGE(Sheet1!AO107:AO108)))</f>
        <v/>
      </c>
      <c r="S13" s="636" t="str">
        <f>IF(R13="","",ABS(R13-R11/2))</f>
        <v/>
      </c>
    </row>
    <row r="14" spans="1:23">
      <c r="A14" s="636" t="str">
        <f>IF(OR(Sheet1!AM24="",AND(Sheet1!AM22="",Sheet1!AM24&lt;&gt;"")),"",Sheet1!AJ24)</f>
        <v/>
      </c>
      <c r="B14" s="636" t="str">
        <f>IF(OR(Sheet1!AM24="",AND(Sheet1!AM22="",Sheet1!AM24&lt;&gt;"")),"",AVERAGE(Sheet1!AO24:AO25))</f>
        <v/>
      </c>
      <c r="C14" s="636" t="str">
        <f>IF(B14="","",ABS(B14-B11/2))</f>
        <v/>
      </c>
      <c r="D14" t="s">
        <v>586</v>
      </c>
      <c r="E14" t="s">
        <v>587</v>
      </c>
      <c r="I14" s="636" t="str">
        <f>IF(OR(Sheet1!AM71="",AND(Sheet1!AM69="",Sheet1!AM71&lt;&gt;"")),"",Sheet1!AJ71)</f>
        <v/>
      </c>
      <c r="J14" s="636" t="str">
        <f>IF(OR(Sheet1!AM71="",AND(Sheet1!AM69="",Sheet1!AM71&lt;&gt;"")),"",AVERAGE(Sheet1!AO71:AO72))</f>
        <v/>
      </c>
      <c r="K14" s="636" t="str">
        <f>IF(J14="","",ABS(J14-J11/2))</f>
        <v/>
      </c>
      <c r="L14" t="s">
        <v>586</v>
      </c>
      <c r="M14" t="s">
        <v>587</v>
      </c>
      <c r="Q14" s="636" t="str">
        <f>IF(OR(Sheet1!AM107="",AND(Sheet1!AM105="",Sheet1!AM107&lt;&gt;"")),"",Sheet1!AJ107)</f>
        <v/>
      </c>
      <c r="R14" s="636" t="str">
        <f>IF(OR(Sheet1!AM107="",AND(Sheet1!AM105="",Sheet1!AM107&lt;&gt;"")),"",AVERAGE(Sheet1!AO107:AO108))</f>
        <v/>
      </c>
      <c r="S14" s="636" t="str">
        <f>IF(R14="","",ABS(R14-R11/2))</f>
        <v/>
      </c>
      <c r="T14" t="s">
        <v>586</v>
      </c>
      <c r="U14" t="s">
        <v>587</v>
      </c>
    </row>
    <row r="15" spans="1:23">
      <c r="A15" s="636" t="str">
        <f>G11</f>
        <v/>
      </c>
      <c r="B15" s="636" t="str">
        <f>IF(G11="","",EXP(TREND(E15:E16,D11:D12,A15)))</f>
        <v/>
      </c>
      <c r="D15" s="636" t="str">
        <f>IF(OR(B11="",B12=""),"",IF(A11=D11,B11,IF(A12=D11,B12,IF(A13=D11,B13,IF(A14=D11,B14)))))</f>
        <v/>
      </c>
      <c r="E15" s="636" t="str">
        <f>IF(D15="","",LN(D15))</f>
        <v/>
      </c>
      <c r="I15" s="636" t="str">
        <f>O11</f>
        <v/>
      </c>
      <c r="J15" s="636" t="str">
        <f>IF(O11="","",EXP(TREND(M15:M16,L11:L12,I15)))</f>
        <v/>
      </c>
      <c r="L15" s="636" t="str">
        <f>IF(OR(J11="",J12=""),"",IF(I11=L11,J11,IF(I12=L11,J12,IF(I13=L11,J13,IF(I14=L11,J14)))))</f>
        <v/>
      </c>
      <c r="M15" s="636" t="str">
        <f>IF(L15="","",LN(L15))</f>
        <v/>
      </c>
      <c r="Q15" s="636" t="str">
        <f>W11</f>
        <v/>
      </c>
      <c r="R15" s="636" t="str">
        <f>IF(W11="","",EXP(TREND(U15:U16,T11:T12,Q15)))</f>
        <v/>
      </c>
      <c r="T15" s="636" t="str">
        <f>IF(OR(R11="",R12=""),"",IF(Q11=T11,R11,IF(Q12=T11,R12,IF(Q13=T11,R13,IF(Q14=T11,R14)))))</f>
        <v/>
      </c>
      <c r="U15" s="636" t="str">
        <f>IF(T15="","",LN(T15))</f>
        <v/>
      </c>
    </row>
    <row r="16" spans="1:23">
      <c r="D16" s="636" t="str">
        <f>IF(OR(B11="",B12=""),"",IF(A11=D12,B11,IF(A12=D12,B12,IF(A13=D12,B13,IF(A14=D12,B14)))))</f>
        <v/>
      </c>
      <c r="E16" s="636" t="str">
        <f>IF(D16="","",LN(D16))</f>
        <v/>
      </c>
      <c r="L16" s="636" t="str">
        <f>IF(OR(J11="",J12=""),"",IF(I11=L12,J11,IF(I12=L12,J12,IF(I13=L12,J13,IF(I14=L12,J14)))))</f>
        <v/>
      </c>
      <c r="M16" s="636" t="str">
        <f>IF(L16="","",LN(L16))</f>
        <v/>
      </c>
      <c r="T16" s="636" t="str">
        <f>IF(OR(R11="",R12=""),"",IF(Q11=T12,R11,IF(Q12=T12,R12,IF(Q13=T12,R13,IF(Q14=T12,R14)))))</f>
        <v/>
      </c>
      <c r="U16" s="636" t="str">
        <f>IF(T16="","",LN(T16))</f>
        <v/>
      </c>
    </row>
    <row r="17" spans="1:23">
      <c r="A17" s="638">
        <f>Sheet1!AH28</f>
        <v>28</v>
      </c>
      <c r="B17" t="s">
        <v>25</v>
      </c>
      <c r="I17" s="638">
        <f>Sheet1!AH73</f>
        <v>32</v>
      </c>
      <c r="J17" t="s">
        <v>25</v>
      </c>
      <c r="Q17" s="638">
        <f>Sheet1!AH109</f>
        <v>32</v>
      </c>
      <c r="R17" t="s">
        <v>25</v>
      </c>
    </row>
    <row r="18" spans="1:23" ht="15" thickBot="1">
      <c r="A18" t="s">
        <v>582</v>
      </c>
      <c r="B18" t="s">
        <v>583</v>
      </c>
      <c r="C18" t="s">
        <v>584</v>
      </c>
      <c r="D18" t="s">
        <v>585</v>
      </c>
      <c r="E18" t="s">
        <v>25</v>
      </c>
      <c r="G18" t="str">
        <f>IF(E19&lt;&gt;"","HVL @ "&amp;ROUND(E19,2)&amp;" kVp","HVL @ "&amp;A17&amp;" kVp")</f>
        <v>HVL @ 28 kVp</v>
      </c>
      <c r="I18" t="s">
        <v>582</v>
      </c>
      <c r="J18" t="s">
        <v>583</v>
      </c>
      <c r="K18" t="s">
        <v>584</v>
      </c>
      <c r="L18" t="s">
        <v>585</v>
      </c>
      <c r="M18" t="s">
        <v>25</v>
      </c>
      <c r="O18" t="str">
        <f>IF(M19&lt;&gt;"","HVL @ "&amp;ROUND(M19,2)&amp;" kVp","HVL @ "&amp;I17&amp;" kVp")</f>
        <v>HVL @ 32 kVp</v>
      </c>
      <c r="Q18" t="s">
        <v>582</v>
      </c>
      <c r="R18" t="s">
        <v>583</v>
      </c>
      <c r="S18" t="s">
        <v>584</v>
      </c>
      <c r="T18" t="s">
        <v>585</v>
      </c>
      <c r="U18" t="s">
        <v>25</v>
      </c>
      <c r="W18" t="str">
        <f>IF(U19&lt;&gt;"","HVL @ "&amp;ROUND(U19,2)&amp;" kVp","HVL @ "&amp;Q17&amp;" kVp")</f>
        <v>HVL @ 32 kVp</v>
      </c>
    </row>
    <row r="19" spans="1:23" ht="15" thickBot="1">
      <c r="A19" s="636">
        <f>Sheet1!AJ28</f>
        <v>0</v>
      </c>
      <c r="B19" s="636" t="str">
        <f>IF(MIN(Sheet1!AO28:AO31)=0,"",AVERAGE(Sheet1!AO28:AO31))</f>
        <v/>
      </c>
      <c r="C19" s="636" t="str">
        <f>IF(B19="","",ABS(B19-B19/2))</f>
        <v/>
      </c>
      <c r="D19" s="636" t="str">
        <f>IF(OR(B19="",B20=""),"",IF(ABS(B19-B19/2)=SMALL(C19:C22,1),A19,IF(ABS(B20-B19/2)=SMALL(C19:C22,1),A20,IF(ABS(B21-B19/2)=SMALL(C19:C22,1),A21,IF(ABS(B22-B19/2)=SMALL(C19:C22,1),A22,"")))))</f>
        <v/>
      </c>
      <c r="E19" s="636" t="str">
        <f>IF(OR(Sheet1!AO26="",Sheet1!AO27=""),"",AVERAGE(Sheet1!AO26:AO27))</f>
        <v/>
      </c>
      <c r="G19" s="637" t="str">
        <f>IF(OR(MIN(D19:D20)=0,MIN(D23:D24)=0),"",TREND(D19:D20,E23:E24,LN(B19/2)))</f>
        <v/>
      </c>
      <c r="I19" s="636">
        <f>Sheet1!AJ73</f>
        <v>0</v>
      </c>
      <c r="J19" s="636" t="str">
        <f>IF(MIN(Sheet1!AO73:AO74)=0,"",AVERAGE(Sheet1!AO73:AO74))</f>
        <v/>
      </c>
      <c r="K19" s="636" t="str">
        <f>IF(J19="","",ABS(J19-J19/2))</f>
        <v/>
      </c>
      <c r="L19" s="636" t="str">
        <f>IF(OR(J19="",J20=""),"",IF(ABS(J19-J19/2)=SMALL(K19:K22,1),I19,IF(ABS(J20-J19/2)=SMALL(K19:K22,1),I20,IF(ABS(J21-J19/2)=SMALL(K19:K22,1),I21,IF(ABS(J22-J19/2)=SMALL(K19:K22,1),I22,"")))))</f>
        <v/>
      </c>
      <c r="M19" s="636" t="str">
        <f>IF(OR(Sheet1!AO73="",Sheet1!AO74=""),"",AVERAGE(Sheet1!AO73:AO74))</f>
        <v/>
      </c>
      <c r="O19" s="637" t="str">
        <f>IF(OR(MIN(L19:L20)=0,MIN(L23:L24)=0),"",TREND(L19:L20,M23:M24,LN(J19/2)))</f>
        <v/>
      </c>
      <c r="Q19" s="636">
        <f>Sheet1!AJ109</f>
        <v>0</v>
      </c>
      <c r="R19" s="636" t="str">
        <f>IF(MIN(Sheet1!AO109:AO110)=0,"",AVERAGE(Sheet1!AO109:AO110))</f>
        <v/>
      </c>
      <c r="S19" s="636" t="str">
        <f>IF(R19="","",ABS(R19-R19/2))</f>
        <v/>
      </c>
      <c r="T19" s="636" t="str">
        <f>IF(OR(R19="",R20=""),"",IF(ABS(R19-R19/2)=SMALL(S19:S22,1),Q19,IF(ABS(R20-R19/2)=SMALL(S19:S22,1),Q20,IF(ABS(R21-R19/2)=SMALL(S19:S22,1),Q21,IF(ABS(R22-R19/2)=SMALL(S19:S22,1),Q22,"")))))</f>
        <v/>
      </c>
      <c r="U19" s="636" t="str">
        <f>IF(OR(Sheet1!AW73="",Sheet1!AW74=""),"",AVERAGE(Sheet1!AW73:AW74))</f>
        <v/>
      </c>
      <c r="W19" s="637" t="str">
        <f>IF(OR(MIN(T19:T20)=0,MIN(T23:T24)=0),"",TREND(T19:T20,U23:U24,LN(R19/2)))</f>
        <v/>
      </c>
    </row>
    <row r="20" spans="1:23">
      <c r="A20" s="636">
        <f>Sheet1!AJ32</f>
        <v>0.3</v>
      </c>
      <c r="B20" s="636" t="str">
        <f>IF(MIN(Sheet1!AO32:AO33)=0,"",AVERAGE(Sheet1!AO32:AO33))</f>
        <v/>
      </c>
      <c r="C20" s="636" t="str">
        <f>IF(B20="","",ABS(B20-B19/2))</f>
        <v/>
      </c>
      <c r="D20" s="636" t="str">
        <f>IF(OR(B19="",B20=""),"",IF(ABS(B19-B19/2)=SMALL(C19:C22,2),A19,IF(ABS(B20-B19/2)=SMALL(C19:C22,2),A20,IF(ABS(B21-B19/2)=SMALL(C19:C22,2),A21,IF(ABS(B22-B19/2)=SMALL(C19:C22,2),A22,"")))))</f>
        <v/>
      </c>
      <c r="I20" s="636">
        <f>Sheet1!AJ75</f>
        <v>0.5</v>
      </c>
      <c r="J20" s="636" t="str">
        <f>IF(MIN(Sheet1!AO75:AO76)=0,"",AVERAGE(Sheet1!AO75:AO76))</f>
        <v/>
      </c>
      <c r="K20" s="636" t="str">
        <f>IF(J20="","",ABS(J20-J19/2))</f>
        <v/>
      </c>
      <c r="L20" s="636" t="str">
        <f>IF(OR(J19="",J20=""),"",IF(ABS(J19-J19/2)=SMALL(K19:K22,2),I19,IF(ABS(J20-J19/2)=SMALL(K19:K22,2),I20,IF(ABS(J21-J19/2)=SMALL(K19:K22,2),I21,IF(ABS(J22-J19/2)=SMALL(K19:K22,2),I22,"")))))</f>
        <v/>
      </c>
      <c r="Q20" s="636">
        <f>Sheet1!AJ111</f>
        <v>0.5</v>
      </c>
      <c r="R20" s="636" t="str">
        <f>IF(MIN(Sheet1!AO111:AO112)=0,"",AVERAGE(Sheet1!AO111:AO112))</f>
        <v/>
      </c>
      <c r="S20" s="636" t="str">
        <f>IF(R20="","",ABS(R20-R19/2))</f>
        <v/>
      </c>
      <c r="T20" s="636" t="str">
        <f>IF(OR(R19="",R20=""),"",IF(ABS(R19-R19/2)=SMALL(S19:S22,2),Q19,IF(ABS(R20-R19/2)=SMALL(S19:S22,2),Q20,IF(ABS(R21-R19/2)=SMALL(S19:S22,2),Q21,IF(ABS(R22-R19/2)=SMALL(S19:S22,2),Q22,"")))))</f>
        <v/>
      </c>
    </row>
    <row r="21" spans="1:23">
      <c r="A21" s="636" t="str">
        <f>IF(AND(Sheet1!AM34="",Sheet1!AM36=""),"",IF(Sheet1!AM34&lt;&gt;"",Sheet1!AJ34,Sheet1!AJ36))</f>
        <v/>
      </c>
      <c r="B21" s="636" t="str">
        <f>IF(AND(Sheet1!AM34="",Sheet1!AM36=""),"",IF(Sheet1!AM34&lt;&gt;"",AVERAGE(Sheet1!AO34:AO35),AVERAGE(Sheet1!AO36:AO37)))</f>
        <v/>
      </c>
      <c r="C21" s="636" t="str">
        <f>IF(B21="","",ABS(B21-B19/2))</f>
        <v/>
      </c>
      <c r="I21" s="636" t="str">
        <f>IF(AND(Sheet1!AM77="",Sheet1!AM79=""),"",IF(Sheet1!AM77&lt;&gt;"",Sheet1!AJ77,Sheet1!AJ79))</f>
        <v/>
      </c>
      <c r="J21" s="636" t="str">
        <f>IF(AND(Sheet1!AM77="",Sheet1!AM79=""),"",IF(Sheet1!AM77&lt;&gt;"",AVERAGE(Sheet1!AO77:AO78),AVERAGE(Sheet1!AO79:AO80)))</f>
        <v/>
      </c>
      <c r="K21" s="636" t="str">
        <f>IF(J21="","",ABS(J21-J19/2))</f>
        <v/>
      </c>
      <c r="Q21" s="636" t="str">
        <f>IF(AND(Sheet1!AM113="",Sheet1!AM115=""),"",IF(Sheet1!AM113&lt;&gt;"",Sheet1!AJ113,Sheet1!AJ115))</f>
        <v/>
      </c>
      <c r="R21" s="636" t="str">
        <f>IF(AND(Sheet1!AM113="",Sheet1!AM115=""),"",IF(Sheet1!AM113&lt;&gt;"",AVERAGE(Sheet1!AO113:AO114),AVERAGE(Sheet1!AO115:AO116)))</f>
        <v/>
      </c>
      <c r="S21" s="636" t="str">
        <f>IF(R21="","",ABS(R21-R19/2))</f>
        <v/>
      </c>
    </row>
    <row r="22" spans="1:23">
      <c r="A22" s="636" t="str">
        <f>IF(OR(Sheet1!AM36="",AND(Sheet1!AM34="",Sheet1!AM36&lt;&gt;"")),"",Sheet1!AJ36)</f>
        <v/>
      </c>
      <c r="B22" s="636" t="str">
        <f>IF(OR(Sheet1!AM36="",AND(Sheet1!AM34="",Sheet1!AM36&lt;&gt;"")),"",AVERAGE(Sheet1!AO36:AO37))</f>
        <v/>
      </c>
      <c r="C22" s="636" t="str">
        <f>IF(B22="","",ABS(B22-B19/2))</f>
        <v/>
      </c>
      <c r="D22" t="s">
        <v>586</v>
      </c>
      <c r="E22" t="s">
        <v>587</v>
      </c>
      <c r="I22" s="636" t="str">
        <f>IF(OR(Sheet1!AM79="",AND(Sheet1!AM77="",Sheet1!AM79&lt;&gt;"")),"",Sheet1!AJ79)</f>
        <v/>
      </c>
      <c r="J22" s="636" t="str">
        <f>IF(OR(Sheet1!AM79="",AND(Sheet1!AM77="",Sheet1!AM79&lt;&gt;"")),"",AVERAGE(Sheet1!AO79:AO80))</f>
        <v/>
      </c>
      <c r="K22" s="636" t="str">
        <f>IF(J22="","",ABS(J22-J19/2))</f>
        <v/>
      </c>
      <c r="L22" t="s">
        <v>586</v>
      </c>
      <c r="M22" t="s">
        <v>587</v>
      </c>
      <c r="Q22" s="636" t="str">
        <f>IF(OR(Sheet1!AM115="",AND(Sheet1!AM113="",Sheet1!AM115&lt;&gt;"")),"",Sheet1!AJ115)</f>
        <v/>
      </c>
      <c r="R22" s="636" t="str">
        <f>IF(OR(Sheet1!AM115="",AND(Sheet1!AM113="",Sheet1!AM115&lt;&gt;"")),"",AVERAGE(Sheet1!AO115:AO116))</f>
        <v/>
      </c>
      <c r="S22" s="636" t="str">
        <f>IF(R22="","",ABS(R22-R19/2))</f>
        <v/>
      </c>
      <c r="T22" t="s">
        <v>586</v>
      </c>
      <c r="U22" t="s">
        <v>587</v>
      </c>
    </row>
    <row r="23" spans="1:23">
      <c r="A23" s="636" t="str">
        <f>G19</f>
        <v/>
      </c>
      <c r="B23" s="636" t="str">
        <f>IF(G19="","",EXP(TREND(E23:E24,D19:D20,A23)))</f>
        <v/>
      </c>
      <c r="D23" s="636" t="str">
        <f>IF(OR(B19="",B20=""),"",IF(A19=D19,B19,IF(A20=D19,B20,IF(A21=D19,B21,IF(A22=D19,B22)))))</f>
        <v/>
      </c>
      <c r="E23" s="636" t="str">
        <f>IF(D23="","",LN(D23))</f>
        <v/>
      </c>
      <c r="I23" s="636" t="str">
        <f>O19</f>
        <v/>
      </c>
      <c r="J23" s="636" t="str">
        <f>IF(O19="","",EXP(TREND(M23:M24,L19:L20,I23)))</f>
        <v/>
      </c>
      <c r="L23" s="636" t="str">
        <f>IF(OR(J19="",J20=""),"",IF(I19=L19,J19,IF(I20=L19,J20,IF(I21=L19,J21,IF(I22=L19,J22)))))</f>
        <v/>
      </c>
      <c r="M23" s="636" t="str">
        <f>IF(L23="","",LN(L23))</f>
        <v/>
      </c>
      <c r="Q23" s="636" t="str">
        <f>W19</f>
        <v/>
      </c>
      <c r="R23" s="636" t="str">
        <f>IF(W19="","",EXP(TREND(U23:U24,T19:T20,Q23)))</f>
        <v/>
      </c>
      <c r="T23" s="636" t="str">
        <f>IF(OR(R19="",R20=""),"",IF(Q19=T19,R19,IF(Q20=T19,R20,IF(Q21=T19,R21,IF(Q22=T19,R22)))))</f>
        <v/>
      </c>
      <c r="U23" s="636" t="str">
        <f>IF(T23="","",LN(T23))</f>
        <v/>
      </c>
    </row>
    <row r="24" spans="1:23">
      <c r="D24" s="636" t="str">
        <f>IF(OR(B19="",B20=""),"",IF(A19=D20,B19,IF(A20=D20,B20,IF(A21=D20,B21,IF(A22=D20,B22)))))</f>
        <v/>
      </c>
      <c r="E24" s="636" t="str">
        <f>IF(D24="","",LN(D24))</f>
        <v/>
      </c>
      <c r="L24" s="636" t="str">
        <f>IF(OR(J19="",J20=""),"",IF(I19=L20,J19,IF(I20=L20,J20,IF(I21=L20,J21,IF(I22=L20,J22)))))</f>
        <v/>
      </c>
      <c r="M24" s="636" t="str">
        <f>IF(L24="","",LN(L24))</f>
        <v/>
      </c>
      <c r="T24" s="636" t="str">
        <f>IF(OR(R19="",R20=""),"",IF(Q19=T20,R19,IF(Q20=T20,R20,IF(Q21=T20,R21,IF(Q22=T20,R22)))))</f>
        <v/>
      </c>
      <c r="U24" s="636" t="str">
        <f>IF(T24="","",LN(T24))</f>
        <v/>
      </c>
    </row>
    <row r="25" spans="1:23">
      <c r="A25" s="638">
        <v>32</v>
      </c>
      <c r="B25" t="s">
        <v>25</v>
      </c>
      <c r="I25" s="638">
        <f>Sheet1!AH81</f>
        <v>34</v>
      </c>
      <c r="J25" t="s">
        <v>25</v>
      </c>
      <c r="Q25" s="638">
        <f>Sheet1!AH117</f>
        <v>34</v>
      </c>
      <c r="R25" t="s">
        <v>25</v>
      </c>
    </row>
    <row r="26" spans="1:23" ht="15" thickBot="1">
      <c r="A26" t="s">
        <v>582</v>
      </c>
      <c r="B26" t="s">
        <v>583</v>
      </c>
      <c r="C26" t="s">
        <v>584</v>
      </c>
      <c r="D26" t="s">
        <v>585</v>
      </c>
      <c r="E26" t="s">
        <v>25</v>
      </c>
      <c r="G26" t="str">
        <f>IF(E27&lt;&gt;"","HVL @ "&amp;ROUND(E27,2)&amp;" kVp","HVL @ "&amp;A25&amp;" kVp")</f>
        <v>HVL @ 32 kVp</v>
      </c>
      <c r="I26" t="s">
        <v>582</v>
      </c>
      <c r="J26" t="s">
        <v>583</v>
      </c>
      <c r="K26" t="s">
        <v>584</v>
      </c>
      <c r="L26" t="s">
        <v>585</v>
      </c>
      <c r="M26" t="s">
        <v>25</v>
      </c>
      <c r="O26" t="str">
        <f>IF(M27&lt;&gt;"","HVL @ "&amp;ROUND(M27,2)&amp;" kVp","HVL @ "&amp;I25&amp;" kVp")</f>
        <v>HVL @ 34 kVp</v>
      </c>
      <c r="Q26" t="s">
        <v>582</v>
      </c>
      <c r="R26" t="s">
        <v>583</v>
      </c>
      <c r="S26" t="s">
        <v>584</v>
      </c>
      <c r="T26" t="s">
        <v>585</v>
      </c>
      <c r="U26" t="s">
        <v>25</v>
      </c>
      <c r="W26" t="str">
        <f>IF(U27&lt;&gt;"","HVL @ "&amp;ROUND(U27,2)&amp;" kVp","HVL @ "&amp;Q25&amp;" kVp")</f>
        <v>HVL @ 34 kVp</v>
      </c>
    </row>
    <row r="27" spans="1:23" ht="15" thickBot="1">
      <c r="A27" s="636">
        <v>0</v>
      </c>
      <c r="B27" s="636" t="s">
        <v>581</v>
      </c>
      <c r="C27" s="636" t="s">
        <v>581</v>
      </c>
      <c r="D27" s="636" t="s">
        <v>581</v>
      </c>
      <c r="E27" s="636" t="s">
        <v>581</v>
      </c>
      <c r="G27" s="637" t="s">
        <v>581</v>
      </c>
      <c r="I27" s="636">
        <f>Sheet1!AJ81</f>
        <v>0</v>
      </c>
      <c r="J27" s="636" t="str">
        <f>IF(MIN(Sheet1!AO81:AO82)=0,"",AVERAGE(Sheet1!AO81:AO82))</f>
        <v/>
      </c>
      <c r="K27" s="636" t="str">
        <f>IF(J27="","",ABS(J27-J27/2))</f>
        <v/>
      </c>
      <c r="L27" s="636" t="str">
        <f>IF(OR(J27="",J28=""),"",IF(ABS(J27-J27/2)=SMALL(K27:K30,1),I27,IF(ABS(J28-J27/2)=SMALL(K27:K30,1),I28,IF(ABS(J29-J27/2)=SMALL(K27:K30,1),I29,IF(ABS(J30-J27/2)=SMALL(K27:K30,1),I30,"")))))</f>
        <v/>
      </c>
      <c r="M27" s="636" t="str">
        <f>IF(OR(Sheet1!AO81="",Sheet1!AO82=""),"",AVERAGE(Sheet1!AO81:AO82))</f>
        <v/>
      </c>
      <c r="O27" s="637" t="str">
        <f>IF(OR(MIN(L27:L28)=0,MIN(L31:L32)=0),"",TREND(L27:L28,M31:M32,LN(J27/2)))</f>
        <v/>
      </c>
      <c r="Q27" s="636">
        <f>Sheet1!AJ117</f>
        <v>0</v>
      </c>
      <c r="R27" s="636" t="str">
        <f>IF(MIN(Sheet1!AO117:AO118)=0,"",AVERAGE(Sheet1!AO117:AO118))</f>
        <v/>
      </c>
      <c r="S27" s="636" t="str">
        <f>IF(R27="","",ABS(R27-R27/2))</f>
        <v/>
      </c>
      <c r="T27" s="636" t="str">
        <f>IF(OR(R27="",R28=""),"",IF(ABS(R27-R27/2)=SMALL(S27:S30,1),Q27,IF(ABS(R28-R27/2)=SMALL(S27:S30,1),Q28,IF(ABS(R29-R27/2)=SMALL(S27:S30,1),Q29,IF(ABS(R30-R27/2)=SMALL(S27:S30,1),Q30,"")))))</f>
        <v/>
      </c>
      <c r="U27" s="636" t="str">
        <f>IF(OR(Sheet1!AW81="",Sheet1!AW82=""),"",AVERAGE(Sheet1!AW81:AW82))</f>
        <v/>
      </c>
      <c r="W27" s="637" t="str">
        <f>IF(OR(MIN(T27:T28)=0,MIN(T31:T32)=0),"",TREND(T27:T28,U31:U32,LN(R27/2)))</f>
        <v/>
      </c>
    </row>
    <row r="28" spans="1:23">
      <c r="A28" s="636">
        <v>0.5</v>
      </c>
      <c r="B28" s="636" t="s">
        <v>581</v>
      </c>
      <c r="C28" s="636" t="s">
        <v>581</v>
      </c>
      <c r="D28" s="636" t="s">
        <v>581</v>
      </c>
      <c r="I28" s="636">
        <f>Sheet1!AJ83</f>
        <v>0.5</v>
      </c>
      <c r="J28" s="636" t="str">
        <f>IF(MIN(Sheet1!AO83:AO84)=0,"",AVERAGE(Sheet1!AO83:AO84))</f>
        <v/>
      </c>
      <c r="K28" s="636" t="str">
        <f>IF(J28="","",ABS(J28-J27/2))</f>
        <v/>
      </c>
      <c r="L28" s="636" t="str">
        <f>IF(OR(J27="",J28=""),"",IF(ABS(J27-J27/2)=SMALL(K27:K30,2),I27,IF(ABS(J28-J27/2)=SMALL(K27:K30,2),I28,IF(ABS(J29-J27/2)=SMALL(K27:K30,2),I29,IF(ABS(J30-J27/2)=SMALL(K27:K30,2),I30,"")))))</f>
        <v/>
      </c>
      <c r="Q28" s="636">
        <f>Sheet1!AJ119</f>
        <v>0.5</v>
      </c>
      <c r="R28" s="636" t="str">
        <f>IF(MIN(Sheet1!AO119:AO120)=0,"",AVERAGE(Sheet1!AO119:AO120))</f>
        <v/>
      </c>
      <c r="S28" s="636" t="str">
        <f>IF(R28="","",ABS(R28-R27/2))</f>
        <v/>
      </c>
      <c r="T28" s="636" t="str">
        <f>IF(OR(R27="",R28=""),"",IF(ABS(R27-R27/2)=SMALL(S27:S30,2),Q27,IF(ABS(R28-R27/2)=SMALL(S27:S30,2),Q28,IF(ABS(R29-R27/2)=SMALL(S27:S30,2),Q29,IF(ABS(R30-R27/2)=SMALL(S27:S30,2),Q30,"")))))</f>
        <v/>
      </c>
    </row>
    <row r="29" spans="1:23">
      <c r="A29" s="636" t="s">
        <v>581</v>
      </c>
      <c r="B29" s="636" t="s">
        <v>581</v>
      </c>
      <c r="C29" s="636" t="s">
        <v>581</v>
      </c>
      <c r="I29" s="636" t="str">
        <f>IF(AND(Sheet1!AM85="",Sheet1!AM87=""),"",IF(Sheet1!AM85&lt;&gt;"",Sheet1!AJ85,Sheet1!AJ87))</f>
        <v/>
      </c>
      <c r="J29" s="636" t="str">
        <f>IF(AND(Sheet1!AM85="",Sheet1!AM87=""),"",IF(Sheet1!AM85&lt;&gt;"",AVERAGE(Sheet1!AO85:AO86),AVERAGE(Sheet1!AO87:AO88)))</f>
        <v/>
      </c>
      <c r="K29" s="636" t="str">
        <f>IF(J29="","",ABS(J29-J27/2))</f>
        <v/>
      </c>
      <c r="Q29" s="636" t="str">
        <f>IF(AND(Sheet1!AM121="",Sheet1!AM123=""),"",IF(Sheet1!AM121&lt;&gt;"",Sheet1!AJ121,Sheet1!AJ123))</f>
        <v/>
      </c>
      <c r="R29" s="636" t="str">
        <f>IF(AND(Sheet1!AM121="",Sheet1!AM123=""),"",IF(Sheet1!AM121&lt;&gt;"",AVERAGE(Sheet1!AO121:AO122),AVERAGE(Sheet1!AO123:AO124)))</f>
        <v/>
      </c>
      <c r="S29" s="636" t="str">
        <f>IF(R29="","",ABS(R29-R27/2))</f>
        <v/>
      </c>
    </row>
    <row r="30" spans="1:23">
      <c r="A30" s="636" t="s">
        <v>581</v>
      </c>
      <c r="B30" s="636" t="s">
        <v>581</v>
      </c>
      <c r="C30" s="636" t="s">
        <v>581</v>
      </c>
      <c r="D30" t="s">
        <v>586</v>
      </c>
      <c r="E30" t="s">
        <v>587</v>
      </c>
      <c r="I30" s="636" t="str">
        <f>IF(OR(Sheet1!AM87="",AND(Sheet1!AM85="",Sheet1!AM87&lt;&gt;"")),"",Sheet1!AJ87)</f>
        <v/>
      </c>
      <c r="J30" s="636" t="str">
        <f>IF(OR(Sheet1!AM87="",AND(Sheet1!AM85="",Sheet1!AM87&lt;&gt;"")),"",AVERAGE(Sheet1!AO87:AO88))</f>
        <v/>
      </c>
      <c r="K30" s="636" t="str">
        <f>IF(J30="","",ABS(J30-J27/2))</f>
        <v/>
      </c>
      <c r="L30" t="s">
        <v>586</v>
      </c>
      <c r="M30" t="s">
        <v>587</v>
      </c>
      <c r="Q30" s="636" t="str">
        <f>IF(OR(Sheet1!AM123="",AND(Sheet1!AM121="",Sheet1!AM123&lt;&gt;"")),"",Sheet1!AJ123)</f>
        <v/>
      </c>
      <c r="R30" s="636" t="str">
        <f>IF(OR(Sheet1!AM123="",AND(Sheet1!AM121="",Sheet1!AM123&lt;&gt;"")),"",AVERAGE(Sheet1!AO123:AO124))</f>
        <v/>
      </c>
      <c r="S30" s="636" t="str">
        <f>IF(R30="","",ABS(R30-R27/2))</f>
        <v/>
      </c>
      <c r="T30" t="s">
        <v>586</v>
      </c>
      <c r="U30" t="s">
        <v>587</v>
      </c>
    </row>
    <row r="31" spans="1:23">
      <c r="A31" s="636" t="s">
        <v>581</v>
      </c>
      <c r="B31" s="636" t="s">
        <v>581</v>
      </c>
      <c r="D31" s="636" t="s">
        <v>581</v>
      </c>
      <c r="E31" s="636" t="s">
        <v>581</v>
      </c>
      <c r="I31" s="636" t="str">
        <f>O27</f>
        <v/>
      </c>
      <c r="J31" s="636" t="str">
        <f>IF(O27="","",EXP(TREND(M31:M32,L27:L28,I31)))</f>
        <v/>
      </c>
      <c r="L31" s="636" t="str">
        <f>IF(OR(J27="",J28=""),"",IF(I27=L27,J27,IF(I28=L27,J28,IF(I29=L27,J29,IF(I30=L27,J30)))))</f>
        <v/>
      </c>
      <c r="M31" s="636" t="str">
        <f>IF(L31="","",LN(L31))</f>
        <v/>
      </c>
      <c r="Q31" s="636" t="str">
        <f>W27</f>
        <v/>
      </c>
      <c r="R31" s="636" t="str">
        <f>IF(W27="","",EXP(TREND(U31:U32,T27:T28,Q31)))</f>
        <v/>
      </c>
      <c r="T31" s="636" t="str">
        <f>IF(OR(R27="",R28=""),"",IF(Q27=T27,R27,IF(Q28=T27,R28,IF(Q29=T27,R29,IF(Q30=T27,R30)))))</f>
        <v/>
      </c>
      <c r="U31" s="636" t="str">
        <f>IF(T31="","",LN(T31))</f>
        <v/>
      </c>
    </row>
    <row r="32" spans="1:23">
      <c r="D32" s="636" t="s">
        <v>581</v>
      </c>
      <c r="E32" s="636" t="s">
        <v>581</v>
      </c>
      <c r="L32" s="636" t="str">
        <f>IF(OR(J27="",J28=""),"",IF(I27=L28,J27,IF(I28=L28,J28,IF(I29=L28,J29,IF(I30=L28,J30)))))</f>
        <v/>
      </c>
      <c r="M32" s="636" t="str">
        <f>IF(L32="","",LN(L32))</f>
        <v/>
      </c>
      <c r="T32" s="636" t="str">
        <f>IF(OR(R27="",R28=""),"",IF(Q27=T28,R27,IF(Q28=T28,R28,IF(Q29=T28,R29,IF(Q30=T28,R30)))))</f>
        <v/>
      </c>
      <c r="U32" s="636" t="str">
        <f>IF(T32="","",LN(T32))</f>
        <v/>
      </c>
    </row>
    <row r="33" spans="1:23">
      <c r="A33" s="638">
        <v>34</v>
      </c>
      <c r="B33" t="s">
        <v>25</v>
      </c>
      <c r="Q33" s="638">
        <f>Sheet1!AH125</f>
        <v>38</v>
      </c>
      <c r="R33" t="s">
        <v>25</v>
      </c>
    </row>
    <row r="34" spans="1:23" ht="15" thickBot="1">
      <c r="A34" t="s">
        <v>582</v>
      </c>
      <c r="B34" t="s">
        <v>583</v>
      </c>
      <c r="C34" t="s">
        <v>584</v>
      </c>
      <c r="D34" t="s">
        <v>585</v>
      </c>
      <c r="E34" t="s">
        <v>25</v>
      </c>
      <c r="G34" t="str">
        <f>IF(E35&lt;&gt;"","HVL @ "&amp;ROUND(E35,2)&amp;" kVp","HVL @ "&amp;A33&amp;" kVp")</f>
        <v>HVL @ 34 kVp</v>
      </c>
      <c r="Q34" t="s">
        <v>582</v>
      </c>
      <c r="R34" t="s">
        <v>583</v>
      </c>
      <c r="S34" t="s">
        <v>584</v>
      </c>
      <c r="T34" t="s">
        <v>585</v>
      </c>
      <c r="U34" t="s">
        <v>25</v>
      </c>
      <c r="W34" t="str">
        <f>IF(U35&lt;&gt;"","HVL @ "&amp;ROUND(U35,2)&amp;" kVp","HVL @ "&amp;Q33&amp;" kVp")</f>
        <v>HVL @ 38 kVp</v>
      </c>
    </row>
    <row r="35" spans="1:23" ht="15" thickBot="1">
      <c r="A35" s="636">
        <v>0</v>
      </c>
      <c r="B35" s="636" t="s">
        <v>581</v>
      </c>
      <c r="C35" s="636" t="s">
        <v>581</v>
      </c>
      <c r="D35" s="636" t="s">
        <v>581</v>
      </c>
      <c r="E35" s="636" t="s">
        <v>581</v>
      </c>
      <c r="G35" s="637" t="s">
        <v>581</v>
      </c>
      <c r="Q35" s="636">
        <f>Sheet1!AJ125</f>
        <v>0</v>
      </c>
      <c r="R35" s="636" t="str">
        <f>IF(MIN(Sheet1!AO125:AO126)=0,"",AVERAGE(Sheet1!AO125:AO126))</f>
        <v/>
      </c>
      <c r="S35" s="636" t="str">
        <f>IF(R35="","",ABS(R35-R35/2))</f>
        <v/>
      </c>
      <c r="T35" s="636" t="str">
        <f>IF(OR(R35="",R36=""),"",IF(ABS(R35-R35/2)=SMALL(S35:S38,1),Q35,IF(ABS(R36-R35/2)=SMALL(S35:S38,1),Q36,IF(ABS(R37-R35/2)=SMALL(S35:S38,1),Q37,IF(ABS(R38-R35/2)=SMALL(S35:S38,1),Q38,"")))))</f>
        <v/>
      </c>
      <c r="U35" s="636" t="str">
        <f>IF(OR(Sheet1!AW89="",Sheet1!AW90=""),"",AVERAGE(Sheet1!AW89:AW90))</f>
        <v/>
      </c>
      <c r="W35" s="637" t="str">
        <f>IF(OR(MIN(T35:T36)=0,MIN(T39:T40)=0),"",TREND(T35:T36,U39:U40,LN(R35/2)))</f>
        <v/>
      </c>
    </row>
    <row r="36" spans="1:23">
      <c r="A36" s="636">
        <v>0.5</v>
      </c>
      <c r="B36" s="636" t="s">
        <v>581</v>
      </c>
      <c r="C36" s="636" t="s">
        <v>581</v>
      </c>
      <c r="D36" s="636" t="s">
        <v>581</v>
      </c>
      <c r="Q36" s="636">
        <f>Sheet1!AJ127</f>
        <v>0.6</v>
      </c>
      <c r="R36" s="636" t="str">
        <f>IF(MIN(Sheet1!AO127:AO128)=0,"",AVERAGE(Sheet1!AO127:AO128))</f>
        <v/>
      </c>
      <c r="S36" s="636" t="str">
        <f>IF(R36="","",ABS(R36-R35/2))</f>
        <v/>
      </c>
      <c r="T36" s="636" t="str">
        <f>IF(OR(R35="",R36=""),"",IF(ABS(R35-R35/2)=SMALL(S35:S38,2),Q35,IF(ABS(R36-R35/2)=SMALL(S35:S38,2),Q36,IF(ABS(R37-R35/2)=SMALL(S35:S38,2),Q37,IF(ABS(R38-R35/2)=SMALL(S35:S38,2),Q38,"")))))</f>
        <v/>
      </c>
    </row>
    <row r="37" spans="1:23">
      <c r="A37" s="636" t="s">
        <v>581</v>
      </c>
      <c r="B37" s="636" t="s">
        <v>581</v>
      </c>
      <c r="C37" s="636" t="s">
        <v>581</v>
      </c>
      <c r="Q37" s="636" t="str">
        <f>IF(AND(Sheet1!AM129="",Sheet1!AM131=""),"",IF(Sheet1!AM129&lt;&gt;"",Sheet1!AJ129,Sheet1!AJ131))</f>
        <v/>
      </c>
      <c r="R37" s="636" t="str">
        <f>IF(AND(Sheet1!AM129="",Sheet1!AM131=""),"",IF(Sheet1!AM129&lt;&gt;"",AVERAGE(Sheet1!AO129:AO130),AVERAGE(Sheet1!AO131:AO132)))</f>
        <v/>
      </c>
      <c r="S37" s="636" t="str">
        <f>IF(R37="","",ABS(R37-R35/2))</f>
        <v/>
      </c>
    </row>
    <row r="38" spans="1:23">
      <c r="A38" s="636" t="s">
        <v>581</v>
      </c>
      <c r="B38" s="636" t="s">
        <v>581</v>
      </c>
      <c r="C38" s="636" t="s">
        <v>581</v>
      </c>
      <c r="D38" t="s">
        <v>586</v>
      </c>
      <c r="E38" t="s">
        <v>587</v>
      </c>
      <c r="Q38" s="636" t="str">
        <f>IF(OR(Sheet1!AM131="",AND(Sheet1!AM129="",Sheet1!AM131&lt;&gt;"")),"",Sheet1!AJ131)</f>
        <v/>
      </c>
      <c r="R38" s="636" t="str">
        <f>IF(OR(Sheet1!AM131="",AND(Sheet1!AM129="",Sheet1!AM131&lt;&gt;"")),"",AVERAGE(Sheet1!AO131:AO132))</f>
        <v/>
      </c>
      <c r="S38" s="636" t="str">
        <f>IF(R38="","",ABS(R38-R35/2))</f>
        <v/>
      </c>
      <c r="T38" t="s">
        <v>586</v>
      </c>
      <c r="U38" t="s">
        <v>587</v>
      </c>
    </row>
    <row r="39" spans="1:23">
      <c r="A39" s="636" t="s">
        <v>581</v>
      </c>
      <c r="B39" s="636" t="s">
        <v>581</v>
      </c>
      <c r="D39" s="636" t="s">
        <v>581</v>
      </c>
      <c r="E39" s="636" t="s">
        <v>581</v>
      </c>
      <c r="Q39" s="636" t="str">
        <f>W35</f>
        <v/>
      </c>
      <c r="R39" s="636" t="str">
        <f>IF(W35="","",EXP(TREND(U39:U40,T35:T36,Q39)))</f>
        <v/>
      </c>
      <c r="T39" s="636" t="str">
        <f>IF(OR(R35="",R36=""),"",IF(Q35=T35,R35,IF(Q36=T35,R36,IF(Q37=T35,R37,IF(Q38=T35,R38)))))</f>
        <v/>
      </c>
      <c r="U39" s="636" t="str">
        <f>IF(T39="","",LN(T39))</f>
        <v/>
      </c>
    </row>
    <row r="40" spans="1:23">
      <c r="D40" s="636" t="s">
        <v>581</v>
      </c>
      <c r="E40" s="636" t="s">
        <v>581</v>
      </c>
      <c r="T40" s="636" t="str">
        <f>IF(OR(R35="",R36=""),"",IF(Q35=T36,R35,IF(Q36=T36,R36,IF(Q37=T36,R37,IF(Q38=T36,R38)))))</f>
        <v/>
      </c>
      <c r="U40" s="636"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5"/>
  <sheetViews>
    <sheetView topLeftCell="A61" zoomScale="75" zoomScaleNormal="75" workbookViewId="0"/>
  </sheetViews>
  <sheetFormatPr defaultRowHeight="14.1" customHeight="1"/>
  <cols>
    <col min="1" max="30" width="10.625" style="24" customWidth="1"/>
    <col min="31" max="16384" width="9" style="24"/>
  </cols>
  <sheetData>
    <row r="1" spans="1:30" ht="14.1" customHeight="1" thickBot="1">
      <c r="A1" s="79" t="s">
        <v>444</v>
      </c>
      <c r="K1" s="79" t="s">
        <v>445</v>
      </c>
      <c r="U1" s="24" t="s">
        <v>446</v>
      </c>
    </row>
    <row r="2" spans="1:30" ht="14.1" customHeight="1">
      <c r="A2" s="312"/>
      <c r="B2" s="799" t="s">
        <v>25</v>
      </c>
      <c r="C2" s="799"/>
      <c r="D2" s="799"/>
      <c r="E2" s="799"/>
      <c r="F2" s="799"/>
      <c r="G2" s="799"/>
      <c r="H2" s="799"/>
      <c r="I2" s="799"/>
      <c r="J2" s="799"/>
      <c r="K2" s="312"/>
      <c r="L2" s="799" t="s">
        <v>25</v>
      </c>
      <c r="M2" s="799"/>
      <c r="N2" s="799"/>
      <c r="O2" s="799"/>
      <c r="P2" s="799"/>
      <c r="Q2" s="799"/>
      <c r="R2" s="799"/>
      <c r="S2" s="799"/>
      <c r="T2" s="799"/>
      <c r="U2" s="312"/>
      <c r="V2" s="799" t="s">
        <v>25</v>
      </c>
      <c r="W2" s="799"/>
      <c r="X2" s="799"/>
      <c r="Y2" s="799"/>
      <c r="Z2" s="799"/>
      <c r="AA2" s="799"/>
      <c r="AB2" s="799"/>
      <c r="AC2" s="799"/>
      <c r="AD2" s="799"/>
    </row>
    <row r="3" spans="1:30" ht="14.1" customHeight="1">
      <c r="A3" s="210" t="s">
        <v>358</v>
      </c>
      <c r="B3" s="14">
        <v>23</v>
      </c>
      <c r="C3" s="14">
        <v>24</v>
      </c>
      <c r="D3" s="14">
        <v>25</v>
      </c>
      <c r="E3" s="14">
        <v>26</v>
      </c>
      <c r="F3" s="14">
        <v>27</v>
      </c>
      <c r="G3" s="14">
        <v>28</v>
      </c>
      <c r="H3" s="14">
        <v>29</v>
      </c>
      <c r="I3" s="14">
        <v>30</v>
      </c>
      <c r="J3" s="228">
        <v>31</v>
      </c>
      <c r="K3" s="210" t="s">
        <v>358</v>
      </c>
      <c r="L3" s="14">
        <v>23</v>
      </c>
      <c r="M3" s="14">
        <v>24</v>
      </c>
      <c r="N3" s="14">
        <v>25</v>
      </c>
      <c r="O3" s="14">
        <v>26</v>
      </c>
      <c r="P3" s="14">
        <v>27</v>
      </c>
      <c r="Q3" s="14">
        <v>28</v>
      </c>
      <c r="R3" s="14">
        <v>29</v>
      </c>
      <c r="S3" s="14">
        <v>30</v>
      </c>
      <c r="T3" s="228">
        <v>31</v>
      </c>
      <c r="U3" s="210" t="s">
        <v>358</v>
      </c>
      <c r="V3" s="14">
        <v>23</v>
      </c>
      <c r="W3" s="14">
        <v>24</v>
      </c>
      <c r="X3" s="14">
        <v>25</v>
      </c>
      <c r="Y3" s="14">
        <v>26</v>
      </c>
      <c r="Z3" s="14">
        <v>27</v>
      </c>
      <c r="AA3" s="14">
        <v>28</v>
      </c>
      <c r="AB3" s="14">
        <v>29</v>
      </c>
      <c r="AC3" s="14">
        <v>30</v>
      </c>
      <c r="AD3" s="228">
        <v>31</v>
      </c>
    </row>
    <row r="4" spans="1:30" ht="14.1" customHeight="1">
      <c r="A4" s="210">
        <v>0.23</v>
      </c>
      <c r="B4" s="14">
        <v>116</v>
      </c>
      <c r="C4" s="14"/>
      <c r="D4" s="14"/>
      <c r="E4" s="14"/>
      <c r="F4" s="14"/>
      <c r="G4" s="14"/>
      <c r="H4" s="14"/>
      <c r="I4" s="14"/>
      <c r="J4" s="228"/>
      <c r="K4" s="210">
        <v>0.23</v>
      </c>
      <c r="L4" s="14"/>
      <c r="M4" s="14"/>
      <c r="N4" s="14"/>
      <c r="O4" s="14"/>
      <c r="P4" s="14"/>
      <c r="Q4" s="14"/>
      <c r="R4" s="14"/>
      <c r="S4" s="14"/>
      <c r="T4" s="228"/>
      <c r="U4" s="210">
        <v>0.23</v>
      </c>
      <c r="V4" s="14"/>
      <c r="W4" s="14"/>
      <c r="X4" s="14"/>
      <c r="Y4" s="14"/>
      <c r="Z4" s="14"/>
      <c r="AA4" s="14"/>
      <c r="AB4" s="14"/>
      <c r="AC4" s="14"/>
      <c r="AD4" s="228"/>
    </row>
    <row r="5" spans="1:30" ht="14.1" customHeight="1">
      <c r="A5" s="210">
        <v>0.24</v>
      </c>
      <c r="B5" s="14">
        <v>121</v>
      </c>
      <c r="C5" s="14">
        <v>124</v>
      </c>
      <c r="D5" s="14"/>
      <c r="E5" s="14"/>
      <c r="F5" s="14"/>
      <c r="G5" s="14"/>
      <c r="H5" s="14"/>
      <c r="I5" s="14"/>
      <c r="J5" s="228"/>
      <c r="K5" s="210">
        <v>0.24</v>
      </c>
      <c r="L5" s="14"/>
      <c r="M5" s="14"/>
      <c r="N5" s="14"/>
      <c r="O5" s="14"/>
      <c r="P5" s="14"/>
      <c r="Q5" s="14"/>
      <c r="R5" s="14"/>
      <c r="S5" s="14"/>
      <c r="T5" s="228"/>
      <c r="U5" s="210">
        <v>0.24</v>
      </c>
      <c r="V5" s="14"/>
      <c r="W5" s="14"/>
      <c r="X5" s="14"/>
      <c r="Y5" s="14"/>
      <c r="Z5" s="14"/>
      <c r="AA5" s="14"/>
      <c r="AB5" s="14"/>
      <c r="AC5" s="14"/>
      <c r="AD5" s="228"/>
    </row>
    <row r="6" spans="1:30" ht="14.1" customHeight="1">
      <c r="A6" s="210">
        <v>0.25</v>
      </c>
      <c r="B6" s="14">
        <v>126</v>
      </c>
      <c r="C6" s="14">
        <v>129</v>
      </c>
      <c r="D6" s="14">
        <v>131</v>
      </c>
      <c r="E6" s="14"/>
      <c r="F6" s="14"/>
      <c r="G6" s="14"/>
      <c r="H6" s="14"/>
      <c r="I6" s="14"/>
      <c r="J6" s="228"/>
      <c r="K6" s="210">
        <v>0.25</v>
      </c>
      <c r="L6" s="14"/>
      <c r="M6" s="14"/>
      <c r="N6" s="14"/>
      <c r="O6" s="14"/>
      <c r="P6" s="14"/>
      <c r="Q6" s="14"/>
      <c r="R6" s="14"/>
      <c r="S6" s="14"/>
      <c r="T6" s="228"/>
      <c r="U6" s="210">
        <v>0.25</v>
      </c>
      <c r="V6" s="14"/>
      <c r="W6" s="14"/>
      <c r="X6" s="14"/>
      <c r="Y6" s="14"/>
      <c r="Z6" s="14"/>
      <c r="AA6" s="14"/>
      <c r="AB6" s="14"/>
      <c r="AC6" s="14"/>
      <c r="AD6" s="228"/>
    </row>
    <row r="7" spans="1:30" ht="14.1" customHeight="1">
      <c r="A7" s="210">
        <v>0.26</v>
      </c>
      <c r="B7" s="14">
        <v>130</v>
      </c>
      <c r="C7" s="14">
        <v>133</v>
      </c>
      <c r="D7" s="14">
        <v>135</v>
      </c>
      <c r="E7" s="14">
        <v>138</v>
      </c>
      <c r="F7" s="14"/>
      <c r="G7" s="14"/>
      <c r="H7" s="14"/>
      <c r="I7" s="14"/>
      <c r="J7" s="228"/>
      <c r="K7" s="210">
        <v>0.26</v>
      </c>
      <c r="L7" s="14"/>
      <c r="M7" s="14"/>
      <c r="N7" s="14"/>
      <c r="O7" s="14"/>
      <c r="P7" s="14"/>
      <c r="Q7" s="14"/>
      <c r="R7" s="14"/>
      <c r="S7" s="14"/>
      <c r="T7" s="228"/>
      <c r="U7" s="210">
        <v>0.26</v>
      </c>
      <c r="V7" s="14"/>
      <c r="W7" s="14"/>
      <c r="X7" s="14"/>
      <c r="Y7" s="14"/>
      <c r="Z7" s="14"/>
      <c r="AA7" s="14"/>
      <c r="AB7" s="14"/>
      <c r="AC7" s="14"/>
      <c r="AD7" s="228"/>
    </row>
    <row r="8" spans="1:30" ht="14.1" customHeight="1">
      <c r="A8" s="210">
        <v>0.27</v>
      </c>
      <c r="B8" s="14">
        <v>135</v>
      </c>
      <c r="C8" s="14">
        <v>138</v>
      </c>
      <c r="D8" s="14">
        <v>140</v>
      </c>
      <c r="E8" s="14">
        <v>142</v>
      </c>
      <c r="F8" s="14">
        <v>143</v>
      </c>
      <c r="G8" s="14"/>
      <c r="H8" s="14"/>
      <c r="I8" s="14"/>
      <c r="J8" s="228"/>
      <c r="K8" s="210">
        <v>0.27</v>
      </c>
      <c r="L8" s="14"/>
      <c r="M8" s="14"/>
      <c r="N8" s="14"/>
      <c r="O8" s="14"/>
      <c r="P8" s="14"/>
      <c r="Q8" s="14"/>
      <c r="R8" s="14"/>
      <c r="S8" s="14"/>
      <c r="T8" s="228"/>
      <c r="U8" s="210">
        <v>0.27</v>
      </c>
      <c r="V8" s="14"/>
      <c r="W8" s="14"/>
      <c r="X8" s="14"/>
      <c r="Y8" s="14"/>
      <c r="Z8" s="14"/>
      <c r="AA8" s="14"/>
      <c r="AB8" s="14"/>
      <c r="AC8" s="14"/>
      <c r="AD8" s="228"/>
    </row>
    <row r="9" spans="1:30" ht="14.1" customHeight="1">
      <c r="A9" s="210">
        <v>0.28000000000000003</v>
      </c>
      <c r="B9" s="14">
        <v>140</v>
      </c>
      <c r="C9" s="14">
        <v>142</v>
      </c>
      <c r="D9" s="14">
        <v>144</v>
      </c>
      <c r="E9" s="14">
        <v>146</v>
      </c>
      <c r="F9" s="14">
        <v>147</v>
      </c>
      <c r="G9" s="14">
        <v>149</v>
      </c>
      <c r="H9" s="14"/>
      <c r="I9" s="14"/>
      <c r="J9" s="228"/>
      <c r="K9" s="210">
        <v>0.28000000000000003</v>
      </c>
      <c r="L9" s="14"/>
      <c r="M9" s="14"/>
      <c r="N9" s="14">
        <v>149</v>
      </c>
      <c r="O9" s="14">
        <v>151</v>
      </c>
      <c r="P9" s="14">
        <v>154</v>
      </c>
      <c r="Q9" s="14"/>
      <c r="R9" s="14"/>
      <c r="S9" s="14"/>
      <c r="T9" s="228"/>
      <c r="U9" s="210">
        <v>0.28000000000000003</v>
      </c>
      <c r="V9" s="14"/>
      <c r="W9" s="14"/>
      <c r="X9" s="14">
        <v>150</v>
      </c>
      <c r="Y9" s="14">
        <v>155</v>
      </c>
      <c r="Z9" s="14">
        <v>159</v>
      </c>
      <c r="AA9" s="14"/>
      <c r="AB9" s="14"/>
      <c r="AC9" s="14"/>
      <c r="AD9" s="228"/>
    </row>
    <row r="10" spans="1:30" ht="14.1" customHeight="1">
      <c r="A10" s="210">
        <v>0.28999999999999998</v>
      </c>
      <c r="B10" s="14">
        <v>144</v>
      </c>
      <c r="C10" s="14">
        <v>146</v>
      </c>
      <c r="D10" s="14">
        <v>148</v>
      </c>
      <c r="E10" s="14">
        <v>150</v>
      </c>
      <c r="F10" s="14">
        <v>151</v>
      </c>
      <c r="G10" s="14">
        <v>153</v>
      </c>
      <c r="H10" s="14">
        <v>154</v>
      </c>
      <c r="I10" s="14"/>
      <c r="J10" s="228"/>
      <c r="K10" s="210">
        <v>0.28999999999999998</v>
      </c>
      <c r="L10" s="14"/>
      <c r="M10" s="14"/>
      <c r="N10" s="14">
        <v>154</v>
      </c>
      <c r="O10" s="14">
        <v>156</v>
      </c>
      <c r="P10" s="14">
        <v>158</v>
      </c>
      <c r="Q10" s="14">
        <v>159</v>
      </c>
      <c r="R10" s="14"/>
      <c r="S10" s="14"/>
      <c r="T10" s="228"/>
      <c r="U10" s="210">
        <v>0.28999999999999998</v>
      </c>
      <c r="V10" s="14"/>
      <c r="W10" s="14"/>
      <c r="X10" s="14">
        <v>155</v>
      </c>
      <c r="Y10" s="14">
        <v>160</v>
      </c>
      <c r="Z10" s="14">
        <v>164</v>
      </c>
      <c r="AA10" s="14">
        <v>168</v>
      </c>
      <c r="AB10" s="14"/>
      <c r="AC10" s="14"/>
      <c r="AD10" s="228"/>
    </row>
    <row r="11" spans="1:30" ht="14.1" customHeight="1">
      <c r="A11" s="210">
        <v>0.3</v>
      </c>
      <c r="B11" s="14">
        <v>149</v>
      </c>
      <c r="C11" s="14">
        <v>151</v>
      </c>
      <c r="D11" s="14">
        <v>153</v>
      </c>
      <c r="E11" s="14">
        <v>155</v>
      </c>
      <c r="F11" s="14">
        <v>156</v>
      </c>
      <c r="G11" s="14">
        <v>157</v>
      </c>
      <c r="H11" s="14">
        <v>158</v>
      </c>
      <c r="I11" s="14">
        <v>159</v>
      </c>
      <c r="J11" s="228"/>
      <c r="K11" s="210">
        <v>0.3</v>
      </c>
      <c r="L11" s="14"/>
      <c r="M11" s="14"/>
      <c r="N11" s="14">
        <v>158</v>
      </c>
      <c r="O11" s="14">
        <v>160</v>
      </c>
      <c r="P11" s="14">
        <v>162</v>
      </c>
      <c r="Q11" s="14">
        <v>162</v>
      </c>
      <c r="R11" s="14">
        <v>163</v>
      </c>
      <c r="S11" s="14"/>
      <c r="T11" s="228"/>
      <c r="U11" s="210">
        <v>0.3</v>
      </c>
      <c r="V11" s="14"/>
      <c r="W11" s="14"/>
      <c r="X11" s="14">
        <v>160</v>
      </c>
      <c r="Y11" s="14">
        <v>164</v>
      </c>
      <c r="Z11" s="14">
        <v>168</v>
      </c>
      <c r="AA11" s="14">
        <v>172</v>
      </c>
      <c r="AB11" s="14">
        <v>176</v>
      </c>
      <c r="AC11" s="14"/>
      <c r="AD11" s="228"/>
    </row>
    <row r="12" spans="1:30" ht="14.1" customHeight="1">
      <c r="A12" s="210">
        <v>0.31</v>
      </c>
      <c r="B12" s="14">
        <v>154</v>
      </c>
      <c r="C12" s="14">
        <v>156</v>
      </c>
      <c r="D12" s="14">
        <v>157</v>
      </c>
      <c r="E12" s="14">
        <v>159</v>
      </c>
      <c r="F12" s="14">
        <v>160</v>
      </c>
      <c r="G12" s="14">
        <v>161</v>
      </c>
      <c r="H12" s="14">
        <v>162</v>
      </c>
      <c r="I12" s="14">
        <v>163</v>
      </c>
      <c r="J12" s="228">
        <v>164</v>
      </c>
      <c r="K12" s="210">
        <v>0.31</v>
      </c>
      <c r="L12" s="14"/>
      <c r="M12" s="14"/>
      <c r="N12" s="14">
        <v>163</v>
      </c>
      <c r="O12" s="14">
        <v>164</v>
      </c>
      <c r="P12" s="14">
        <v>166</v>
      </c>
      <c r="Q12" s="14">
        <v>166</v>
      </c>
      <c r="R12" s="14">
        <v>167</v>
      </c>
      <c r="S12" s="14">
        <v>167</v>
      </c>
      <c r="T12" s="228"/>
      <c r="U12" s="210">
        <v>0.31</v>
      </c>
      <c r="V12" s="14"/>
      <c r="W12" s="14"/>
      <c r="X12" s="14">
        <v>165</v>
      </c>
      <c r="Y12" s="14">
        <v>168</v>
      </c>
      <c r="Z12" s="14">
        <v>172</v>
      </c>
      <c r="AA12" s="14">
        <v>174</v>
      </c>
      <c r="AB12" s="14">
        <v>180</v>
      </c>
      <c r="AC12" s="14">
        <v>182</v>
      </c>
      <c r="AD12" s="228"/>
    </row>
    <row r="13" spans="1:30" ht="14.1" customHeight="1">
      <c r="A13" s="210">
        <v>0.32</v>
      </c>
      <c r="B13" s="14">
        <v>158</v>
      </c>
      <c r="C13" s="14">
        <v>160</v>
      </c>
      <c r="D13" s="14">
        <v>162</v>
      </c>
      <c r="E13" s="14">
        <v>163</v>
      </c>
      <c r="F13" s="14">
        <v>164</v>
      </c>
      <c r="G13" s="14">
        <v>166</v>
      </c>
      <c r="H13" s="14">
        <v>167</v>
      </c>
      <c r="I13" s="14">
        <v>168</v>
      </c>
      <c r="J13" s="228">
        <v>168</v>
      </c>
      <c r="K13" s="210">
        <v>0.32</v>
      </c>
      <c r="L13" s="14"/>
      <c r="M13" s="14"/>
      <c r="N13" s="14">
        <v>167</v>
      </c>
      <c r="O13" s="14">
        <v>169</v>
      </c>
      <c r="P13" s="14">
        <v>171</v>
      </c>
      <c r="Q13" s="14">
        <v>171</v>
      </c>
      <c r="R13" s="14">
        <v>171</v>
      </c>
      <c r="S13" s="14">
        <v>172</v>
      </c>
      <c r="T13" s="228">
        <v>172</v>
      </c>
      <c r="U13" s="210">
        <v>0.32</v>
      </c>
      <c r="V13" s="14"/>
      <c r="W13" s="14"/>
      <c r="X13" s="14">
        <v>169</v>
      </c>
      <c r="Y13" s="14">
        <v>173</v>
      </c>
      <c r="Z13" s="14">
        <v>177</v>
      </c>
      <c r="AA13" s="14">
        <v>181</v>
      </c>
      <c r="AB13" s="14">
        <v>184</v>
      </c>
      <c r="AC13" s="14">
        <v>186</v>
      </c>
      <c r="AD13" s="228">
        <v>188</v>
      </c>
    </row>
    <row r="14" spans="1:30" ht="14.1" customHeight="1">
      <c r="A14" s="210">
        <v>0.33</v>
      </c>
      <c r="B14" s="14">
        <v>163</v>
      </c>
      <c r="C14" s="14">
        <v>165</v>
      </c>
      <c r="D14" s="14">
        <v>166</v>
      </c>
      <c r="E14" s="14">
        <v>168</v>
      </c>
      <c r="F14" s="14">
        <v>169</v>
      </c>
      <c r="G14" s="14">
        <v>170</v>
      </c>
      <c r="H14" s="14">
        <v>171</v>
      </c>
      <c r="I14" s="14">
        <v>173</v>
      </c>
      <c r="J14" s="228">
        <v>173</v>
      </c>
      <c r="K14" s="210">
        <v>0.33</v>
      </c>
      <c r="L14" s="14"/>
      <c r="M14" s="14"/>
      <c r="N14" s="14">
        <v>171</v>
      </c>
      <c r="O14" s="14">
        <v>173</v>
      </c>
      <c r="P14" s="14">
        <v>175</v>
      </c>
      <c r="Q14" s="14">
        <v>176</v>
      </c>
      <c r="R14" s="14">
        <v>176</v>
      </c>
      <c r="S14" s="14">
        <v>176</v>
      </c>
      <c r="T14" s="228">
        <v>176</v>
      </c>
      <c r="U14" s="210">
        <v>0.33</v>
      </c>
      <c r="V14" s="14"/>
      <c r="W14" s="14"/>
      <c r="X14" s="14">
        <v>174</v>
      </c>
      <c r="Y14" s="14">
        <v>178</v>
      </c>
      <c r="Z14" s="14">
        <v>181</v>
      </c>
      <c r="AA14" s="14">
        <v>185</v>
      </c>
      <c r="AB14" s="14">
        <v>188</v>
      </c>
      <c r="AC14" s="14">
        <v>190</v>
      </c>
      <c r="AD14" s="228">
        <v>192</v>
      </c>
    </row>
    <row r="15" spans="1:30" ht="14.1" customHeight="1">
      <c r="A15" s="210">
        <v>0.34</v>
      </c>
      <c r="B15" s="14">
        <v>168</v>
      </c>
      <c r="C15" s="14">
        <v>170</v>
      </c>
      <c r="D15" s="14">
        <v>171</v>
      </c>
      <c r="E15" s="14">
        <v>172</v>
      </c>
      <c r="F15" s="14">
        <v>173</v>
      </c>
      <c r="G15" s="14">
        <v>174</v>
      </c>
      <c r="H15" s="14">
        <v>175</v>
      </c>
      <c r="I15" s="14">
        <v>176</v>
      </c>
      <c r="J15" s="228">
        <v>177</v>
      </c>
      <c r="K15" s="210">
        <v>0.34</v>
      </c>
      <c r="L15" s="14"/>
      <c r="M15" s="14"/>
      <c r="N15" s="14">
        <v>176</v>
      </c>
      <c r="O15" s="14">
        <v>178</v>
      </c>
      <c r="P15" s="14">
        <v>179</v>
      </c>
      <c r="Q15" s="14">
        <v>179</v>
      </c>
      <c r="R15" s="14">
        <v>180</v>
      </c>
      <c r="S15" s="14">
        <v>180</v>
      </c>
      <c r="T15" s="228">
        <v>180</v>
      </c>
      <c r="U15" s="210">
        <v>0.34</v>
      </c>
      <c r="V15" s="14"/>
      <c r="W15" s="14"/>
      <c r="X15" s="14">
        <v>179</v>
      </c>
      <c r="Y15" s="14">
        <v>183</v>
      </c>
      <c r="Z15" s="14">
        <v>186</v>
      </c>
      <c r="AA15" s="14">
        <v>190</v>
      </c>
      <c r="AB15" s="14">
        <v>193</v>
      </c>
      <c r="AC15" s="14">
        <v>195</v>
      </c>
      <c r="AD15" s="228">
        <v>196</v>
      </c>
    </row>
    <row r="16" spans="1:30" ht="14.1" customHeight="1">
      <c r="A16" s="210">
        <v>0.35</v>
      </c>
      <c r="B16" s="14"/>
      <c r="C16" s="14">
        <v>174</v>
      </c>
      <c r="D16" s="14">
        <v>175</v>
      </c>
      <c r="E16" s="14">
        <v>176</v>
      </c>
      <c r="F16" s="14">
        <v>177</v>
      </c>
      <c r="G16" s="14">
        <v>178</v>
      </c>
      <c r="H16" s="14">
        <v>179</v>
      </c>
      <c r="I16" s="14">
        <v>180</v>
      </c>
      <c r="J16" s="228">
        <v>181</v>
      </c>
      <c r="K16" s="210">
        <v>0.35</v>
      </c>
      <c r="L16" s="14"/>
      <c r="M16" s="14"/>
      <c r="N16" s="14">
        <v>180</v>
      </c>
      <c r="O16" s="14">
        <v>181</v>
      </c>
      <c r="P16" s="14">
        <v>183</v>
      </c>
      <c r="Q16" s="14">
        <v>183</v>
      </c>
      <c r="R16" s="14">
        <v>184</v>
      </c>
      <c r="S16" s="14">
        <v>185</v>
      </c>
      <c r="T16" s="228">
        <v>185</v>
      </c>
      <c r="U16" s="210">
        <v>0.35</v>
      </c>
      <c r="V16" s="14"/>
      <c r="W16" s="14"/>
      <c r="X16" s="14">
        <v>184</v>
      </c>
      <c r="Y16" s="14">
        <v>187</v>
      </c>
      <c r="Z16" s="14">
        <v>190</v>
      </c>
      <c r="AA16" s="14">
        <v>194</v>
      </c>
      <c r="AB16" s="14">
        <v>197</v>
      </c>
      <c r="AC16" s="14">
        <v>199</v>
      </c>
      <c r="AD16" s="228">
        <v>201</v>
      </c>
    </row>
    <row r="17" spans="1:30" ht="14.1" customHeight="1">
      <c r="A17" s="210">
        <v>0.36</v>
      </c>
      <c r="B17" s="14"/>
      <c r="C17" s="14"/>
      <c r="D17" s="14">
        <v>179</v>
      </c>
      <c r="E17" s="14">
        <v>181</v>
      </c>
      <c r="F17" s="14">
        <v>182</v>
      </c>
      <c r="G17" s="14">
        <v>183</v>
      </c>
      <c r="H17" s="14">
        <v>184</v>
      </c>
      <c r="I17" s="14">
        <v>185</v>
      </c>
      <c r="J17" s="228">
        <v>185</v>
      </c>
      <c r="K17" s="210">
        <v>0.36</v>
      </c>
      <c r="L17" s="14"/>
      <c r="M17" s="14"/>
      <c r="N17" s="14">
        <v>185</v>
      </c>
      <c r="O17" s="14">
        <v>186</v>
      </c>
      <c r="P17" s="14">
        <v>187</v>
      </c>
      <c r="Q17" s="14">
        <v>187</v>
      </c>
      <c r="R17" s="14">
        <v>188</v>
      </c>
      <c r="S17" s="14">
        <v>188</v>
      </c>
      <c r="T17" s="228">
        <v>189</v>
      </c>
      <c r="U17" s="210">
        <v>0.36</v>
      </c>
      <c r="V17" s="14"/>
      <c r="W17" s="14"/>
      <c r="X17" s="14">
        <v>189</v>
      </c>
      <c r="Y17" s="14">
        <v>192</v>
      </c>
      <c r="Z17" s="14">
        <v>195</v>
      </c>
      <c r="AA17" s="14">
        <v>198</v>
      </c>
      <c r="AB17" s="14">
        <v>201</v>
      </c>
      <c r="AC17" s="14">
        <v>204</v>
      </c>
      <c r="AD17" s="228">
        <v>205</v>
      </c>
    </row>
    <row r="18" spans="1:30" ht="14.1" customHeight="1">
      <c r="A18" s="210">
        <v>0.37</v>
      </c>
      <c r="B18" s="14"/>
      <c r="C18" s="14"/>
      <c r="D18" s="14"/>
      <c r="E18" s="14">
        <v>185</v>
      </c>
      <c r="F18" s="14">
        <v>186</v>
      </c>
      <c r="G18" s="14">
        <v>187</v>
      </c>
      <c r="H18" s="14">
        <v>188</v>
      </c>
      <c r="I18" s="14">
        <v>189</v>
      </c>
      <c r="J18" s="228">
        <v>190</v>
      </c>
      <c r="K18" s="210">
        <v>0.37</v>
      </c>
      <c r="L18" s="14"/>
      <c r="M18" s="14"/>
      <c r="N18" s="14">
        <v>189</v>
      </c>
      <c r="O18" s="14">
        <v>190</v>
      </c>
      <c r="P18" s="14">
        <v>191</v>
      </c>
      <c r="Q18" s="14">
        <v>191</v>
      </c>
      <c r="R18" s="14">
        <v>192</v>
      </c>
      <c r="S18" s="14">
        <v>193</v>
      </c>
      <c r="T18" s="228">
        <v>193</v>
      </c>
      <c r="U18" s="210">
        <v>0.37</v>
      </c>
      <c r="V18" s="14"/>
      <c r="W18" s="14"/>
      <c r="X18" s="14">
        <v>193</v>
      </c>
      <c r="Y18" s="14">
        <v>196</v>
      </c>
      <c r="Z18" s="14">
        <v>199</v>
      </c>
      <c r="AA18" s="14">
        <v>202</v>
      </c>
      <c r="AB18" s="14">
        <v>205</v>
      </c>
      <c r="AC18" s="14">
        <v>207</v>
      </c>
      <c r="AD18" s="228">
        <v>209</v>
      </c>
    </row>
    <row r="19" spans="1:30" ht="14.1" customHeight="1">
      <c r="A19" s="210">
        <v>0.38</v>
      </c>
      <c r="B19" s="14"/>
      <c r="C19" s="14"/>
      <c r="D19" s="14"/>
      <c r="E19" s="14"/>
      <c r="F19" s="14">
        <v>190</v>
      </c>
      <c r="G19" s="14">
        <v>191</v>
      </c>
      <c r="H19" s="14">
        <v>192</v>
      </c>
      <c r="I19" s="14">
        <v>193</v>
      </c>
      <c r="J19" s="228">
        <v>194</v>
      </c>
      <c r="K19" s="210">
        <v>0.38</v>
      </c>
      <c r="L19" s="14"/>
      <c r="M19" s="14"/>
      <c r="N19" s="14">
        <v>193</v>
      </c>
      <c r="O19" s="14">
        <v>194</v>
      </c>
      <c r="P19" s="14">
        <v>196</v>
      </c>
      <c r="Q19" s="14">
        <v>196</v>
      </c>
      <c r="R19" s="14">
        <v>197</v>
      </c>
      <c r="S19" s="14">
        <v>197</v>
      </c>
      <c r="T19" s="228">
        <v>197</v>
      </c>
      <c r="U19" s="210">
        <v>0.38</v>
      </c>
      <c r="V19" s="14"/>
      <c r="W19" s="14"/>
      <c r="X19" s="14">
        <v>198</v>
      </c>
      <c r="Y19" s="14">
        <v>201</v>
      </c>
      <c r="Z19" s="14">
        <v>204</v>
      </c>
      <c r="AA19" s="14">
        <v>207</v>
      </c>
      <c r="AB19" s="14">
        <v>209</v>
      </c>
      <c r="AC19" s="14">
        <v>211</v>
      </c>
      <c r="AD19" s="228">
        <v>213</v>
      </c>
    </row>
    <row r="20" spans="1:30" ht="14.1" customHeight="1">
      <c r="A20" s="210">
        <v>0.39</v>
      </c>
      <c r="B20" s="14"/>
      <c r="C20" s="14"/>
      <c r="D20" s="14"/>
      <c r="E20" s="14"/>
      <c r="F20" s="14"/>
      <c r="G20" s="14">
        <v>196</v>
      </c>
      <c r="H20" s="14">
        <v>197</v>
      </c>
      <c r="I20" s="14">
        <v>198</v>
      </c>
      <c r="J20" s="228">
        <v>198</v>
      </c>
      <c r="K20" s="210">
        <v>0.39</v>
      </c>
      <c r="L20" s="14"/>
      <c r="M20" s="14"/>
      <c r="N20" s="14">
        <v>198</v>
      </c>
      <c r="O20" s="14">
        <v>199</v>
      </c>
      <c r="P20" s="14">
        <v>200</v>
      </c>
      <c r="Q20" s="14">
        <v>200</v>
      </c>
      <c r="R20" s="14">
        <v>201</v>
      </c>
      <c r="S20" s="14">
        <v>201</v>
      </c>
      <c r="T20" s="228">
        <v>202</v>
      </c>
      <c r="U20" s="210">
        <v>0.39</v>
      </c>
      <c r="V20" s="14"/>
      <c r="W20" s="14"/>
      <c r="X20" s="14">
        <v>203</v>
      </c>
      <c r="Y20" s="14">
        <v>206</v>
      </c>
      <c r="Z20" s="14">
        <v>208</v>
      </c>
      <c r="AA20" s="14">
        <v>211</v>
      </c>
      <c r="AB20" s="14">
        <v>214</v>
      </c>
      <c r="AC20" s="14">
        <v>216</v>
      </c>
      <c r="AD20" s="228">
        <v>217</v>
      </c>
    </row>
    <row r="21" spans="1:30" ht="14.1" customHeight="1">
      <c r="A21" s="210">
        <v>0.4</v>
      </c>
      <c r="B21" s="14"/>
      <c r="C21" s="14"/>
      <c r="D21" s="14"/>
      <c r="E21" s="14"/>
      <c r="F21" s="14"/>
      <c r="G21" s="14"/>
      <c r="H21" s="14">
        <v>201</v>
      </c>
      <c r="I21" s="14">
        <v>202</v>
      </c>
      <c r="J21" s="228">
        <v>203</v>
      </c>
      <c r="K21" s="210">
        <v>0.4</v>
      </c>
      <c r="L21" s="14"/>
      <c r="M21" s="14"/>
      <c r="N21" s="14">
        <v>202</v>
      </c>
      <c r="O21" s="14">
        <v>203</v>
      </c>
      <c r="P21" s="14">
        <v>204</v>
      </c>
      <c r="Q21" s="14">
        <v>204</v>
      </c>
      <c r="R21" s="14">
        <v>205</v>
      </c>
      <c r="S21" s="14">
        <v>205</v>
      </c>
      <c r="T21" s="228">
        <v>206</v>
      </c>
      <c r="U21" s="210">
        <v>0.4</v>
      </c>
      <c r="V21" s="14"/>
      <c r="W21" s="14"/>
      <c r="X21" s="14">
        <v>208</v>
      </c>
      <c r="Y21" s="14">
        <v>211</v>
      </c>
      <c r="Z21" s="14">
        <v>213</v>
      </c>
      <c r="AA21" s="14">
        <v>216</v>
      </c>
      <c r="AB21" s="14">
        <v>218</v>
      </c>
      <c r="AC21" s="14">
        <v>220</v>
      </c>
      <c r="AD21" s="228">
        <v>221</v>
      </c>
    </row>
    <row r="22" spans="1:30" ht="14.1" customHeight="1">
      <c r="A22" s="210">
        <v>0.41</v>
      </c>
      <c r="B22" s="14"/>
      <c r="C22" s="14"/>
      <c r="D22" s="14"/>
      <c r="E22" s="14"/>
      <c r="F22" s="14"/>
      <c r="G22" s="14"/>
      <c r="H22" s="14"/>
      <c r="I22" s="14">
        <v>206</v>
      </c>
      <c r="J22" s="228">
        <v>207</v>
      </c>
      <c r="K22" s="210">
        <v>0.41</v>
      </c>
      <c r="L22" s="14"/>
      <c r="M22" s="14"/>
      <c r="N22" s="14">
        <v>206</v>
      </c>
      <c r="O22" s="14">
        <v>207</v>
      </c>
      <c r="P22" s="14">
        <v>208</v>
      </c>
      <c r="Q22" s="14">
        <v>208</v>
      </c>
      <c r="R22" s="14">
        <v>209</v>
      </c>
      <c r="S22" s="14">
        <v>209</v>
      </c>
      <c r="T22" s="228">
        <v>210</v>
      </c>
      <c r="U22" s="210">
        <v>0.41</v>
      </c>
      <c r="V22" s="14"/>
      <c r="W22" s="14"/>
      <c r="X22" s="14">
        <v>213</v>
      </c>
      <c r="Y22" s="14">
        <v>215</v>
      </c>
      <c r="Z22" s="14">
        <v>217</v>
      </c>
      <c r="AA22" s="14">
        <v>220</v>
      </c>
      <c r="AB22" s="14">
        <v>222</v>
      </c>
      <c r="AC22" s="14">
        <v>224</v>
      </c>
      <c r="AD22" s="228">
        <v>225</v>
      </c>
    </row>
    <row r="23" spans="1:30" ht="14.1" customHeight="1" thickBot="1">
      <c r="A23" s="211">
        <v>0.42</v>
      </c>
      <c r="B23" s="212"/>
      <c r="C23" s="212"/>
      <c r="D23" s="212"/>
      <c r="E23" s="212"/>
      <c r="F23" s="212"/>
      <c r="G23" s="212"/>
      <c r="H23" s="212"/>
      <c r="I23" s="212"/>
      <c r="J23" s="181">
        <v>211</v>
      </c>
      <c r="K23" s="211">
        <v>0.42</v>
      </c>
      <c r="L23" s="212"/>
      <c r="M23" s="212"/>
      <c r="N23" s="212">
        <v>211</v>
      </c>
      <c r="O23" s="212">
        <v>211</v>
      </c>
      <c r="P23" s="212">
        <v>212</v>
      </c>
      <c r="Q23" s="212">
        <v>212</v>
      </c>
      <c r="R23" s="212">
        <v>213</v>
      </c>
      <c r="S23" s="212">
        <v>213</v>
      </c>
      <c r="T23" s="181">
        <v>214</v>
      </c>
      <c r="U23" s="211">
        <v>0.42</v>
      </c>
      <c r="V23" s="212"/>
      <c r="W23" s="212"/>
      <c r="X23" s="212">
        <v>218</v>
      </c>
      <c r="Y23" s="212">
        <v>220</v>
      </c>
      <c r="Z23" s="212">
        <v>222</v>
      </c>
      <c r="AA23" s="212">
        <v>224</v>
      </c>
      <c r="AB23" s="212">
        <v>226</v>
      </c>
      <c r="AC23" s="212">
        <v>228</v>
      </c>
      <c r="AD23" s="181">
        <v>229</v>
      </c>
    </row>
    <row r="25" spans="1:30" ht="14.1" customHeight="1" thickBot="1">
      <c r="A25" s="79" t="s">
        <v>447</v>
      </c>
      <c r="N25" s="79" t="s">
        <v>448</v>
      </c>
    </row>
    <row r="26" spans="1:30" ht="14.1" customHeight="1">
      <c r="A26" s="312"/>
      <c r="B26" s="800" t="s">
        <v>25</v>
      </c>
      <c r="C26" s="800"/>
      <c r="D26" s="800"/>
      <c r="E26" s="800"/>
      <c r="F26" s="800"/>
      <c r="G26" s="800"/>
      <c r="H26" s="800"/>
      <c r="I26" s="800"/>
      <c r="J26" s="800"/>
      <c r="K26" s="800"/>
      <c r="L26" s="800"/>
      <c r="M26" s="225"/>
      <c r="N26" s="312"/>
      <c r="O26" s="799" t="s">
        <v>25</v>
      </c>
      <c r="P26" s="799"/>
      <c r="Q26" s="799"/>
      <c r="R26" s="799"/>
      <c r="S26" s="799"/>
      <c r="T26" s="799"/>
      <c r="U26" s="799"/>
      <c r="V26" s="799"/>
      <c r="W26" s="799"/>
      <c r="X26" s="799"/>
      <c r="Y26" s="799"/>
      <c r="Z26" s="799"/>
      <c r="AA26" s="799"/>
    </row>
    <row r="27" spans="1:30" ht="14.1" customHeight="1">
      <c r="A27" s="210" t="s">
        <v>358</v>
      </c>
      <c r="B27" s="14">
        <v>22</v>
      </c>
      <c r="C27" s="14">
        <v>23</v>
      </c>
      <c r="D27" s="14">
        <v>24</v>
      </c>
      <c r="E27" s="14">
        <v>25</v>
      </c>
      <c r="F27" s="14">
        <v>26</v>
      </c>
      <c r="G27" s="14">
        <v>27</v>
      </c>
      <c r="H27" s="14">
        <v>28</v>
      </c>
      <c r="I27" s="14">
        <v>29</v>
      </c>
      <c r="J27" s="14">
        <v>30</v>
      </c>
      <c r="K27" s="14">
        <v>31</v>
      </c>
      <c r="L27" s="14">
        <v>32</v>
      </c>
      <c r="M27" s="228">
        <v>33</v>
      </c>
      <c r="N27" s="210" t="s">
        <v>358</v>
      </c>
      <c r="O27" s="14">
        <v>27</v>
      </c>
      <c r="P27" s="14">
        <v>28</v>
      </c>
      <c r="Q27" s="14">
        <v>29</v>
      </c>
      <c r="R27" s="14">
        <v>30</v>
      </c>
      <c r="S27" s="14">
        <v>31</v>
      </c>
      <c r="T27" s="14">
        <v>32</v>
      </c>
      <c r="U27" s="14">
        <v>33</v>
      </c>
      <c r="V27" s="14">
        <v>34</v>
      </c>
      <c r="W27" s="14">
        <v>35</v>
      </c>
      <c r="X27" s="14">
        <v>36</v>
      </c>
      <c r="Y27" s="14">
        <v>37</v>
      </c>
      <c r="Z27" s="14">
        <v>38</v>
      </c>
      <c r="AA27" s="228">
        <v>39</v>
      </c>
    </row>
    <row r="28" spans="1:30" ht="14.1" customHeight="1">
      <c r="A28" s="210">
        <v>0.3</v>
      </c>
      <c r="B28" s="14">
        <v>152</v>
      </c>
      <c r="C28" s="14">
        <v>157</v>
      </c>
      <c r="D28" s="14">
        <v>163</v>
      </c>
      <c r="E28" s="14">
        <v>166</v>
      </c>
      <c r="F28" s="14">
        <v>170</v>
      </c>
      <c r="G28" s="14">
        <v>173</v>
      </c>
      <c r="H28" s="14">
        <v>175</v>
      </c>
      <c r="I28" s="14">
        <v>177</v>
      </c>
      <c r="J28" s="14">
        <v>179</v>
      </c>
      <c r="K28" s="14">
        <v>182</v>
      </c>
      <c r="L28" s="14">
        <v>184</v>
      </c>
      <c r="M28" s="228">
        <v>187</v>
      </c>
      <c r="N28" s="210">
        <v>0.4</v>
      </c>
      <c r="O28" s="14">
        <v>222</v>
      </c>
      <c r="P28" s="14">
        <v>226</v>
      </c>
      <c r="Q28" s="14">
        <v>229</v>
      </c>
      <c r="R28" s="14">
        <v>231</v>
      </c>
      <c r="S28" s="14">
        <v>234</v>
      </c>
      <c r="T28" s="14">
        <v>236</v>
      </c>
      <c r="U28" s="14">
        <v>239</v>
      </c>
      <c r="V28" s="14">
        <v>241</v>
      </c>
      <c r="W28" s="14">
        <v>244</v>
      </c>
      <c r="X28" s="14">
        <v>246</v>
      </c>
      <c r="Y28" s="14">
        <v>248</v>
      </c>
      <c r="Z28" s="14">
        <v>250</v>
      </c>
      <c r="AA28" s="228">
        <v>252</v>
      </c>
    </row>
    <row r="29" spans="1:30" ht="14.1" customHeight="1">
      <c r="A29" s="210">
        <v>0.32500000000000001</v>
      </c>
      <c r="B29" s="14">
        <v>163</v>
      </c>
      <c r="C29" s="14">
        <v>169</v>
      </c>
      <c r="D29" s="14">
        <v>174</v>
      </c>
      <c r="E29" s="14">
        <v>177</v>
      </c>
      <c r="F29" s="14">
        <v>181</v>
      </c>
      <c r="G29" s="14">
        <v>183</v>
      </c>
      <c r="H29" s="14">
        <v>186</v>
      </c>
      <c r="I29" s="14">
        <v>188</v>
      </c>
      <c r="J29" s="14">
        <v>190</v>
      </c>
      <c r="K29" s="14">
        <v>192</v>
      </c>
      <c r="L29" s="14">
        <v>195</v>
      </c>
      <c r="M29" s="228">
        <v>197</v>
      </c>
      <c r="N29" s="210">
        <v>0.42499999999999999</v>
      </c>
      <c r="O29" s="14">
        <v>233</v>
      </c>
      <c r="P29" s="14">
        <v>236</v>
      </c>
      <c r="Q29" s="14">
        <v>239</v>
      </c>
      <c r="R29" s="14">
        <v>242</v>
      </c>
      <c r="S29" s="14">
        <v>244</v>
      </c>
      <c r="T29" s="14">
        <v>246</v>
      </c>
      <c r="U29" s="14">
        <v>248</v>
      </c>
      <c r="V29" s="14">
        <v>251</v>
      </c>
      <c r="W29" s="14">
        <v>253</v>
      </c>
      <c r="X29" s="14">
        <v>256</v>
      </c>
      <c r="Y29" s="14">
        <v>258</v>
      </c>
      <c r="Z29" s="14">
        <v>260</v>
      </c>
      <c r="AA29" s="228">
        <v>262</v>
      </c>
    </row>
    <row r="30" spans="1:30" ht="14.1" customHeight="1">
      <c r="A30" s="210">
        <v>0.35</v>
      </c>
      <c r="B30" s="14">
        <v>175</v>
      </c>
      <c r="C30" s="14">
        <v>180</v>
      </c>
      <c r="D30" s="14">
        <v>185</v>
      </c>
      <c r="E30" s="14">
        <v>188</v>
      </c>
      <c r="F30" s="14">
        <v>191</v>
      </c>
      <c r="G30" s="14">
        <v>194</v>
      </c>
      <c r="H30" s="14">
        <v>196</v>
      </c>
      <c r="I30" s="14">
        <v>198</v>
      </c>
      <c r="J30" s="14">
        <v>200</v>
      </c>
      <c r="K30" s="14">
        <v>202</v>
      </c>
      <c r="L30" s="14">
        <v>205</v>
      </c>
      <c r="M30" s="228">
        <v>207</v>
      </c>
      <c r="N30" s="210">
        <v>0.45</v>
      </c>
      <c r="O30" s="14">
        <v>244</v>
      </c>
      <c r="P30" s="14">
        <v>247</v>
      </c>
      <c r="Q30" s="14">
        <v>249</v>
      </c>
      <c r="R30" s="14">
        <v>252</v>
      </c>
      <c r="S30" s="14">
        <v>254</v>
      </c>
      <c r="T30" s="14">
        <v>256</v>
      </c>
      <c r="U30" s="14">
        <v>258</v>
      </c>
      <c r="V30" s="14">
        <v>260</v>
      </c>
      <c r="W30" s="14">
        <v>263</v>
      </c>
      <c r="X30" s="14">
        <v>265</v>
      </c>
      <c r="Y30" s="14">
        <v>267</v>
      </c>
      <c r="Z30" s="14">
        <v>269</v>
      </c>
      <c r="AA30" s="228">
        <v>271</v>
      </c>
    </row>
    <row r="31" spans="1:30" ht="14.1" customHeight="1">
      <c r="A31" s="210">
        <v>0.375</v>
      </c>
      <c r="B31" s="14">
        <v>186</v>
      </c>
      <c r="C31" s="14">
        <v>191</v>
      </c>
      <c r="D31" s="14">
        <v>196</v>
      </c>
      <c r="E31" s="14">
        <v>199</v>
      </c>
      <c r="F31" s="14">
        <v>202</v>
      </c>
      <c r="G31" s="14">
        <v>205</v>
      </c>
      <c r="H31" s="14">
        <v>207</v>
      </c>
      <c r="I31" s="14">
        <v>209</v>
      </c>
      <c r="J31" s="14">
        <v>211</v>
      </c>
      <c r="K31" s="14">
        <v>213</v>
      </c>
      <c r="L31" s="14">
        <v>215</v>
      </c>
      <c r="M31" s="228">
        <v>218</v>
      </c>
      <c r="N31" s="210">
        <v>0.47499999999999998</v>
      </c>
      <c r="O31" s="14">
        <v>254</v>
      </c>
      <c r="P31" s="14">
        <v>257</v>
      </c>
      <c r="Q31" s="14">
        <v>260</v>
      </c>
      <c r="R31" s="14">
        <v>262</v>
      </c>
      <c r="S31" s="14">
        <v>264</v>
      </c>
      <c r="T31" s="14">
        <v>266</v>
      </c>
      <c r="U31" s="14">
        <v>268</v>
      </c>
      <c r="V31" s="14">
        <v>270</v>
      </c>
      <c r="W31" s="14">
        <v>273</v>
      </c>
      <c r="X31" s="14">
        <v>275</v>
      </c>
      <c r="Y31" s="14">
        <v>277</v>
      </c>
      <c r="Z31" s="14">
        <v>279</v>
      </c>
      <c r="AA31" s="228">
        <v>281</v>
      </c>
    </row>
    <row r="32" spans="1:30" ht="14.1" customHeight="1">
      <c r="A32" s="210">
        <v>0.4</v>
      </c>
      <c r="B32" s="14">
        <v>198</v>
      </c>
      <c r="C32" s="14">
        <v>203</v>
      </c>
      <c r="D32" s="14">
        <v>207</v>
      </c>
      <c r="E32" s="14">
        <v>210</v>
      </c>
      <c r="F32" s="14">
        <v>213</v>
      </c>
      <c r="G32" s="14">
        <v>215</v>
      </c>
      <c r="H32" s="14">
        <v>217</v>
      </c>
      <c r="I32" s="14">
        <v>219</v>
      </c>
      <c r="J32" s="14">
        <v>221</v>
      </c>
      <c r="K32" s="14">
        <v>223</v>
      </c>
      <c r="L32" s="14">
        <v>226</v>
      </c>
      <c r="M32" s="228">
        <v>228</v>
      </c>
      <c r="N32" s="210">
        <v>0.5</v>
      </c>
      <c r="O32" s="14">
        <v>265</v>
      </c>
      <c r="P32" s="14">
        <v>267</v>
      </c>
      <c r="Q32" s="14">
        <v>270</v>
      </c>
      <c r="R32" s="14">
        <v>272</v>
      </c>
      <c r="S32" s="14">
        <v>274</v>
      </c>
      <c r="T32" s="14">
        <v>276</v>
      </c>
      <c r="U32" s="14">
        <v>278</v>
      </c>
      <c r="V32" s="14">
        <v>280</v>
      </c>
      <c r="W32" s="14">
        <v>282</v>
      </c>
      <c r="X32" s="14">
        <v>284</v>
      </c>
      <c r="Y32" s="14">
        <v>286</v>
      </c>
      <c r="Z32" s="14">
        <v>288</v>
      </c>
      <c r="AA32" s="228">
        <v>290</v>
      </c>
    </row>
    <row r="33" spans="1:27" ht="14.1" customHeight="1">
      <c r="A33" s="210">
        <v>0.42499999999999999</v>
      </c>
      <c r="B33" s="14">
        <v>209</v>
      </c>
      <c r="C33" s="14">
        <v>214</v>
      </c>
      <c r="D33" s="14">
        <v>218</v>
      </c>
      <c r="E33" s="14">
        <v>221</v>
      </c>
      <c r="F33" s="14">
        <v>224</v>
      </c>
      <c r="G33" s="14">
        <v>226</v>
      </c>
      <c r="H33" s="14">
        <v>228</v>
      </c>
      <c r="I33" s="14">
        <v>230</v>
      </c>
      <c r="J33" s="14">
        <v>232</v>
      </c>
      <c r="K33" s="14">
        <v>234</v>
      </c>
      <c r="L33" s="14">
        <v>236</v>
      </c>
      <c r="M33" s="228">
        <v>238</v>
      </c>
      <c r="N33" s="210">
        <v>0.52500000000000002</v>
      </c>
      <c r="O33" s="14">
        <v>275</v>
      </c>
      <c r="P33" s="14">
        <v>278</v>
      </c>
      <c r="Q33" s="14">
        <v>280</v>
      </c>
      <c r="R33" s="14">
        <v>282</v>
      </c>
      <c r="S33" s="14">
        <v>284</v>
      </c>
      <c r="T33" s="14">
        <v>286</v>
      </c>
      <c r="U33" s="14">
        <v>288</v>
      </c>
      <c r="V33" s="14">
        <v>290</v>
      </c>
      <c r="W33" s="14">
        <v>292</v>
      </c>
      <c r="X33" s="14">
        <v>294</v>
      </c>
      <c r="Y33" s="14">
        <v>296</v>
      </c>
      <c r="Z33" s="14">
        <v>298</v>
      </c>
      <c r="AA33" s="228">
        <v>300</v>
      </c>
    </row>
    <row r="34" spans="1:27" ht="14.1" customHeight="1">
      <c r="A34" s="210">
        <v>0.45</v>
      </c>
      <c r="B34" s="14">
        <v>221</v>
      </c>
      <c r="C34" s="14">
        <v>226</v>
      </c>
      <c r="D34" s="14">
        <v>230</v>
      </c>
      <c r="E34" s="14">
        <v>232</v>
      </c>
      <c r="F34" s="14">
        <v>235</v>
      </c>
      <c r="G34" s="14">
        <v>237</v>
      </c>
      <c r="H34" s="14">
        <v>238</v>
      </c>
      <c r="I34" s="14">
        <v>240</v>
      </c>
      <c r="J34" s="14">
        <v>242</v>
      </c>
      <c r="K34" s="14">
        <v>244</v>
      </c>
      <c r="L34" s="14">
        <v>246</v>
      </c>
      <c r="M34" s="228">
        <v>248</v>
      </c>
      <c r="N34" s="210">
        <v>0.55000000000000004</v>
      </c>
      <c r="O34" s="14">
        <v>286</v>
      </c>
      <c r="P34" s="14">
        <v>288</v>
      </c>
      <c r="Q34" s="14">
        <v>290</v>
      </c>
      <c r="R34" s="14">
        <v>292</v>
      </c>
      <c r="S34" s="14">
        <v>294</v>
      </c>
      <c r="T34" s="14">
        <v>296</v>
      </c>
      <c r="U34" s="14">
        <v>298</v>
      </c>
      <c r="V34" s="14">
        <v>299</v>
      </c>
      <c r="W34" s="14">
        <v>301</v>
      </c>
      <c r="X34" s="14">
        <v>303</v>
      </c>
      <c r="Y34" s="14">
        <v>305</v>
      </c>
      <c r="Z34" s="14">
        <v>307</v>
      </c>
      <c r="AA34" s="228">
        <v>309</v>
      </c>
    </row>
    <row r="35" spans="1:27" ht="14.1" customHeight="1">
      <c r="A35" s="210">
        <v>0.47499999999999998</v>
      </c>
      <c r="B35" s="14">
        <v>233</v>
      </c>
      <c r="C35" s="14">
        <v>237</v>
      </c>
      <c r="D35" s="14">
        <v>241</v>
      </c>
      <c r="E35" s="14">
        <v>243</v>
      </c>
      <c r="F35" s="14">
        <v>245</v>
      </c>
      <c r="G35" s="14">
        <v>247</v>
      </c>
      <c r="H35" s="14">
        <v>249</v>
      </c>
      <c r="I35" s="14">
        <v>251</v>
      </c>
      <c r="J35" s="14">
        <v>253</v>
      </c>
      <c r="K35" s="14">
        <v>254</v>
      </c>
      <c r="L35" s="14">
        <v>256</v>
      </c>
      <c r="M35" s="228">
        <v>258</v>
      </c>
      <c r="N35" s="210">
        <v>0.57499999999999996</v>
      </c>
      <c r="O35" s="14">
        <v>296</v>
      </c>
      <c r="P35" s="14">
        <v>298</v>
      </c>
      <c r="Q35" s="14">
        <v>3090</v>
      </c>
      <c r="R35" s="14">
        <v>302</v>
      </c>
      <c r="S35" s="14">
        <v>304</v>
      </c>
      <c r="T35" s="14">
        <v>305</v>
      </c>
      <c r="U35" s="14">
        <v>307</v>
      </c>
      <c r="V35" s="14">
        <v>309</v>
      </c>
      <c r="W35" s="14">
        <v>311</v>
      </c>
      <c r="X35" s="14">
        <v>313</v>
      </c>
      <c r="Y35" s="14">
        <v>315</v>
      </c>
      <c r="Z35" s="14">
        <v>317</v>
      </c>
      <c r="AA35" s="228">
        <v>318</v>
      </c>
    </row>
    <row r="36" spans="1:27" ht="14.1" customHeight="1">
      <c r="A36" s="210">
        <v>0.5</v>
      </c>
      <c r="B36" s="14">
        <v>244</v>
      </c>
      <c r="C36" s="14">
        <v>248</v>
      </c>
      <c r="D36" s="14">
        <v>252</v>
      </c>
      <c r="E36" s="14">
        <v>254</v>
      </c>
      <c r="F36" s="14">
        <v>256</v>
      </c>
      <c r="G36" s="14">
        <v>258</v>
      </c>
      <c r="H36" s="14">
        <v>260</v>
      </c>
      <c r="I36" s="14">
        <v>261</v>
      </c>
      <c r="J36" s="14">
        <v>263</v>
      </c>
      <c r="K36" s="14">
        <v>265</v>
      </c>
      <c r="L36" s="14">
        <v>267</v>
      </c>
      <c r="M36" s="228">
        <v>269</v>
      </c>
      <c r="N36" s="210">
        <v>0.6</v>
      </c>
      <c r="O36" s="14">
        <v>306</v>
      </c>
      <c r="P36" s="14">
        <v>308</v>
      </c>
      <c r="Q36" s="14">
        <v>310</v>
      </c>
      <c r="R36" s="14">
        <v>312</v>
      </c>
      <c r="S36" s="14">
        <v>313</v>
      </c>
      <c r="T36" s="14">
        <v>315</v>
      </c>
      <c r="U36" s="14">
        <v>317</v>
      </c>
      <c r="V36" s="14">
        <v>319</v>
      </c>
      <c r="W36" s="14">
        <v>320</v>
      </c>
      <c r="X36" s="14">
        <v>322</v>
      </c>
      <c r="Y36" s="14">
        <v>324</v>
      </c>
      <c r="Z36" s="14">
        <v>326</v>
      </c>
      <c r="AA36" s="228">
        <v>328</v>
      </c>
    </row>
    <row r="37" spans="1:27" ht="14.1" customHeight="1">
      <c r="A37" s="210">
        <v>0.52500000000000002</v>
      </c>
      <c r="B37" s="14">
        <v>256</v>
      </c>
      <c r="C37" s="14">
        <v>260</v>
      </c>
      <c r="D37" s="14">
        <v>263</v>
      </c>
      <c r="E37" s="14">
        <v>265</v>
      </c>
      <c r="F37" s="14">
        <v>267</v>
      </c>
      <c r="G37" s="14">
        <v>269</v>
      </c>
      <c r="H37" s="14">
        <v>270</v>
      </c>
      <c r="I37" s="14">
        <v>272</v>
      </c>
      <c r="J37" s="14">
        <v>273</v>
      </c>
      <c r="K37" s="14">
        <v>275</v>
      </c>
      <c r="L37" s="14">
        <v>277</v>
      </c>
      <c r="M37" s="228">
        <v>279</v>
      </c>
      <c r="N37" s="210">
        <v>0.625</v>
      </c>
      <c r="O37" s="14">
        <v>316</v>
      </c>
      <c r="P37" s="14">
        <v>318</v>
      </c>
      <c r="Q37" s="14">
        <v>320</v>
      </c>
      <c r="R37" s="14">
        <v>322</v>
      </c>
      <c r="S37" s="14">
        <v>323</v>
      </c>
      <c r="T37" s="14">
        <v>325</v>
      </c>
      <c r="U37" s="14">
        <v>326</v>
      </c>
      <c r="V37" s="14">
        <v>328</v>
      </c>
      <c r="W37" s="14">
        <v>330</v>
      </c>
      <c r="X37" s="14">
        <v>332</v>
      </c>
      <c r="Y37" s="14">
        <v>333</v>
      </c>
      <c r="Z37" s="14">
        <v>335</v>
      </c>
      <c r="AA37" s="228">
        <v>337</v>
      </c>
    </row>
    <row r="38" spans="1:27" ht="14.1" customHeight="1">
      <c r="A38" s="210">
        <v>0.55000000000000004</v>
      </c>
      <c r="B38" s="14">
        <v>267</v>
      </c>
      <c r="C38" s="14">
        <v>271</v>
      </c>
      <c r="D38" s="14">
        <v>274</v>
      </c>
      <c r="E38" s="14">
        <v>276</v>
      </c>
      <c r="F38" s="14">
        <v>278</v>
      </c>
      <c r="G38" s="14">
        <v>279</v>
      </c>
      <c r="H38" s="14">
        <v>281</v>
      </c>
      <c r="I38" s="14">
        <v>282</v>
      </c>
      <c r="J38" s="14">
        <v>284</v>
      </c>
      <c r="K38" s="14">
        <v>285</v>
      </c>
      <c r="L38" s="14">
        <v>287</v>
      </c>
      <c r="M38" s="228">
        <v>289</v>
      </c>
      <c r="N38" s="210">
        <v>0.65</v>
      </c>
      <c r="O38" s="14">
        <v>326</v>
      </c>
      <c r="P38" s="14">
        <v>328</v>
      </c>
      <c r="Q38" s="14">
        <v>330</v>
      </c>
      <c r="R38" s="14">
        <v>331</v>
      </c>
      <c r="S38" s="14">
        <v>333</v>
      </c>
      <c r="T38" s="14">
        <v>334</v>
      </c>
      <c r="U38" s="14">
        <v>336</v>
      </c>
      <c r="V38" s="14">
        <v>338</v>
      </c>
      <c r="W38" s="14">
        <v>339</v>
      </c>
      <c r="X38" s="14">
        <v>341</v>
      </c>
      <c r="Y38" s="14">
        <v>343</v>
      </c>
      <c r="Z38" s="14">
        <v>344</v>
      </c>
      <c r="AA38" s="228">
        <v>346</v>
      </c>
    </row>
    <row r="39" spans="1:27" ht="14.1" customHeight="1">
      <c r="A39" s="210">
        <v>0.57499999999999996</v>
      </c>
      <c r="B39" s="14">
        <v>279</v>
      </c>
      <c r="C39" s="14">
        <v>282</v>
      </c>
      <c r="D39" s="14">
        <v>285</v>
      </c>
      <c r="E39" s="14">
        <v>287</v>
      </c>
      <c r="F39" s="14">
        <v>288</v>
      </c>
      <c r="G39" s="14">
        <v>290</v>
      </c>
      <c r="H39" s="14">
        <v>291</v>
      </c>
      <c r="I39" s="14">
        <v>292</v>
      </c>
      <c r="J39" s="14">
        <v>294</v>
      </c>
      <c r="K39" s="14">
        <v>296</v>
      </c>
      <c r="L39" s="14">
        <v>297</v>
      </c>
      <c r="M39" s="228">
        <v>299</v>
      </c>
      <c r="N39" s="210">
        <v>0.67500000000000004</v>
      </c>
      <c r="O39" s="14">
        <v>336</v>
      </c>
      <c r="P39" s="14">
        <v>338</v>
      </c>
      <c r="Q39" s="14">
        <v>339</v>
      </c>
      <c r="R39" s="14">
        <v>341</v>
      </c>
      <c r="S39" s="14">
        <v>342</v>
      </c>
      <c r="T39" s="14">
        <v>344</v>
      </c>
      <c r="U39" s="14">
        <v>345</v>
      </c>
      <c r="V39" s="14">
        <v>347</v>
      </c>
      <c r="W39" s="14">
        <v>349</v>
      </c>
      <c r="X39" s="14">
        <v>350</v>
      </c>
      <c r="Y39" s="14">
        <v>352</v>
      </c>
      <c r="Z39" s="14">
        <v>354</v>
      </c>
      <c r="AA39" s="228">
        <v>355</v>
      </c>
    </row>
    <row r="40" spans="1:27" ht="14.1" customHeight="1">
      <c r="A40" s="210">
        <v>0.6</v>
      </c>
      <c r="B40" s="14">
        <v>290</v>
      </c>
      <c r="C40" s="14">
        <v>293</v>
      </c>
      <c r="D40" s="14">
        <v>296</v>
      </c>
      <c r="E40" s="14">
        <v>297</v>
      </c>
      <c r="F40" s="14">
        <v>299</v>
      </c>
      <c r="G40" s="14">
        <v>300</v>
      </c>
      <c r="H40" s="14">
        <v>301</v>
      </c>
      <c r="I40" s="14">
        <v>303</v>
      </c>
      <c r="J40" s="14">
        <v>304</v>
      </c>
      <c r="K40" s="14">
        <v>306</v>
      </c>
      <c r="L40" s="14">
        <v>308</v>
      </c>
      <c r="M40" s="228">
        <v>310</v>
      </c>
      <c r="N40" s="210">
        <v>0.7</v>
      </c>
      <c r="O40" s="14">
        <v>346</v>
      </c>
      <c r="P40" s="14">
        <v>348</v>
      </c>
      <c r="Q40" s="14">
        <v>349</v>
      </c>
      <c r="R40" s="14">
        <v>350</v>
      </c>
      <c r="S40" s="14">
        <v>352</v>
      </c>
      <c r="T40" s="14">
        <v>353</v>
      </c>
      <c r="U40" s="14">
        <v>355</v>
      </c>
      <c r="V40" s="14">
        <v>356</v>
      </c>
      <c r="W40" s="14">
        <v>358</v>
      </c>
      <c r="X40" s="14">
        <v>359</v>
      </c>
      <c r="Y40" s="14">
        <v>361</v>
      </c>
      <c r="Z40" s="14">
        <v>363</v>
      </c>
      <c r="AA40" s="228">
        <v>364</v>
      </c>
    </row>
    <row r="41" spans="1:27" ht="14.1" customHeight="1">
      <c r="A41" s="210">
        <v>0.625</v>
      </c>
      <c r="B41" s="14">
        <v>301</v>
      </c>
      <c r="C41" s="14">
        <v>304</v>
      </c>
      <c r="D41" s="14">
        <v>306</v>
      </c>
      <c r="E41" s="14">
        <v>308</v>
      </c>
      <c r="F41" s="14">
        <v>309</v>
      </c>
      <c r="G41" s="14">
        <v>310</v>
      </c>
      <c r="H41" s="14">
        <v>312</v>
      </c>
      <c r="I41" s="14">
        <v>313</v>
      </c>
      <c r="J41" s="14">
        <v>315</v>
      </c>
      <c r="K41" s="14">
        <v>316</v>
      </c>
      <c r="L41" s="14">
        <v>318</v>
      </c>
      <c r="M41" s="228">
        <v>320</v>
      </c>
      <c r="N41" s="210">
        <v>0.72499999999999998</v>
      </c>
      <c r="O41" s="14">
        <v>356</v>
      </c>
      <c r="P41" s="14">
        <v>357</v>
      </c>
      <c r="Q41" s="14">
        <v>358</v>
      </c>
      <c r="R41" s="14">
        <v>360</v>
      </c>
      <c r="S41" s="14">
        <v>361</v>
      </c>
      <c r="T41" s="14">
        <v>362</v>
      </c>
      <c r="U41" s="14">
        <v>364</v>
      </c>
      <c r="V41" s="14">
        <v>365</v>
      </c>
      <c r="W41" s="14">
        <v>367</v>
      </c>
      <c r="X41" s="14">
        <v>368</v>
      </c>
      <c r="Y41" s="14">
        <v>370</v>
      </c>
      <c r="Z41" s="14">
        <v>372</v>
      </c>
      <c r="AA41" s="228">
        <v>373</v>
      </c>
    </row>
    <row r="42" spans="1:27" ht="14.1" customHeight="1">
      <c r="A42" s="210">
        <v>0.65</v>
      </c>
      <c r="B42" s="14">
        <v>312</v>
      </c>
      <c r="C42" s="14">
        <v>314</v>
      </c>
      <c r="D42" s="14">
        <v>317</v>
      </c>
      <c r="E42" s="14">
        <v>318</v>
      </c>
      <c r="F42" s="14">
        <v>320</v>
      </c>
      <c r="G42" s="14">
        <v>321</v>
      </c>
      <c r="H42" s="14">
        <v>322</v>
      </c>
      <c r="I42" s="14">
        <v>323</v>
      </c>
      <c r="J42" s="14">
        <v>325</v>
      </c>
      <c r="K42" s="14">
        <v>326</v>
      </c>
      <c r="L42" s="14">
        <v>328</v>
      </c>
      <c r="M42" s="228">
        <v>330</v>
      </c>
      <c r="N42" s="210">
        <v>0.75</v>
      </c>
      <c r="O42" s="14">
        <v>365</v>
      </c>
      <c r="P42" s="14">
        <v>367</v>
      </c>
      <c r="Q42" s="14">
        <v>368</v>
      </c>
      <c r="R42" s="14">
        <v>369</v>
      </c>
      <c r="S42" s="14">
        <v>370</v>
      </c>
      <c r="T42" s="14">
        <v>372</v>
      </c>
      <c r="U42" s="14">
        <v>373</v>
      </c>
      <c r="V42" s="14">
        <v>375</v>
      </c>
      <c r="W42" s="14">
        <v>376</v>
      </c>
      <c r="X42" s="14">
        <v>378</v>
      </c>
      <c r="Y42" s="14">
        <v>379</v>
      </c>
      <c r="Z42" s="14">
        <v>381</v>
      </c>
      <c r="AA42" s="228">
        <v>382</v>
      </c>
    </row>
    <row r="43" spans="1:27" ht="14.1" customHeight="1">
      <c r="A43" s="210">
        <v>0.67500000000000004</v>
      </c>
      <c r="B43" s="14">
        <v>322</v>
      </c>
      <c r="C43" s="14">
        <v>325</v>
      </c>
      <c r="D43" s="14">
        <v>327</v>
      </c>
      <c r="E43" s="14">
        <v>328</v>
      </c>
      <c r="F43" s="14">
        <v>330</v>
      </c>
      <c r="G43" s="14">
        <v>331</v>
      </c>
      <c r="H43" s="14">
        <v>333</v>
      </c>
      <c r="I43" s="14">
        <v>333</v>
      </c>
      <c r="J43" s="14">
        <v>335</v>
      </c>
      <c r="K43" s="14">
        <v>336</v>
      </c>
      <c r="L43" s="14">
        <v>338</v>
      </c>
      <c r="M43" s="228">
        <v>340</v>
      </c>
      <c r="N43" s="210">
        <v>0.77500000000000002</v>
      </c>
      <c r="O43" s="14">
        <v>374</v>
      </c>
      <c r="P43" s="14">
        <v>376</v>
      </c>
      <c r="Q43" s="14">
        <v>377</v>
      </c>
      <c r="R43" s="14">
        <v>378</v>
      </c>
      <c r="S43" s="14">
        <v>379</v>
      </c>
      <c r="T43" s="14">
        <v>381</v>
      </c>
      <c r="U43" s="14">
        <v>382</v>
      </c>
      <c r="V43" s="14">
        <v>383</v>
      </c>
      <c r="W43" s="14">
        <v>385</v>
      </c>
      <c r="X43" s="14">
        <v>386</v>
      </c>
      <c r="Y43" s="14">
        <v>388</v>
      </c>
      <c r="Z43" s="14">
        <v>390</v>
      </c>
      <c r="AA43" s="228">
        <v>391</v>
      </c>
    </row>
    <row r="44" spans="1:27" ht="14.1" customHeight="1">
      <c r="A44" s="210">
        <v>0.7</v>
      </c>
      <c r="B44" s="14">
        <v>333</v>
      </c>
      <c r="C44" s="14">
        <v>335</v>
      </c>
      <c r="D44" s="14">
        <v>337</v>
      </c>
      <c r="E44" s="14">
        <v>339</v>
      </c>
      <c r="F44" s="14">
        <v>340</v>
      </c>
      <c r="G44" s="14">
        <v>341</v>
      </c>
      <c r="H44" s="14">
        <v>342</v>
      </c>
      <c r="I44" s="14">
        <v>343</v>
      </c>
      <c r="J44" s="14">
        <v>345</v>
      </c>
      <c r="K44" s="14">
        <v>346</v>
      </c>
      <c r="L44" s="14">
        <v>348</v>
      </c>
      <c r="M44" s="228">
        <v>350</v>
      </c>
      <c r="N44" s="210">
        <v>0.79999999999999905</v>
      </c>
      <c r="O44" s="14">
        <v>384</v>
      </c>
      <c r="P44" s="14">
        <v>385</v>
      </c>
      <c r="Q44" s="14">
        <v>386</v>
      </c>
      <c r="R44" s="14">
        <v>387</v>
      </c>
      <c r="S44" s="14">
        <v>388</v>
      </c>
      <c r="T44" s="14">
        <v>390</v>
      </c>
      <c r="U44" s="14">
        <v>391</v>
      </c>
      <c r="V44" s="14">
        <v>392</v>
      </c>
      <c r="W44" s="14">
        <v>394</v>
      </c>
      <c r="X44" s="14">
        <v>395</v>
      </c>
      <c r="Y44" s="14">
        <v>397</v>
      </c>
      <c r="Z44" s="14">
        <v>398</v>
      </c>
      <c r="AA44" s="228">
        <v>400</v>
      </c>
    </row>
    <row r="45" spans="1:27" ht="14.1" customHeight="1">
      <c r="A45" s="210">
        <v>0.72499999999999998</v>
      </c>
      <c r="B45" s="14">
        <v>342</v>
      </c>
      <c r="C45" s="14">
        <v>345</v>
      </c>
      <c r="D45" s="14">
        <v>347</v>
      </c>
      <c r="E45" s="14">
        <v>348</v>
      </c>
      <c r="F45" s="14">
        <v>349</v>
      </c>
      <c r="G45" s="14">
        <v>351</v>
      </c>
      <c r="H45" s="14">
        <v>352</v>
      </c>
      <c r="I45" s="14">
        <v>353</v>
      </c>
      <c r="J45" s="14">
        <v>354</v>
      </c>
      <c r="K45" s="14">
        <v>356</v>
      </c>
      <c r="L45" s="14">
        <v>358</v>
      </c>
      <c r="M45" s="228">
        <v>360</v>
      </c>
      <c r="N45" s="210">
        <v>0.82499999999999896</v>
      </c>
      <c r="O45" s="14">
        <v>393</v>
      </c>
      <c r="P45" s="14">
        <v>394</v>
      </c>
      <c r="Q45" s="14">
        <v>395</v>
      </c>
      <c r="R45" s="14">
        <v>396</v>
      </c>
      <c r="S45" s="14">
        <v>397</v>
      </c>
      <c r="T45" s="14">
        <v>399</v>
      </c>
      <c r="U45" s="14">
        <v>400</v>
      </c>
      <c r="V45" s="14">
        <v>401</v>
      </c>
      <c r="W45" s="14">
        <v>403</v>
      </c>
      <c r="X45" s="14">
        <v>404</v>
      </c>
      <c r="Y45" s="14">
        <v>406</v>
      </c>
      <c r="Z45" s="14">
        <v>407</v>
      </c>
      <c r="AA45" s="228">
        <v>408</v>
      </c>
    </row>
    <row r="46" spans="1:27" ht="14.1" customHeight="1">
      <c r="A46" s="210">
        <v>0.75</v>
      </c>
      <c r="B46" s="14">
        <v>352</v>
      </c>
      <c r="C46" s="14">
        <v>355</v>
      </c>
      <c r="D46" s="14">
        <v>357</v>
      </c>
      <c r="E46" s="14">
        <v>358</v>
      </c>
      <c r="F46" s="14">
        <v>359</v>
      </c>
      <c r="G46" s="14">
        <v>360</v>
      </c>
      <c r="H46" s="14">
        <v>361</v>
      </c>
      <c r="I46" s="14">
        <v>363</v>
      </c>
      <c r="J46" s="14">
        <v>364</v>
      </c>
      <c r="K46" s="14">
        <v>366</v>
      </c>
      <c r="L46" s="14">
        <v>368</v>
      </c>
      <c r="M46" s="228">
        <v>369</v>
      </c>
      <c r="N46" s="210">
        <v>0.84999999999999898</v>
      </c>
      <c r="O46" s="14">
        <v>402</v>
      </c>
      <c r="P46" s="14">
        <v>403</v>
      </c>
      <c r="Q46" s="14">
        <v>404</v>
      </c>
      <c r="R46" s="14">
        <v>405</v>
      </c>
      <c r="S46" s="14">
        <v>406</v>
      </c>
      <c r="T46" s="14">
        <v>407</v>
      </c>
      <c r="U46" s="14">
        <v>409</v>
      </c>
      <c r="V46" s="14">
        <v>410</v>
      </c>
      <c r="W46" s="14">
        <v>411</v>
      </c>
      <c r="X46" s="14">
        <v>413</v>
      </c>
      <c r="Y46" s="14">
        <v>414</v>
      </c>
      <c r="Z46" s="14">
        <v>416</v>
      </c>
      <c r="AA46" s="228">
        <v>417</v>
      </c>
    </row>
    <row r="47" spans="1:27" ht="14.1" customHeight="1">
      <c r="A47" s="210">
        <v>0.77500000000000002</v>
      </c>
      <c r="B47" s="14">
        <v>361</v>
      </c>
      <c r="C47" s="14">
        <v>365</v>
      </c>
      <c r="D47" s="14">
        <v>367</v>
      </c>
      <c r="E47" s="14">
        <v>368</v>
      </c>
      <c r="F47" s="14">
        <v>369</v>
      </c>
      <c r="G47" s="14">
        <v>370</v>
      </c>
      <c r="H47" s="14">
        <v>371</v>
      </c>
      <c r="I47" s="14">
        <v>372</v>
      </c>
      <c r="J47" s="14">
        <v>374</v>
      </c>
      <c r="K47" s="14">
        <v>375</v>
      </c>
      <c r="L47" s="14">
        <v>377</v>
      </c>
      <c r="M47" s="228">
        <v>379</v>
      </c>
      <c r="N47" s="210">
        <v>0.874999999999999</v>
      </c>
      <c r="O47" s="14">
        <v>410</v>
      </c>
      <c r="P47" s="14">
        <v>411</v>
      </c>
      <c r="Q47" s="14">
        <v>412</v>
      </c>
      <c r="R47" s="14">
        <v>413</v>
      </c>
      <c r="S47" s="14">
        <v>415</v>
      </c>
      <c r="T47" s="14">
        <v>416</v>
      </c>
      <c r="U47" s="14">
        <v>417</v>
      </c>
      <c r="V47" s="14">
        <v>418</v>
      </c>
      <c r="W47" s="14">
        <v>420</v>
      </c>
      <c r="X47" s="14">
        <v>421</v>
      </c>
      <c r="Y47" s="14">
        <v>423</v>
      </c>
      <c r="Z47" s="14">
        <v>424</v>
      </c>
      <c r="AA47" s="228">
        <v>425</v>
      </c>
    </row>
    <row r="48" spans="1:27" ht="14.1" customHeight="1" thickBot="1">
      <c r="A48" s="211">
        <v>0.8</v>
      </c>
      <c r="B48" s="212">
        <v>369</v>
      </c>
      <c r="C48" s="212">
        <v>374</v>
      </c>
      <c r="D48" s="212">
        <v>376</v>
      </c>
      <c r="E48" s="212">
        <v>377</v>
      </c>
      <c r="F48" s="212">
        <v>378</v>
      </c>
      <c r="G48" s="212">
        <v>379</v>
      </c>
      <c r="H48" s="212">
        <v>380</v>
      </c>
      <c r="I48" s="212">
        <v>382</v>
      </c>
      <c r="J48" s="212">
        <v>383</v>
      </c>
      <c r="K48" s="212">
        <v>385</v>
      </c>
      <c r="L48" s="212">
        <v>387</v>
      </c>
      <c r="M48" s="181">
        <v>389</v>
      </c>
      <c r="N48" s="210">
        <v>0.89999999999999902</v>
      </c>
      <c r="O48" s="212">
        <v>419</v>
      </c>
      <c r="P48" s="212">
        <v>420</v>
      </c>
      <c r="Q48" s="212">
        <v>421</v>
      </c>
      <c r="R48" s="212">
        <v>422</v>
      </c>
      <c r="S48" s="212">
        <v>423</v>
      </c>
      <c r="T48" s="212">
        <v>424</v>
      </c>
      <c r="U48" s="212">
        <v>425</v>
      </c>
      <c r="V48" s="212">
        <v>427</v>
      </c>
      <c r="W48" s="212">
        <v>428</v>
      </c>
      <c r="X48" s="212">
        <v>429</v>
      </c>
      <c r="Y48" s="212">
        <v>431</v>
      </c>
      <c r="Z48" s="212">
        <v>432</v>
      </c>
      <c r="AA48" s="181">
        <v>434</v>
      </c>
    </row>
    <row r="50" spans="1:19" ht="14.1" customHeight="1">
      <c r="A50" s="79" t="s">
        <v>449</v>
      </c>
    </row>
    <row r="51" spans="1:19" ht="14.1" customHeight="1">
      <c r="B51" s="801" t="s">
        <v>450</v>
      </c>
      <c r="C51" s="801" t="s">
        <v>451</v>
      </c>
      <c r="D51" s="802" t="s">
        <v>452</v>
      </c>
      <c r="E51" s="802"/>
      <c r="F51" s="802"/>
      <c r="G51" s="802"/>
      <c r="H51" s="802"/>
      <c r="I51" s="802"/>
      <c r="J51" s="802"/>
      <c r="K51" s="802"/>
    </row>
    <row r="52" spans="1:19" ht="14.1" customHeight="1">
      <c r="B52" s="801"/>
      <c r="C52" s="801"/>
      <c r="D52" s="240">
        <v>0.25</v>
      </c>
      <c r="E52" s="240">
        <v>0.3</v>
      </c>
      <c r="F52" s="240">
        <v>0.35</v>
      </c>
      <c r="G52" s="240">
        <v>0.4</v>
      </c>
      <c r="H52" s="240">
        <v>0.45</v>
      </c>
      <c r="I52" s="240">
        <v>0.5</v>
      </c>
      <c r="J52" s="240">
        <v>0.55000000000000004</v>
      </c>
      <c r="K52" s="240">
        <v>0.6</v>
      </c>
      <c r="L52" s="24" t="s">
        <v>453</v>
      </c>
      <c r="M52" s="24" t="s">
        <v>454</v>
      </c>
    </row>
    <row r="53" spans="1:19" ht="14.1" customHeight="1">
      <c r="A53" s="109" t="s">
        <v>455</v>
      </c>
      <c r="B53" s="14">
        <v>45</v>
      </c>
      <c r="C53" s="14">
        <v>53</v>
      </c>
      <c r="D53" s="14">
        <v>0.13</v>
      </c>
      <c r="E53" s="14">
        <v>0.155</v>
      </c>
      <c r="F53" s="14">
        <v>0.17699999999999999</v>
      </c>
      <c r="G53" s="14">
        <v>0.19800000000000001</v>
      </c>
      <c r="H53" s="14">
        <v>0.22</v>
      </c>
      <c r="I53" s="14">
        <v>0.245</v>
      </c>
      <c r="J53" s="14">
        <v>0.27200000000000002</v>
      </c>
      <c r="K53" s="14">
        <v>0.29499999999999998</v>
      </c>
      <c r="L53" s="307">
        <f>SLOPE(D53:K53,$D$52:$K$52)</f>
        <v>0.46809523809523801</v>
      </c>
      <c r="M53" s="307">
        <f>INTERCEPT(D53:K53,$D$52:$K$52)</f>
        <v>1.2559523809523854E-2</v>
      </c>
    </row>
    <row r="54" spans="1:19" ht="14.1" customHeight="1">
      <c r="A54" s="109" t="s">
        <v>456</v>
      </c>
      <c r="B54" s="14">
        <v>45</v>
      </c>
      <c r="C54" s="14">
        <v>53</v>
      </c>
      <c r="D54" s="14"/>
      <c r="E54" s="14">
        <v>1.109</v>
      </c>
      <c r="F54" s="14">
        <v>1.105</v>
      </c>
      <c r="G54" s="14">
        <v>1.1020000000000001</v>
      </c>
      <c r="H54" s="14">
        <v>1.099</v>
      </c>
      <c r="I54" s="14">
        <v>1.0960000000000001</v>
      </c>
      <c r="J54" s="14">
        <v>1.091</v>
      </c>
      <c r="K54" s="14">
        <v>1.0880000000000001</v>
      </c>
      <c r="L54" s="307">
        <f>SLOPE(D54:K54,$D$52:$K$52)</f>
        <v>-6.928571428571409E-2</v>
      </c>
      <c r="M54" s="307">
        <f>INTERCEPT(D54:K54,$D$52:$K$52)</f>
        <v>1.1297499999999998</v>
      </c>
    </row>
    <row r="55" spans="1:19" ht="14.1" customHeight="1">
      <c r="A55" s="109" t="s">
        <v>455</v>
      </c>
      <c r="B55" s="14">
        <v>50</v>
      </c>
      <c r="C55" s="14">
        <v>60</v>
      </c>
      <c r="D55" s="14">
        <v>0.112</v>
      </c>
      <c r="E55" s="14">
        <v>0.13500000000000001</v>
      </c>
      <c r="F55" s="14">
        <v>0.154</v>
      </c>
      <c r="G55" s="14">
        <v>0.17199999999999999</v>
      </c>
      <c r="H55" s="14">
        <v>0.192</v>
      </c>
      <c r="I55" s="14">
        <v>0.214</v>
      </c>
      <c r="J55" s="14">
        <v>0.23599999999999999</v>
      </c>
      <c r="K55" s="14">
        <v>0.26100000000000001</v>
      </c>
      <c r="L55" s="307">
        <f>SLOPE(D55:K55,$D$52:$K$52)</f>
        <v>0.41619047619047611</v>
      </c>
      <c r="M55" s="307">
        <f>INTERCEPT(D55:K55,$D$52:$K$52)</f>
        <v>7.6190476190476641E-3</v>
      </c>
    </row>
    <row r="56" spans="1:19" ht="14.1" customHeight="1">
      <c r="A56" s="109" t="s">
        <v>456</v>
      </c>
      <c r="B56" s="14">
        <v>50</v>
      </c>
      <c r="C56" s="14">
        <v>60</v>
      </c>
      <c r="D56" s="14"/>
      <c r="E56" s="16">
        <v>1.1639999999999999</v>
      </c>
      <c r="F56" s="16">
        <v>1.1599999999999999</v>
      </c>
      <c r="G56" s="16">
        <v>1.151</v>
      </c>
      <c r="H56" s="16">
        <v>1.1499999999999999</v>
      </c>
      <c r="I56" s="16">
        <v>1.1439999999999999</v>
      </c>
      <c r="J56" s="16">
        <v>1.139</v>
      </c>
      <c r="K56" s="16">
        <v>1.1339999999999999</v>
      </c>
      <c r="L56" s="307">
        <f>SLOPE(D56:K56,$D$52:$K$52)</f>
        <v>-9.9285714285714269E-2</v>
      </c>
      <c r="M56" s="307">
        <f>INTERCEPT(D56:K56,$D$52:$K$52)</f>
        <v>1.1935357142857141</v>
      </c>
    </row>
    <row r="58" spans="1:19" ht="14.1" customHeight="1">
      <c r="B58" s="14" t="s">
        <v>237</v>
      </c>
      <c r="C58" s="14" t="s">
        <v>262</v>
      </c>
      <c r="D58" s="14" t="s">
        <v>238</v>
      </c>
    </row>
    <row r="59" spans="1:19" ht="14.1" customHeight="1">
      <c r="A59" s="109" t="s">
        <v>457</v>
      </c>
      <c r="B59" s="14">
        <v>1</v>
      </c>
      <c r="C59" s="14">
        <v>1.0169999999999999</v>
      </c>
      <c r="D59" s="14">
        <v>1.042</v>
      </c>
    </row>
    <row r="61" spans="1:19" ht="14.1" customHeight="1">
      <c r="A61" s="79" t="s">
        <v>458</v>
      </c>
      <c r="C61" s="24" t="s">
        <v>459</v>
      </c>
      <c r="N61" s="150"/>
      <c r="O61" s="72"/>
      <c r="P61" s="72"/>
      <c r="Q61" s="72"/>
      <c r="R61" s="72"/>
      <c r="S61" s="72"/>
    </row>
    <row r="62" spans="1:19" ht="14.1" customHeight="1">
      <c r="A62" s="57" t="s">
        <v>71</v>
      </c>
      <c r="B62" s="13" t="s">
        <v>269</v>
      </c>
      <c r="C62" s="13" t="s">
        <v>460</v>
      </c>
      <c r="D62" s="13" t="s">
        <v>338</v>
      </c>
      <c r="E62" s="57" t="s">
        <v>71</v>
      </c>
      <c r="F62" s="13" t="s">
        <v>269</v>
      </c>
      <c r="G62" s="13" t="s">
        <v>460</v>
      </c>
      <c r="H62" s="13" t="s">
        <v>338</v>
      </c>
      <c r="I62" s="57" t="s">
        <v>71</v>
      </c>
      <c r="J62" s="13" t="s">
        <v>269</v>
      </c>
      <c r="K62" s="13" t="s">
        <v>460</v>
      </c>
      <c r="L62" s="13" t="s">
        <v>338</v>
      </c>
      <c r="O62" s="783"/>
      <c r="P62" s="783"/>
      <c r="Q62" s="783"/>
      <c r="R62" s="783"/>
      <c r="S62" s="783"/>
    </row>
    <row r="63" spans="1:19" ht="14.1" customHeight="1">
      <c r="A63" s="13" t="str">
        <f>Sheet1!P319</f>
        <v>Mo/Mo</v>
      </c>
      <c r="B63" s="13">
        <f>Sheet1!Q319</f>
        <v>24</v>
      </c>
      <c r="C63" s="13">
        <f t="shared" ref="C63:C68" si="0">B63^2</f>
        <v>576</v>
      </c>
      <c r="D63" s="307" t="str">
        <f>Sheet1!V319</f>
        <v/>
      </c>
      <c r="E63" s="13" t="str">
        <f>Sheet1!P326</f>
        <v>Mo/Rh</v>
      </c>
      <c r="F63" s="13">
        <f>Sheet1!Q326</f>
        <v>28</v>
      </c>
      <c r="G63" s="13">
        <f t="shared" ref="G63:G67" si="1">F63^2</f>
        <v>784</v>
      </c>
      <c r="H63" s="307" t="str">
        <f>Sheet1!V326</f>
        <v/>
      </c>
      <c r="I63" s="308" t="str">
        <f>Sheet1!P332</f>
        <v>W/Rh</v>
      </c>
      <c r="J63" s="13">
        <f>Sheet1!Q332</f>
        <v>28</v>
      </c>
      <c r="K63" s="13">
        <f t="shared" ref="K63:K67" si="2">J63^2</f>
        <v>784</v>
      </c>
      <c r="L63" s="306" t="str">
        <f>Sheet1!V332</f>
        <v/>
      </c>
      <c r="O63" s="111"/>
      <c r="P63" s="111"/>
      <c r="Q63" s="111"/>
      <c r="R63" s="111"/>
      <c r="S63" s="111"/>
    </row>
    <row r="64" spans="1:19" ht="14.1" customHeight="1">
      <c r="A64" s="57"/>
      <c r="B64" s="13">
        <f>Sheet1!Q320</f>
        <v>25</v>
      </c>
      <c r="C64" s="13">
        <f t="shared" si="0"/>
        <v>625</v>
      </c>
      <c r="D64" s="307" t="str">
        <f>Sheet1!V320</f>
        <v/>
      </c>
      <c r="E64" s="57"/>
      <c r="F64" s="13">
        <f>Sheet1!Q327</f>
        <v>30</v>
      </c>
      <c r="G64" s="13">
        <f t="shared" si="1"/>
        <v>900</v>
      </c>
      <c r="H64" s="307" t="str">
        <f>Sheet1!V327</f>
        <v/>
      </c>
      <c r="I64" s="308"/>
      <c r="J64" s="13">
        <f>Sheet1!Q333</f>
        <v>30</v>
      </c>
      <c r="K64" s="13">
        <f t="shared" si="2"/>
        <v>900</v>
      </c>
      <c r="L64" s="306" t="str">
        <f>Sheet1!V333</f>
        <v/>
      </c>
      <c r="O64" s="278"/>
      <c r="P64" s="278"/>
      <c r="Q64" s="278"/>
      <c r="R64" s="278"/>
      <c r="S64" s="278"/>
    </row>
    <row r="65" spans="1:19" ht="14.1" customHeight="1">
      <c r="A65" s="13"/>
      <c r="B65" s="13">
        <f>Sheet1!Q321</f>
        <v>26</v>
      </c>
      <c r="C65" s="13">
        <f t="shared" si="0"/>
        <v>676</v>
      </c>
      <c r="D65" s="307" t="str">
        <f>Sheet1!V321</f>
        <v/>
      </c>
      <c r="E65" s="13"/>
      <c r="F65" s="13">
        <f>Sheet1!Q328</f>
        <v>32</v>
      </c>
      <c r="G65" s="13">
        <f t="shared" si="1"/>
        <v>1024</v>
      </c>
      <c r="H65" s="307" t="str">
        <f>Sheet1!V328</f>
        <v/>
      </c>
      <c r="I65" s="308"/>
      <c r="J65" s="13">
        <f>Sheet1!Q334</f>
        <v>32</v>
      </c>
      <c r="K65" s="13">
        <f t="shared" si="2"/>
        <v>1024</v>
      </c>
      <c r="L65" s="306" t="str">
        <f>Sheet1!V334</f>
        <v/>
      </c>
      <c r="O65" s="278"/>
      <c r="P65" s="278"/>
      <c r="Q65" s="278"/>
      <c r="R65" s="278"/>
      <c r="S65" s="278"/>
    </row>
    <row r="66" spans="1:19" ht="14.1" customHeight="1">
      <c r="A66" s="13"/>
      <c r="B66" s="13">
        <f>Sheet1!Q322</f>
        <v>28</v>
      </c>
      <c r="C66" s="13">
        <f t="shared" si="0"/>
        <v>784</v>
      </c>
      <c r="D66" s="307" t="str">
        <f>Sheet1!V322</f>
        <v/>
      </c>
      <c r="E66" s="13"/>
      <c r="F66" s="13">
        <f>Sheet1!Q329</f>
        <v>34</v>
      </c>
      <c r="G66" s="13">
        <f t="shared" si="1"/>
        <v>1156</v>
      </c>
      <c r="H66" s="307" t="str">
        <f>Sheet1!V329</f>
        <v/>
      </c>
      <c r="I66" s="308"/>
      <c r="J66" s="13">
        <f>Sheet1!Q335</f>
        <v>34</v>
      </c>
      <c r="K66" s="13">
        <f t="shared" si="2"/>
        <v>1156</v>
      </c>
      <c r="L66" s="306" t="str">
        <f>Sheet1!V335</f>
        <v/>
      </c>
      <c r="O66" s="278"/>
      <c r="P66" s="278"/>
      <c r="Q66" s="278"/>
      <c r="R66" s="278"/>
      <c r="S66" s="278"/>
    </row>
    <row r="67" spans="1:19" ht="14.1" customHeight="1">
      <c r="A67" s="13"/>
      <c r="B67" s="13">
        <f>Sheet1!Q323</f>
        <v>30</v>
      </c>
      <c r="C67" s="13">
        <f t="shared" si="0"/>
        <v>900</v>
      </c>
      <c r="D67" s="307" t="str">
        <f>Sheet1!V323</f>
        <v/>
      </c>
      <c r="E67" s="13"/>
      <c r="F67" s="13">
        <f>Sheet1!Q330</f>
        <v>36</v>
      </c>
      <c r="G67" s="13">
        <f t="shared" si="1"/>
        <v>1296</v>
      </c>
      <c r="H67" s="307" t="str">
        <f>Sheet1!V330</f>
        <v/>
      </c>
      <c r="I67" s="308"/>
      <c r="J67" s="13">
        <f>Sheet1!Q336</f>
        <v>38</v>
      </c>
      <c r="K67" s="13">
        <f t="shared" si="2"/>
        <v>1444</v>
      </c>
      <c r="L67" s="306" t="str">
        <f>Sheet1!V336</f>
        <v/>
      </c>
      <c r="O67" s="278"/>
      <c r="P67" s="278"/>
      <c r="Q67" s="278"/>
      <c r="R67" s="278"/>
      <c r="S67" s="278"/>
    </row>
    <row r="68" spans="1:19" ht="14.1" customHeight="1">
      <c r="A68" s="13"/>
      <c r="B68" s="13">
        <f>Sheet1!Q324</f>
        <v>32</v>
      </c>
      <c r="C68" s="13">
        <f t="shared" si="0"/>
        <v>1024</v>
      </c>
      <c r="D68" s="307" t="str">
        <f>Sheet1!V324</f>
        <v/>
      </c>
      <c r="E68" s="13"/>
      <c r="F68" s="13"/>
      <c r="G68" s="13"/>
      <c r="I68" s="279"/>
      <c r="L68" s="72"/>
      <c r="O68" s="278"/>
      <c r="P68" s="278"/>
      <c r="Q68" s="278"/>
      <c r="R68" s="278"/>
      <c r="S68" s="278"/>
    </row>
    <row r="69" spans="1:19" ht="14.1" customHeight="1">
      <c r="A69" s="13"/>
      <c r="B69" s="13"/>
      <c r="O69" s="278"/>
      <c r="P69" s="278"/>
      <c r="Q69" s="278"/>
      <c r="R69" s="278"/>
      <c r="S69" s="278"/>
    </row>
    <row r="70" spans="1:19" ht="14.1" customHeight="1">
      <c r="C70" s="13"/>
      <c r="D70" s="13" t="str">
        <f>A63</f>
        <v>Mo/Mo</v>
      </c>
      <c r="E70" s="13" t="str">
        <f>E63</f>
        <v>Mo/Rh</v>
      </c>
      <c r="F70" s="308" t="str">
        <f>I63</f>
        <v>W/Rh</v>
      </c>
      <c r="G70" s="38"/>
      <c r="K70" s="38"/>
      <c r="O70" s="278"/>
      <c r="P70" s="278"/>
      <c r="Q70" s="278"/>
      <c r="R70" s="278"/>
      <c r="S70" s="278"/>
    </row>
    <row r="71" spans="1:19" ht="14.1" customHeight="1">
      <c r="C71" s="38" t="s">
        <v>463</v>
      </c>
      <c r="D71" s="24" t="e">
        <f>SLOPE(D63:D70,$C$63:$C$70)</f>
        <v>#DIV/0!</v>
      </c>
      <c r="E71" s="24" t="e">
        <f>SLOPE(H63:H68,$G$63:$G$68)</f>
        <v>#DIV/0!</v>
      </c>
      <c r="F71" s="24" t="e">
        <f>SLOPE(L63:L68,$G$63:$G$68)</f>
        <v>#DIV/0!</v>
      </c>
      <c r="G71" s="38"/>
      <c r="K71" s="38"/>
      <c r="N71" s="72"/>
      <c r="O71" s="278"/>
      <c r="P71" s="278"/>
      <c r="Q71" s="278"/>
      <c r="R71" s="278"/>
      <c r="S71" s="278"/>
    </row>
    <row r="72" spans="1:19" ht="14.1" customHeight="1">
      <c r="C72" s="38" t="s">
        <v>464</v>
      </c>
      <c r="D72" s="24" t="e">
        <f>INTERCEPT(D63:D70,$C$63:$C$70)</f>
        <v>#DIV/0!</v>
      </c>
      <c r="E72" s="24" t="e">
        <f>INTERCEPT(H63:H68,$G$63:$G$68)</f>
        <v>#DIV/0!</v>
      </c>
      <c r="F72" s="24" t="e">
        <f>INTERCEPT(L63:L68,$G$63:$G$68)</f>
        <v>#DIV/0!</v>
      </c>
      <c r="N72" s="72"/>
      <c r="O72" s="278"/>
      <c r="P72" s="278"/>
      <c r="Q72" s="278"/>
      <c r="R72" s="278"/>
      <c r="S72" s="278"/>
    </row>
    <row r="73" spans="1:19" ht="14.1" customHeight="1">
      <c r="A73" s="79" t="s">
        <v>355</v>
      </c>
      <c r="C73" s="38" t="s">
        <v>563</v>
      </c>
      <c r="D73" s="24" t="e">
        <f>RSQ(D63:D68,C63:C68)</f>
        <v>#DIV/0!</v>
      </c>
      <c r="E73" s="24" t="e">
        <f>RSQ(H63:H67,G63:G67)</f>
        <v>#DIV/0!</v>
      </c>
      <c r="F73" s="24" t="e">
        <f>RSQ(L63:L67,K63:K67)</f>
        <v>#DIV/0!</v>
      </c>
      <c r="N73" s="72"/>
      <c r="O73" s="278"/>
      <c r="P73" s="278"/>
      <c r="Q73" s="278"/>
      <c r="R73" s="278"/>
      <c r="S73" s="278"/>
    </row>
    <row r="74" spans="1:19" ht="14.1" customHeight="1">
      <c r="A74" s="57" t="s">
        <v>71</v>
      </c>
      <c r="B74" s="13" t="s">
        <v>269</v>
      </c>
      <c r="C74" s="13" t="s">
        <v>358</v>
      </c>
      <c r="D74" s="57" t="s">
        <v>71</v>
      </c>
      <c r="E74" s="13" t="s">
        <v>269</v>
      </c>
      <c r="F74" s="13" t="s">
        <v>358</v>
      </c>
      <c r="G74" s="57" t="s">
        <v>71</v>
      </c>
      <c r="H74" s="13" t="s">
        <v>269</v>
      </c>
      <c r="I74" s="13" t="s">
        <v>358</v>
      </c>
      <c r="K74" s="284" t="s">
        <v>23</v>
      </c>
      <c r="L74" s="284" t="s">
        <v>24</v>
      </c>
      <c r="M74" s="284" t="s">
        <v>465</v>
      </c>
      <c r="O74" s="278"/>
      <c r="P74" s="278"/>
      <c r="Q74" s="278"/>
      <c r="R74" s="278"/>
      <c r="S74" s="278"/>
    </row>
    <row r="75" spans="1:19" ht="14.1" customHeight="1">
      <c r="A75" s="13" t="e">
        <f>Sheet1!#REF!</f>
        <v>#REF!</v>
      </c>
      <c r="B75" s="13" t="str">
        <f>Sheet1!Q366</f>
        <v>Mo/Mo</v>
      </c>
      <c r="C75" s="279" t="str">
        <f>Sheet1!Q376</f>
        <v/>
      </c>
      <c r="D75" s="13" t="e">
        <f>Sheet1!#REF!</f>
        <v>#REF!</v>
      </c>
      <c r="E75" s="13" t="str">
        <f>Sheet1!S366</f>
        <v>Mo/Mo</v>
      </c>
      <c r="F75" s="279" t="str">
        <f>Sheet1!S376</f>
        <v/>
      </c>
      <c r="G75" s="13" t="e">
        <f>Sheet1!#REF!</f>
        <v>#REF!</v>
      </c>
      <c r="H75" s="13" t="str">
        <f>Sheet1!V366</f>
        <v>Mo/Rh</v>
      </c>
      <c r="I75" s="279" t="str">
        <f>Sheet1!U376</f>
        <v/>
      </c>
      <c r="K75" s="284" t="s">
        <v>32</v>
      </c>
      <c r="L75" s="284" t="s">
        <v>32</v>
      </c>
      <c r="M75" s="284">
        <v>0.12</v>
      </c>
      <c r="O75" s="278"/>
      <c r="P75" s="278"/>
      <c r="Q75" s="278"/>
      <c r="R75" s="278"/>
      <c r="S75" s="278"/>
    </row>
    <row r="76" spans="1:19" ht="14.1" customHeight="1">
      <c r="A76" s="57"/>
      <c r="B76" s="13" t="str">
        <f>Sheet1!R366</f>
        <v>Mo/Mo</v>
      </c>
      <c r="C76" s="279" t="str">
        <f>Sheet1!R376</f>
        <v/>
      </c>
      <c r="D76" s="57"/>
      <c r="E76" s="13" t="str">
        <f>Sheet1!T366</f>
        <v>Mo/Mo</v>
      </c>
      <c r="F76" s="279" t="str">
        <f>Sheet1!T376</f>
        <v/>
      </c>
      <c r="H76" s="13" t="str">
        <f>Sheet1!W366</f>
        <v>Mo/Rh</v>
      </c>
      <c r="I76" s="279" t="str">
        <f>Sheet1!V376</f>
        <v/>
      </c>
      <c r="K76" s="284" t="s">
        <v>32</v>
      </c>
      <c r="L76" s="284" t="s">
        <v>55</v>
      </c>
      <c r="M76" s="284">
        <v>0.19</v>
      </c>
      <c r="O76" s="278"/>
      <c r="P76" s="278"/>
      <c r="Q76" s="278"/>
      <c r="R76" s="278"/>
      <c r="S76" s="278"/>
    </row>
    <row r="77" spans="1:19" ht="14.1" customHeight="1">
      <c r="A77" s="13"/>
      <c r="B77" s="13"/>
      <c r="D77" s="13"/>
      <c r="E77" s="13"/>
      <c r="K77" s="284" t="s">
        <v>55</v>
      </c>
      <c r="L77" s="284" t="s">
        <v>55</v>
      </c>
      <c r="M77" s="284">
        <v>0.22</v>
      </c>
      <c r="O77" s="278"/>
      <c r="P77" s="278"/>
      <c r="Q77" s="278"/>
      <c r="R77" s="278"/>
      <c r="S77" s="278"/>
    </row>
    <row r="78" spans="1:19" ht="14.1" customHeight="1">
      <c r="D78" s="13" t="e">
        <f>A75</f>
        <v>#REF!</v>
      </c>
      <c r="E78" s="13" t="e">
        <f>D75</f>
        <v>#REF!</v>
      </c>
      <c r="F78" s="13" t="e">
        <f>G75</f>
        <v>#REF!</v>
      </c>
      <c r="H78" s="38"/>
      <c r="K78" s="313" t="s">
        <v>466</v>
      </c>
      <c r="L78" s="313" t="s">
        <v>467</v>
      </c>
      <c r="M78" s="313"/>
      <c r="O78" s="278"/>
      <c r="P78" s="278"/>
      <c r="Q78" s="278"/>
      <c r="R78" s="278"/>
      <c r="S78" s="278"/>
    </row>
    <row r="79" spans="1:19" ht="14.1" customHeight="1">
      <c r="C79" s="38" t="s">
        <v>463</v>
      </c>
      <c r="D79" s="13" t="e">
        <f>SLOPE(C75:C76,B75:B76)</f>
        <v>#DIV/0!</v>
      </c>
      <c r="E79" s="13" t="e">
        <f>SLOPE(F75:F76,E75:E76)</f>
        <v>#DIV/0!</v>
      </c>
      <c r="F79" s="13" t="e">
        <f>SLOPE(I75:I76,H75:H76)</f>
        <v>#DIV/0!</v>
      </c>
      <c r="H79" s="38"/>
      <c r="K79" s="313"/>
      <c r="L79" s="313" t="s">
        <v>468</v>
      </c>
      <c r="M79" s="313"/>
      <c r="O79" s="278"/>
      <c r="P79" s="278"/>
      <c r="Q79" s="278"/>
      <c r="R79" s="278"/>
      <c r="S79" s="278"/>
    </row>
    <row r="80" spans="1:19" ht="14.1" customHeight="1">
      <c r="C80" s="38" t="s">
        <v>464</v>
      </c>
      <c r="D80" s="13" t="e">
        <f>INTERCEPT(C75:C76,B75:B76)</f>
        <v>#DIV/0!</v>
      </c>
      <c r="E80" s="13" t="e">
        <f>INTERCEPT(F75:F76,E75:E76)</f>
        <v>#DIV/0!</v>
      </c>
      <c r="F80" s="13" t="e">
        <f>INTERCEPT(I75:I76,H75:H76)</f>
        <v>#DIV/0!</v>
      </c>
      <c r="K80" s="313"/>
      <c r="L80" s="313" t="s">
        <v>469</v>
      </c>
      <c r="M80" s="313"/>
      <c r="O80" s="278"/>
      <c r="P80" s="278"/>
      <c r="Q80" s="278"/>
      <c r="R80" s="278"/>
      <c r="S80" s="278"/>
    </row>
    <row r="81" spans="1:19" ht="14.1" customHeight="1">
      <c r="N81" s="72"/>
      <c r="O81" s="278"/>
      <c r="P81" s="278"/>
      <c r="Q81" s="278"/>
      <c r="R81" s="278"/>
      <c r="S81" s="278"/>
    </row>
    <row r="82" spans="1:19" ht="14.1" customHeight="1">
      <c r="A82" s="79" t="s">
        <v>470</v>
      </c>
      <c r="B82" s="24" t="e">
        <f>"DGN values (mrad/R) for "&amp;Sheet1!$T$265&amp;" kV and HVL="&amp;ROUND(Sheet1!$X$268,2)&amp;" mm Al"</f>
        <v>#N/A</v>
      </c>
      <c r="N82" s="72"/>
      <c r="O82" s="278"/>
      <c r="P82" s="278"/>
      <c r="Q82" s="278"/>
      <c r="R82" s="278"/>
      <c r="S82" s="278"/>
    </row>
    <row r="83" spans="1:19" ht="14.1" customHeight="1">
      <c r="A83" s="285" t="s">
        <v>237</v>
      </c>
      <c r="B83" s="285" t="s">
        <v>262</v>
      </c>
      <c r="C83" s="285" t="s">
        <v>471</v>
      </c>
      <c r="D83" s="285" t="s">
        <v>449</v>
      </c>
      <c r="E83" s="285" t="s">
        <v>461</v>
      </c>
      <c r="F83" s="285" t="s">
        <v>238</v>
      </c>
      <c r="N83" s="72"/>
      <c r="O83" s="278"/>
      <c r="P83" s="278"/>
      <c r="Q83" s="278"/>
      <c r="R83" s="278"/>
      <c r="S83" s="278"/>
    </row>
    <row r="84" spans="1:19" ht="14.1" customHeight="1">
      <c r="A84" s="8" t="e">
        <f>IF(Sheet1!$X$268="","",VLOOKUP(Sheet1!X268,A3:J23,MATCH(Sheet1!T265,A3:J3,0)))</f>
        <v>#N/A</v>
      </c>
      <c r="B84" s="8" t="e">
        <f>IF(Sheet1!$X$268="","",VLOOKUP(Sheet1!X268,K3:T23,MATCH(Sheet1!T265,K3:T3,0)))</f>
        <v>#N/A</v>
      </c>
      <c r="C84" s="8" t="e">
        <f>IF(Sheet1!$X$268="","",VLOOKUP(Sheet1!X268,U3:AD23,MATCH(Sheet1!T265,U3:AD3,0)))</f>
        <v>#N/A</v>
      </c>
      <c r="D84" s="307" t="e">
        <f>IF(OR(Sheet1!$X$269="",Sheet1!$X$268=""),"TBD",(L53*Sheet1!X268+M53)*(L54*Sheet1!X268+M54)*HLOOKUP(Sheet1!$Q$266,B58:D59,2))</f>
        <v>#N/A</v>
      </c>
      <c r="E84" s="13" t="e">
        <f>IF(ISERR(Sheet1!$X$268),"TBD",VLOOKUP(Sheet1!X268,N27:AA48,MATCH(Sheet1!$T$265,N27:AA27,0)))</f>
        <v>#N/A</v>
      </c>
      <c r="F84" s="13" t="e">
        <f>IF(ISERR(Sheet1!$X$268),"TBD",VLOOKUP(Sheet1!X268,A27:M48,MATCH(Sheet1!T265,A27:M27,0)))</f>
        <v>#N/A</v>
      </c>
      <c r="N84" s="72"/>
      <c r="O84" s="278"/>
      <c r="P84" s="278"/>
      <c r="Q84" s="278"/>
      <c r="R84" s="278"/>
      <c r="S84" s="278"/>
    </row>
    <row r="85" spans="1:19" ht="14.1" customHeight="1">
      <c r="N85" s="72"/>
      <c r="O85" s="278"/>
      <c r="P85" s="278"/>
      <c r="Q85" s="278"/>
      <c r="R85" s="278"/>
      <c r="S85" s="278"/>
    </row>
    <row r="86" spans="1:19" ht="14.1" customHeight="1">
      <c r="A86" s="79" t="s">
        <v>472</v>
      </c>
      <c r="N86" s="72"/>
      <c r="O86" s="278"/>
      <c r="P86" s="278"/>
      <c r="Q86" s="278"/>
      <c r="R86" s="278"/>
      <c r="S86" s="278"/>
    </row>
    <row r="87" spans="1:19" ht="14.1" customHeight="1">
      <c r="B87" s="13" t="s">
        <v>269</v>
      </c>
      <c r="D87" s="14" t="s">
        <v>473</v>
      </c>
      <c r="E87" s="14" t="s">
        <v>474</v>
      </c>
      <c r="F87" s="14" t="s">
        <v>460</v>
      </c>
      <c r="G87" s="14" t="s">
        <v>475</v>
      </c>
      <c r="H87" s="14" t="s">
        <v>476</v>
      </c>
      <c r="I87" s="14" t="s">
        <v>477</v>
      </c>
      <c r="J87" s="14" t="s">
        <v>478</v>
      </c>
      <c r="N87" s="72"/>
      <c r="O87" s="278"/>
      <c r="P87" s="278"/>
      <c r="Q87" s="278"/>
      <c r="R87" s="278"/>
      <c r="S87" s="278"/>
    </row>
    <row r="88" spans="1:19" ht="14.1" customHeight="1">
      <c r="A88" s="24" t="s">
        <v>238</v>
      </c>
      <c r="B88" s="13" t="s">
        <v>479</v>
      </c>
      <c r="C88" s="14">
        <v>27.585999999999999</v>
      </c>
      <c r="D88" s="14">
        <v>-8375.0727645925508</v>
      </c>
      <c r="E88" s="14">
        <v>975.92543560432796</v>
      </c>
      <c r="F88" s="14">
        <v>-37.913729682039403</v>
      </c>
      <c r="G88" s="14">
        <v>0.49086583472609402</v>
      </c>
      <c r="H88" s="14">
        <v>0</v>
      </c>
      <c r="I88" s="14">
        <v>0</v>
      </c>
      <c r="J88" s="14">
        <v>0</v>
      </c>
      <c r="N88" s="72"/>
      <c r="O88" s="278"/>
      <c r="P88" s="278"/>
      <c r="Q88" s="278"/>
      <c r="R88" s="278"/>
      <c r="S88" s="278"/>
    </row>
    <row r="89" spans="1:19" ht="14.1" customHeight="1">
      <c r="B89" s="13" t="s">
        <v>480</v>
      </c>
      <c r="C89" s="14">
        <v>27.585999999999999</v>
      </c>
      <c r="D89" s="14">
        <v>-9984.6167916494396</v>
      </c>
      <c r="E89" s="14">
        <v>1436.52454571413</v>
      </c>
      <c r="F89" s="14">
        <v>-82.505102185254898</v>
      </c>
      <c r="G89" s="14">
        <v>2.36559081763837</v>
      </c>
      <c r="H89" s="14">
        <v>-3.38672433779705E-2</v>
      </c>
      <c r="I89" s="14">
        <v>1.93686920423126E-4</v>
      </c>
      <c r="J89" s="14">
        <v>0</v>
      </c>
      <c r="N89" s="72"/>
      <c r="O89" s="278"/>
      <c r="P89" s="278"/>
      <c r="Q89" s="278"/>
      <c r="R89" s="278"/>
      <c r="S89" s="278"/>
    </row>
    <row r="90" spans="1:19" ht="14.1" customHeight="1">
      <c r="C90" s="24" t="s">
        <v>481</v>
      </c>
      <c r="N90" s="72"/>
      <c r="O90" s="278"/>
      <c r="P90" s="278"/>
      <c r="Q90" s="278"/>
      <c r="R90" s="278"/>
      <c r="S90" s="278"/>
    </row>
    <row r="91" spans="1:19" ht="14.1" customHeight="1">
      <c r="C91" s="24" t="s">
        <v>482</v>
      </c>
      <c r="N91" s="72"/>
      <c r="O91" s="278"/>
      <c r="P91" s="278"/>
      <c r="Q91" s="278"/>
      <c r="R91" s="278"/>
      <c r="S91" s="278"/>
    </row>
    <row r="92" spans="1:19" ht="14.1" customHeight="1">
      <c r="B92" s="13" t="s">
        <v>269</v>
      </c>
      <c r="D92" s="14" t="s">
        <v>473</v>
      </c>
      <c r="E92" s="14" t="s">
        <v>474</v>
      </c>
      <c r="F92" s="14" t="s">
        <v>460</v>
      </c>
      <c r="G92" s="14" t="s">
        <v>475</v>
      </c>
      <c r="H92" s="14" t="s">
        <v>476</v>
      </c>
      <c r="I92" s="14" t="s">
        <v>477</v>
      </c>
      <c r="J92" s="14" t="s">
        <v>478</v>
      </c>
      <c r="N92" s="72"/>
      <c r="O92" s="278"/>
      <c r="P92" s="278"/>
      <c r="Q92" s="278"/>
      <c r="R92" s="278"/>
      <c r="S92" s="278"/>
    </row>
    <row r="93" spans="1:19" ht="14.1" customHeight="1">
      <c r="A93" s="24" t="s">
        <v>461</v>
      </c>
      <c r="B93" s="13" t="s">
        <v>479</v>
      </c>
      <c r="C93" s="14">
        <v>30.1</v>
      </c>
      <c r="D93" s="14">
        <v>-540847.69550077303</v>
      </c>
      <c r="E93" s="14">
        <v>100186.23364273099</v>
      </c>
      <c r="F93" s="14">
        <v>-7418.4790179812599</v>
      </c>
      <c r="G93" s="14">
        <v>274.47660929577501</v>
      </c>
      <c r="H93" s="14">
        <v>-5.07436954359087</v>
      </c>
      <c r="I93" s="14">
        <v>3.7500574787580898E-2</v>
      </c>
      <c r="J93" s="14">
        <v>0</v>
      </c>
      <c r="N93" s="72"/>
      <c r="O93" s="278"/>
      <c r="P93" s="278"/>
      <c r="Q93" s="278"/>
      <c r="R93" s="278"/>
      <c r="S93" s="278"/>
    </row>
    <row r="94" spans="1:19" ht="14.1" customHeight="1">
      <c r="B94" s="13" t="s">
        <v>480</v>
      </c>
      <c r="C94" s="14">
        <v>30.1</v>
      </c>
      <c r="D94" s="14">
        <v>-11057.773936199201</v>
      </c>
      <c r="E94" s="14">
        <v>1297.2285673766901</v>
      </c>
      <c r="F94" s="14">
        <v>-56.989188989725697</v>
      </c>
      <c r="G94" s="14">
        <v>1.1115828564217201</v>
      </c>
      <c r="H94" s="14">
        <v>-8.1233997365129599E-3</v>
      </c>
      <c r="I94" s="14">
        <v>0</v>
      </c>
      <c r="J94" s="14">
        <v>0</v>
      </c>
      <c r="N94" s="72"/>
      <c r="O94" s="278"/>
      <c r="P94" s="278"/>
      <c r="Q94" s="278"/>
      <c r="R94" s="278"/>
      <c r="S94" s="278"/>
    </row>
    <row r="95" spans="1:19" ht="14.1" customHeight="1">
      <c r="C95" s="24" t="s">
        <v>483</v>
      </c>
      <c r="N95" s="72"/>
      <c r="O95" s="278"/>
      <c r="P95" s="278"/>
      <c r="Q95" s="278"/>
      <c r="R95" s="278"/>
      <c r="S95" s="278"/>
    </row>
    <row r="96" spans="1:19" ht="14.1" customHeight="1">
      <c r="C96" s="24" t="s">
        <v>484</v>
      </c>
      <c r="N96" s="72"/>
      <c r="O96" s="278"/>
      <c r="P96" s="278"/>
      <c r="Q96" s="278"/>
      <c r="R96" s="278"/>
      <c r="S96" s="278"/>
    </row>
    <row r="97" spans="1:19" ht="14.1" customHeight="1">
      <c r="N97" s="72"/>
      <c r="O97" s="278"/>
      <c r="P97" s="278"/>
      <c r="Q97" s="278"/>
      <c r="R97" s="278"/>
      <c r="S97" s="278"/>
    </row>
    <row r="98" spans="1:19" ht="14.1" customHeight="1">
      <c r="A98" s="79" t="s">
        <v>485</v>
      </c>
      <c r="N98" s="72"/>
      <c r="O98" s="278"/>
      <c r="P98" s="278"/>
      <c r="Q98" s="278"/>
      <c r="R98" s="278"/>
      <c r="S98" s="278"/>
    </row>
    <row r="99" spans="1:19" ht="14.1" customHeight="1">
      <c r="B99" s="13" t="s">
        <v>269</v>
      </c>
      <c r="D99" s="14" t="s">
        <v>473</v>
      </c>
      <c r="E99" s="14" t="s">
        <v>474</v>
      </c>
      <c r="F99" s="14" t="s">
        <v>460</v>
      </c>
      <c r="G99" s="14" t="s">
        <v>475</v>
      </c>
      <c r="H99" s="14" t="s">
        <v>476</v>
      </c>
      <c r="N99" s="72"/>
      <c r="O99" s="278"/>
      <c r="P99" s="278"/>
      <c r="Q99" s="278"/>
      <c r="R99" s="278"/>
      <c r="S99" s="278"/>
    </row>
    <row r="100" spans="1:19" ht="14.1" customHeight="1">
      <c r="A100" s="24" t="s">
        <v>238</v>
      </c>
      <c r="B100" s="13" t="s">
        <v>479</v>
      </c>
      <c r="C100" s="14">
        <v>26.9</v>
      </c>
      <c r="D100" s="109">
        <v>138.88667000000001</v>
      </c>
      <c r="E100" s="109">
        <v>-10.72639</v>
      </c>
      <c r="F100" s="109">
        <v>0.26216</v>
      </c>
      <c r="G100" s="109">
        <v>-8.1999999999999998E-4</v>
      </c>
      <c r="H100" s="109"/>
      <c r="N100" s="72"/>
      <c r="O100" s="278"/>
      <c r="P100" s="278"/>
      <c r="Q100" s="278"/>
      <c r="R100" s="278"/>
      <c r="S100" s="278"/>
    </row>
    <row r="101" spans="1:19" ht="14.1" customHeight="1">
      <c r="B101" s="13" t="s">
        <v>480</v>
      </c>
      <c r="C101" s="14">
        <v>26.9</v>
      </c>
      <c r="D101" s="109">
        <v>-5009.7751651999997</v>
      </c>
      <c r="E101" s="109">
        <v>605.73200599999996</v>
      </c>
      <c r="F101" s="109">
        <v>-27.3018617</v>
      </c>
      <c r="G101" s="109">
        <v>0.54671139999999996</v>
      </c>
      <c r="H101" s="109">
        <v>-4.0986E-3</v>
      </c>
      <c r="N101" s="72"/>
      <c r="O101" s="278"/>
      <c r="P101" s="278"/>
      <c r="Q101" s="278"/>
      <c r="R101" s="278"/>
      <c r="S101" s="278"/>
    </row>
    <row r="102" spans="1:19" ht="14.1" customHeight="1">
      <c r="N102" s="72"/>
      <c r="O102" s="278"/>
      <c r="P102" s="278"/>
      <c r="Q102" s="278"/>
      <c r="R102" s="278"/>
      <c r="S102" s="278"/>
    </row>
    <row r="103" spans="1:19" ht="14.1" customHeight="1">
      <c r="A103" s="24" t="s">
        <v>461</v>
      </c>
      <c r="B103" s="13" t="s">
        <v>269</v>
      </c>
      <c r="D103" s="14" t="s">
        <v>473</v>
      </c>
      <c r="E103" s="14" t="s">
        <v>474</v>
      </c>
      <c r="F103" s="14" t="s">
        <v>460</v>
      </c>
      <c r="G103" s="14" t="s">
        <v>475</v>
      </c>
      <c r="H103" s="14" t="s">
        <v>476</v>
      </c>
      <c r="N103" s="72"/>
      <c r="O103" s="278"/>
      <c r="P103" s="278"/>
      <c r="Q103" s="278"/>
      <c r="R103" s="278"/>
      <c r="S103" s="278"/>
    </row>
    <row r="104" spans="1:19" ht="14.1" customHeight="1">
      <c r="B104" s="13" t="s">
        <v>479</v>
      </c>
      <c r="C104" s="14">
        <v>28.7</v>
      </c>
      <c r="D104" s="14">
        <v>296.34185000000002</v>
      </c>
      <c r="E104" s="14">
        <v>-31.629249999999999</v>
      </c>
      <c r="F104" s="14">
        <v>1.18025</v>
      </c>
      <c r="G104" s="14">
        <v>-1.417E-2</v>
      </c>
      <c r="H104" s="14"/>
      <c r="N104" s="72"/>
      <c r="O104" s="278"/>
      <c r="P104" s="278"/>
      <c r="Q104" s="278"/>
      <c r="R104" s="278"/>
      <c r="S104" s="278"/>
    </row>
    <row r="105" spans="1:19" ht="14.1" customHeight="1">
      <c r="B105" s="13" t="s">
        <v>480</v>
      </c>
      <c r="C105" s="14">
        <v>28.7</v>
      </c>
      <c r="D105" s="14">
        <v>4.8344690000000003</v>
      </c>
      <c r="E105" s="14">
        <v>0.919242</v>
      </c>
      <c r="F105" s="14"/>
      <c r="G105" s="14"/>
      <c r="H105" s="14"/>
      <c r="N105" s="72"/>
      <c r="O105" s="278"/>
      <c r="P105" s="278"/>
      <c r="Q105" s="278"/>
      <c r="R105" s="278"/>
      <c r="S105" s="278"/>
    </row>
    <row r="106" spans="1:19" ht="14.1" customHeight="1">
      <c r="N106" s="72"/>
      <c r="O106" s="278"/>
      <c r="P106" s="278"/>
      <c r="Q106" s="278"/>
      <c r="R106" s="278"/>
      <c r="S106" s="278"/>
    </row>
    <row r="107" spans="1:19" ht="14.1" customHeight="1">
      <c r="A107" s="24" t="s">
        <v>462</v>
      </c>
      <c r="D107" s="14" t="s">
        <v>473</v>
      </c>
      <c r="E107" s="14" t="s">
        <v>474</v>
      </c>
      <c r="F107" s="14" t="s">
        <v>460</v>
      </c>
      <c r="G107" s="14" t="s">
        <v>475</v>
      </c>
      <c r="H107" s="14" t="s">
        <v>476</v>
      </c>
      <c r="N107" s="72"/>
      <c r="O107" s="278"/>
      <c r="P107" s="278"/>
      <c r="Q107" s="278"/>
      <c r="R107" s="278"/>
      <c r="S107" s="278"/>
    </row>
    <row r="108" spans="1:19" ht="14.1" customHeight="1">
      <c r="B108" s="13" t="s">
        <v>479</v>
      </c>
      <c r="C108" s="14">
        <v>28.7</v>
      </c>
      <c r="D108" s="14">
        <v>49.311149999999998</v>
      </c>
      <c r="E108" s="14">
        <v>-2.9301699999999999</v>
      </c>
      <c r="F108" s="14">
        <v>7.3789999999999994E-2</v>
      </c>
      <c r="G108" s="14"/>
      <c r="H108" s="14"/>
      <c r="N108" s="72"/>
      <c r="O108" s="278"/>
      <c r="P108" s="278"/>
      <c r="Q108" s="278"/>
      <c r="R108" s="278"/>
      <c r="S108" s="278"/>
    </row>
    <row r="109" spans="1:19" ht="14.1" customHeight="1">
      <c r="B109" s="13"/>
      <c r="C109" s="242" t="s">
        <v>486</v>
      </c>
      <c r="D109" s="14">
        <v>-24.875</v>
      </c>
      <c r="E109" s="14">
        <v>1.8031999999999999</v>
      </c>
      <c r="F109" s="14"/>
      <c r="G109" s="14"/>
      <c r="H109" s="14"/>
      <c r="N109" s="72"/>
      <c r="O109" s="278"/>
      <c r="P109" s="278"/>
      <c r="Q109" s="278"/>
      <c r="R109" s="278"/>
      <c r="S109" s="278"/>
    </row>
    <row r="110" spans="1:19" ht="14.1" customHeight="1">
      <c r="B110" s="13" t="s">
        <v>480</v>
      </c>
      <c r="C110" s="14">
        <v>30.1</v>
      </c>
      <c r="D110" s="14">
        <v>-4.8346099999999996</v>
      </c>
      <c r="E110" s="14">
        <v>1.1571499999999999</v>
      </c>
      <c r="F110" s="14"/>
      <c r="G110" s="14"/>
      <c r="H110" s="14"/>
      <c r="N110" s="72"/>
      <c r="O110" s="278"/>
      <c r="P110" s="278"/>
      <c r="Q110" s="278"/>
      <c r="R110" s="278"/>
      <c r="S110" s="278"/>
    </row>
    <row r="111" spans="1:19" ht="14.1" customHeight="1">
      <c r="N111" s="72"/>
      <c r="O111" s="278"/>
      <c r="P111" s="278"/>
      <c r="Q111" s="278"/>
      <c r="R111" s="278"/>
      <c r="S111" s="278"/>
    </row>
    <row r="112" spans="1:19" ht="14.1" customHeight="1">
      <c r="N112" s="72"/>
      <c r="O112" s="278"/>
      <c r="P112" s="278"/>
      <c r="Q112" s="278"/>
      <c r="R112" s="278"/>
      <c r="S112" s="278"/>
    </row>
    <row r="113" spans="1:19" ht="14.1" customHeight="1">
      <c r="A113" s="24" t="s">
        <v>487</v>
      </c>
      <c r="N113" s="72"/>
      <c r="O113" s="278"/>
      <c r="P113" s="278"/>
      <c r="Q113" s="278"/>
      <c r="R113" s="278"/>
      <c r="S113" s="278"/>
    </row>
    <row r="114" spans="1:19" ht="14.1" customHeight="1">
      <c r="C114" s="13" t="s">
        <v>488</v>
      </c>
      <c r="D114" s="13" t="s">
        <v>489</v>
      </c>
      <c r="E114" s="13" t="s">
        <v>490</v>
      </c>
      <c r="F114" s="13" t="s">
        <v>491</v>
      </c>
      <c r="G114" s="13" t="s">
        <v>492</v>
      </c>
      <c r="N114" s="72"/>
      <c r="O114" s="278"/>
      <c r="P114" s="278"/>
      <c r="Q114" s="278"/>
      <c r="R114" s="278"/>
      <c r="S114" s="278"/>
    </row>
    <row r="115" spans="1:19" ht="14.1" customHeight="1">
      <c r="B115" s="38" t="s">
        <v>422</v>
      </c>
      <c r="C115" s="13" t="s">
        <v>493</v>
      </c>
      <c r="D115" s="13" t="s">
        <v>494</v>
      </c>
      <c r="E115" s="13" t="s">
        <v>495</v>
      </c>
      <c r="F115" s="13" t="s">
        <v>494</v>
      </c>
      <c r="G115" s="13" t="s">
        <v>329</v>
      </c>
      <c r="N115" s="72"/>
      <c r="O115" s="278"/>
      <c r="P115" s="278"/>
      <c r="Q115" s="278"/>
      <c r="R115" s="278"/>
      <c r="S115" s="278"/>
    </row>
    <row r="116" spans="1:19" ht="14.1" customHeight="1">
      <c r="B116" s="38" t="s">
        <v>428</v>
      </c>
      <c r="C116" s="13" t="s">
        <v>493</v>
      </c>
      <c r="D116" s="13" t="s">
        <v>494</v>
      </c>
      <c r="E116" s="13" t="s">
        <v>494</v>
      </c>
      <c r="F116" s="13" t="s">
        <v>494</v>
      </c>
      <c r="G116" s="13" t="s">
        <v>329</v>
      </c>
      <c r="N116" s="72"/>
      <c r="O116" s="278"/>
      <c r="P116" s="278"/>
      <c r="Q116" s="278"/>
      <c r="R116" s="278"/>
      <c r="S116" s="278"/>
    </row>
    <row r="117" spans="1:19" ht="14.1" customHeight="1">
      <c r="B117" s="38" t="s">
        <v>496</v>
      </c>
      <c r="C117" s="13" t="s">
        <v>493</v>
      </c>
      <c r="D117" s="13" t="s">
        <v>494</v>
      </c>
      <c r="E117" s="13" t="s">
        <v>495</v>
      </c>
      <c r="F117" s="13" t="s">
        <v>494</v>
      </c>
      <c r="G117" s="13" t="s">
        <v>329</v>
      </c>
      <c r="N117" s="72"/>
      <c r="O117" s="278"/>
      <c r="P117" s="278"/>
      <c r="Q117" s="278"/>
      <c r="R117" s="278"/>
      <c r="S117" s="278"/>
    </row>
    <row r="118" spans="1:19" ht="14.1" customHeight="1">
      <c r="B118" s="38" t="s">
        <v>497</v>
      </c>
      <c r="C118" s="13" t="s">
        <v>493</v>
      </c>
      <c r="D118" s="13" t="s">
        <v>494</v>
      </c>
      <c r="E118" s="13" t="s">
        <v>494</v>
      </c>
      <c r="F118" s="13" t="s">
        <v>494</v>
      </c>
      <c r="G118" s="13" t="s">
        <v>329</v>
      </c>
      <c r="N118" s="72"/>
      <c r="O118" s="278"/>
      <c r="P118" s="278"/>
      <c r="Q118" s="278"/>
      <c r="R118" s="278"/>
      <c r="S118" s="278"/>
    </row>
    <row r="119" spans="1:19" ht="14.1" customHeight="1">
      <c r="B119" s="38" t="s">
        <v>498</v>
      </c>
      <c r="C119" s="13" t="s">
        <v>493</v>
      </c>
      <c r="D119" s="13" t="s">
        <v>494</v>
      </c>
      <c r="E119" s="13" t="s">
        <v>494</v>
      </c>
      <c r="F119" s="13" t="s">
        <v>494</v>
      </c>
      <c r="G119" s="13" t="s">
        <v>329</v>
      </c>
      <c r="N119" s="72"/>
      <c r="O119" s="278"/>
      <c r="P119" s="278"/>
      <c r="Q119" s="278"/>
      <c r="R119" s="278"/>
      <c r="S119" s="278"/>
    </row>
    <row r="120" spans="1:19" ht="14.1" customHeight="1">
      <c r="B120" s="38" t="s">
        <v>499</v>
      </c>
      <c r="C120" s="13" t="s">
        <v>493</v>
      </c>
      <c r="D120" s="13" t="s">
        <v>494</v>
      </c>
      <c r="E120" s="13" t="s">
        <v>494</v>
      </c>
      <c r="F120" s="13" t="s">
        <v>494</v>
      </c>
      <c r="G120" s="13" t="s">
        <v>329</v>
      </c>
      <c r="N120" s="72"/>
      <c r="O120" s="278"/>
      <c r="P120" s="278"/>
      <c r="Q120" s="278"/>
      <c r="R120" s="278"/>
      <c r="S120" s="278"/>
    </row>
    <row r="121" spans="1:19" ht="14.1" customHeight="1">
      <c r="B121" s="38" t="s">
        <v>295</v>
      </c>
      <c r="C121" s="13" t="s">
        <v>493</v>
      </c>
      <c r="D121" s="13" t="s">
        <v>494</v>
      </c>
      <c r="E121" s="13" t="s">
        <v>494</v>
      </c>
      <c r="F121" s="13" t="s">
        <v>494</v>
      </c>
      <c r="G121" s="13" t="s">
        <v>329</v>
      </c>
      <c r="N121" s="72"/>
      <c r="O121" s="278"/>
      <c r="P121" s="278"/>
      <c r="Q121" s="278"/>
      <c r="R121" s="278"/>
      <c r="S121" s="278"/>
    </row>
    <row r="122" spans="1:19" ht="14.1" customHeight="1">
      <c r="B122" s="38" t="s">
        <v>500</v>
      </c>
      <c r="C122" s="13" t="s">
        <v>493</v>
      </c>
      <c r="D122" s="13" t="s">
        <v>494</v>
      </c>
      <c r="E122" s="13" t="s">
        <v>494</v>
      </c>
      <c r="F122" s="13" t="s">
        <v>494</v>
      </c>
      <c r="G122" s="13" t="s">
        <v>329</v>
      </c>
      <c r="N122" s="72"/>
      <c r="O122" s="278"/>
      <c r="P122" s="278"/>
      <c r="Q122" s="278"/>
      <c r="R122" s="278"/>
      <c r="S122" s="278"/>
    </row>
    <row r="123" spans="1:19" ht="14.1" customHeight="1">
      <c r="B123" s="38" t="s">
        <v>501</v>
      </c>
      <c r="C123" s="13" t="s">
        <v>493</v>
      </c>
      <c r="D123" s="13" t="s">
        <v>494</v>
      </c>
      <c r="E123" s="13" t="s">
        <v>494</v>
      </c>
      <c r="F123" s="13" t="s">
        <v>494</v>
      </c>
      <c r="G123" s="13" t="s">
        <v>329</v>
      </c>
      <c r="N123" s="72"/>
      <c r="O123" s="72"/>
      <c r="P123" s="72"/>
      <c r="Q123" s="72"/>
      <c r="R123" s="72"/>
      <c r="S123" s="72"/>
    </row>
    <row r="124" spans="1:19" ht="14.1" customHeight="1">
      <c r="B124" s="38" t="s">
        <v>358</v>
      </c>
      <c r="C124" s="13" t="s">
        <v>493</v>
      </c>
      <c r="D124" s="13" t="s">
        <v>494</v>
      </c>
      <c r="E124" s="13" t="s">
        <v>494</v>
      </c>
      <c r="F124" s="13" t="s">
        <v>494</v>
      </c>
      <c r="G124" s="13" t="s">
        <v>329</v>
      </c>
    </row>
    <row r="125" spans="1:19" ht="14.1" customHeight="1">
      <c r="B125" s="38" t="s">
        <v>269</v>
      </c>
      <c r="C125" s="13" t="s">
        <v>493</v>
      </c>
      <c r="D125" s="13" t="s">
        <v>494</v>
      </c>
      <c r="E125" s="13" t="s">
        <v>494</v>
      </c>
      <c r="F125" s="13" t="s">
        <v>494</v>
      </c>
      <c r="G125" s="13" t="s">
        <v>329</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9" t="s">
        <v>502</v>
      </c>
    </row>
    <row r="2" spans="1:3">
      <c r="B2" t="s">
        <v>503</v>
      </c>
    </row>
    <row r="3" spans="1:3">
      <c r="B3" t="s">
        <v>504</v>
      </c>
    </row>
    <row r="4" spans="1:3">
      <c r="B4" t="s">
        <v>505</v>
      </c>
    </row>
    <row r="5" spans="1:3">
      <c r="B5" t="s">
        <v>506</v>
      </c>
    </row>
    <row r="6" spans="1:3">
      <c r="B6" t="s">
        <v>507</v>
      </c>
    </row>
    <row r="8" spans="1:3">
      <c r="A8" s="9" t="s">
        <v>508</v>
      </c>
    </row>
    <row r="9" spans="1:3">
      <c r="A9" s="9"/>
      <c r="B9" t="s">
        <v>481</v>
      </c>
    </row>
    <row r="10" spans="1:3">
      <c r="A10" s="9"/>
      <c r="B10" t="s">
        <v>482</v>
      </c>
    </row>
    <row r="11" spans="1:3">
      <c r="B11" s="7" t="s">
        <v>509</v>
      </c>
      <c r="C11" s="7" t="s">
        <v>510</v>
      </c>
    </row>
    <row r="12" spans="1:3">
      <c r="B12" s="10">
        <v>25.03</v>
      </c>
      <c r="C12" s="11">
        <f>IF(B12&lt;A22,B12+B22+B12*C22+B12^2*D22+B12^3*E22+B12^4*F22+B12^5*G22+B12^6*H22,B12+B23+B12*C23+B12^2*D23+B12^3*E23+B12^4*F23+B12^5*G23+B12^6*H23)</f>
        <v>21.808137925164374</v>
      </c>
    </row>
    <row r="14" spans="1:3">
      <c r="A14" s="9" t="s">
        <v>511</v>
      </c>
    </row>
    <row r="15" spans="1:3">
      <c r="A15" s="9"/>
      <c r="B15" t="s">
        <v>483</v>
      </c>
    </row>
    <row r="16" spans="1:3">
      <c r="A16" s="9"/>
      <c r="B16" t="s">
        <v>484</v>
      </c>
    </row>
    <row r="17" spans="1:8">
      <c r="B17" s="7" t="s">
        <v>509</v>
      </c>
      <c r="C17" s="7" t="s">
        <v>510</v>
      </c>
    </row>
    <row r="18" spans="1:8">
      <c r="B18" s="10">
        <v>37.1</v>
      </c>
      <c r="C18" s="11">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14" customWidth="1"/>
    <col min="2" max="16384" width="9" style="514"/>
  </cols>
  <sheetData>
    <row r="1" spans="1:1">
      <c r="A1" s="583" t="s">
        <v>512</v>
      </c>
    </row>
    <row r="2" spans="1:1">
      <c r="A2" s="514" t="s">
        <v>513</v>
      </c>
    </row>
    <row r="3" spans="1:1">
      <c r="A3" s="514" t="s">
        <v>514</v>
      </c>
    </row>
    <row r="5" spans="1:1">
      <c r="A5" s="583" t="s">
        <v>515</v>
      </c>
    </row>
    <row r="6" spans="1:1">
      <c r="A6" s="514" t="s">
        <v>513</v>
      </c>
    </row>
    <row r="7" spans="1:1">
      <c r="A7" s="514" t="s">
        <v>514</v>
      </c>
    </row>
    <row r="8" spans="1:1">
      <c r="A8" s="514" t="s">
        <v>516</v>
      </c>
    </row>
    <row r="10" spans="1:1">
      <c r="A10" s="582" t="s">
        <v>517</v>
      </c>
    </row>
    <row r="11" spans="1:1">
      <c r="A11" s="581">
        <v>6</v>
      </c>
    </row>
    <row r="12" spans="1:1">
      <c r="A12" s="581">
        <v>5.5</v>
      </c>
    </row>
    <row r="13" spans="1:1">
      <c r="A13" s="581">
        <v>5</v>
      </c>
    </row>
    <row r="14" spans="1:1">
      <c r="A14" s="581">
        <v>4.5</v>
      </c>
    </row>
    <row r="15" spans="1:1">
      <c r="A15" s="581">
        <v>4</v>
      </c>
    </row>
    <row r="16" spans="1:1">
      <c r="A16" s="581">
        <v>3.5</v>
      </c>
    </row>
    <row r="17" spans="1:1">
      <c r="A17" s="581">
        <v>3</v>
      </c>
    </row>
    <row r="18" spans="1:1">
      <c r="A18" s="581">
        <v>2.5</v>
      </c>
    </row>
    <row r="19" spans="1:1">
      <c r="A19" s="581">
        <v>2</v>
      </c>
    </row>
    <row r="20" spans="1:1">
      <c r="A20" s="581">
        <v>1.5</v>
      </c>
    </row>
    <row r="21" spans="1:1">
      <c r="A21" s="581">
        <v>1</v>
      </c>
    </row>
    <row r="22" spans="1:1">
      <c r="A22" s="581">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2015-06-29T14:36:26Z</cp:lastPrinted>
  <dcterms:created xsi:type="dcterms:W3CDTF">2014-08-25T14:38:09Z</dcterms:created>
  <dcterms:modified xsi:type="dcterms:W3CDTF">2016-05-25T19:51:02Z</dcterms:modified>
</cp:coreProperties>
</file>