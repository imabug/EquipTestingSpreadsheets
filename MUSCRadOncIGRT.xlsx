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saveExternalLinkValues="0" codeName="ThisWorkbook"/>
  <mc:AlternateContent xmlns:mc="http://schemas.openxmlformats.org/markup-compatibility/2006">
    <mc:Choice Requires="x15">
      <x15ac:absPath xmlns:x15ac="http://schemas.microsoft.com/office/spreadsheetml/2010/11/ac" url="Z:\workspace\EquipTestingSpreadsheets\"/>
    </mc:Choice>
  </mc:AlternateContent>
  <xr:revisionPtr revIDLastSave="0" documentId="13_ncr:1_{DEF7055A-CDDF-4387-9B9D-E1AA272CAD69}" xr6:coauthVersionLast="47" xr6:coauthVersionMax="47" xr10:uidLastSave="{00000000-0000-0000-0000-000000000000}"/>
  <bookViews>
    <workbookView xWindow="-108" yWindow="-108" windowWidth="23256" windowHeight="13176" xr2:uid="{00000000-000D-0000-FFFF-FFFF00000000}"/>
  </bookViews>
  <sheets>
    <sheet name="Gen_form" sheetId="1" r:id="rId1"/>
    <sheet name="Tables" sheetId="4" r:id="rId2"/>
    <sheet name="Sheet1" sheetId="2" r:id="rId3"/>
    <sheet name="DataPage" sheetId="3" r:id="rId4"/>
  </sheets>
  <definedNames>
    <definedName name="ALUM">Gen_form!$P$465:$P$466</definedName>
    <definedName name="ALUM_0">Gen_form!$M$465</definedName>
    <definedName name="ALUM_1">Gen_form!$M$466</definedName>
    <definedName name="ALUM_2">Gen_form!$M$467</definedName>
    <definedName name="ALUM_3">Gen_form!$M$468</definedName>
    <definedName name="ALUM_4">Gen_form!$M$469</definedName>
    <definedName name="ALUM_5">Gen_form!$M$470</definedName>
    <definedName name="ALUMHIGH">Gen_form!$P$466</definedName>
    <definedName name="ALUMLOW">Gen_form!$P$465</definedName>
    <definedName name="avgkvp">Gen_form!$Q$465</definedName>
    <definedName name="COMPG1">Gen_form!$B$133:$K$198</definedName>
    <definedName name="COMPG2">Gen_form!$B$199:$K$264</definedName>
    <definedName name="CTPG1">Gen_form!$B$727:$K$792</definedName>
    <definedName name="DHALF">Gen_form!$O$465:$O$470</definedName>
    <definedName name="EXP_0">Gen_form!$N$465</definedName>
    <definedName name="EXP_1">Gen_form!$N$466</definedName>
    <definedName name="EXP_2">Gen_form!$N$467</definedName>
    <definedName name="EXP_3">Gen_form!$N$468</definedName>
    <definedName name="EXP_4">Gen_form!$N$469</definedName>
    <definedName name="EXP_5">Gen_form!$N$470</definedName>
    <definedName name="EXP_BLD">Gen_form!$B$265:$K$330</definedName>
    <definedName name="EXPHIGH">Gen_form!$P$470</definedName>
    <definedName name="EXPLOW">Gen_form!$P$469</definedName>
    <definedName name="FIRST">Gen_form!$B$1:$K$132</definedName>
    <definedName name="FS_KV">Gen_form!$B$331:$K$396</definedName>
    <definedName name="HVL">Gen_form!$S$465</definedName>
    <definedName name="HVL_IMGQUAL">Gen_form!$B$595:$K$660</definedName>
    <definedName name="LFMAS">Gen_form!$P$207</definedName>
    <definedName name="LFSDD">Gen_form!$N$233</definedName>
    <definedName name="LIN">Gen_form!$B$529:$K$594</definedName>
    <definedName name="LN_EXP">Gen_form!$Q$469:$Q$470</definedName>
    <definedName name="MAXAVG">Gen_form!$U$444</definedName>
    <definedName name="OUTPUT">Gen_form!$B$661:$K$726</definedName>
    <definedName name="_xlnm.Print_Area" localSheetId="0">Gen_form!$B$1:$K$132,Gen_form!$B$265:$K$462,Gen_form!$B$529:$K$792</definedName>
    <definedName name="RadSafe">Gen_form!$M$514</definedName>
    <definedName name="REPRO">Gen_form!$B$397:$K$462</definedName>
    <definedName name="SFMAS">Gen_form!$P$212</definedName>
    <definedName name="SFSDD">Gen_form!$N$251</definedName>
    <definedName name="startend">Gen_form!$O$8</definedName>
    <definedName name="TBCM_IN">Gen_form!$V$182</definedName>
    <definedName name="TIM">Gen_form!$B$463:$K$528</definedName>
    <definedName name="TO10Group">Tables!$O$92:$O$104</definedName>
    <definedName name="TO10kVAdj">Tables!$I$92:$M$106</definedName>
    <definedName name="TO10Values">Tables!$A$113:$S$125</definedName>
    <definedName name="TO16Group">Tables!$A$127:$A$139</definedName>
    <definedName name="TO16Values">Tables!$A$127:$O$139</definedName>
    <definedName name="Z_E3496B94_97EB_4AAE_9FD7_F66109A2B11F_.wvu.PrintArea" localSheetId="0" hidden="1">Gen_form!$B$1:$K$198,Gen_form!$B$397:$K$792,Gen_form!$B$661:$K$792</definedName>
  </definedNames>
  <calcPr calcId="191029"/>
  <customWorkbookViews>
    <customWorkbookView name="Eugene Mah - Personal View" guid="{E3496B94-97EB-4AAE-9FD7-F66109A2B11F}" mergeInterval="0" personalView="1" maximized="1" xWindow="-8" yWindow="-8" windowWidth="1382" windowHeight="784"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Q546" i="1" l="1"/>
  <c r="W455" i="1" l="1"/>
  <c r="V455" i="1"/>
  <c r="W454" i="1"/>
  <c r="V454" i="1"/>
  <c r="W453" i="1"/>
  <c r="V453" i="1"/>
  <c r="W452" i="1"/>
  <c r="V452" i="1"/>
  <c r="W451" i="1"/>
  <c r="V451" i="1"/>
  <c r="W450" i="1"/>
  <c r="V450" i="1"/>
  <c r="U455" i="1"/>
  <c r="U454" i="1"/>
  <c r="U453" i="1"/>
  <c r="U452" i="1"/>
  <c r="U451" i="1"/>
  <c r="U450" i="1"/>
  <c r="W407" i="1"/>
  <c r="V407" i="1"/>
  <c r="U407" i="1"/>
  <c r="S407" i="1" a="1"/>
  <c r="S407" i="1" s="1"/>
  <c r="R407" i="1" a="1"/>
  <c r="R407" i="1" s="1"/>
  <c r="Q407" i="1"/>
  <c r="W406" i="1"/>
  <c r="V406" i="1"/>
  <c r="U406" i="1"/>
  <c r="S406" i="1" a="1"/>
  <c r="S406" i="1" s="1"/>
  <c r="R406" i="1" a="1"/>
  <c r="R406" i="1" s="1"/>
  <c r="Q406" i="1"/>
  <c r="W405" i="1"/>
  <c r="V405" i="1"/>
  <c r="U405" i="1"/>
  <c r="S405" i="1" a="1"/>
  <c r="S405" i="1" s="1"/>
  <c r="R405" i="1" a="1"/>
  <c r="R405" i="1" s="1"/>
  <c r="Q405" i="1"/>
  <c r="W404" i="1"/>
  <c r="V404" i="1"/>
  <c r="U404" i="1"/>
  <c r="S404" i="1" a="1"/>
  <c r="S404" i="1" s="1"/>
  <c r="R404" i="1" a="1"/>
  <c r="R404" i="1" s="1"/>
  <c r="Q404" i="1"/>
  <c r="W403" i="1"/>
  <c r="V403" i="1"/>
  <c r="U403" i="1"/>
  <c r="S403" i="1" a="1"/>
  <c r="S403" i="1" s="1"/>
  <c r="R403" i="1" a="1"/>
  <c r="R403" i="1" s="1"/>
  <c r="Q403" i="1"/>
  <c r="W392" i="1"/>
  <c r="V392" i="1"/>
  <c r="U392" i="1"/>
  <c r="S392" i="1" a="1"/>
  <c r="S392" i="1" s="1"/>
  <c r="R392" i="1" a="1"/>
  <c r="R392" i="1" s="1"/>
  <c r="Q392" i="1"/>
  <c r="W391" i="1"/>
  <c r="V391" i="1"/>
  <c r="U391" i="1"/>
  <c r="S391" i="1" a="1"/>
  <c r="S391" i="1" s="1"/>
  <c r="R391" i="1" a="1"/>
  <c r="R391" i="1" s="1"/>
  <c r="Q391" i="1"/>
  <c r="W390" i="1"/>
  <c r="V390" i="1"/>
  <c r="U390" i="1"/>
  <c r="S390" i="1" a="1"/>
  <c r="S390" i="1" s="1"/>
  <c r="R390" i="1" a="1"/>
  <c r="R390" i="1" s="1"/>
  <c r="Q390" i="1"/>
  <c r="W389" i="1"/>
  <c r="V389" i="1"/>
  <c r="U389" i="1"/>
  <c r="S389" i="1" a="1"/>
  <c r="S389" i="1" s="1"/>
  <c r="R389" i="1" a="1"/>
  <c r="R389" i="1" s="1"/>
  <c r="Q389" i="1"/>
  <c r="W388" i="1"/>
  <c r="V388" i="1"/>
  <c r="U388" i="1"/>
  <c r="S388" i="1" a="1"/>
  <c r="S388" i="1" s="1"/>
  <c r="R388" i="1" a="1"/>
  <c r="R388" i="1" s="1"/>
  <c r="Q388" i="1"/>
  <c r="R341" i="1"/>
  <c r="Q341" i="1" s="1"/>
  <c r="W340" i="1"/>
  <c r="V340" i="1"/>
  <c r="U340" i="1"/>
  <c r="S340" i="1"/>
  <c r="R340" i="1" a="1"/>
  <c r="R340" i="1" s="1"/>
  <c r="Q340" i="1"/>
  <c r="W339" i="1"/>
  <c r="V339" i="1"/>
  <c r="U339" i="1"/>
  <c r="S339" i="1"/>
  <c r="R339" i="1" a="1"/>
  <c r="R339" i="1" s="1"/>
  <c r="Q339" i="1"/>
  <c r="W338" i="1"/>
  <c r="V338" i="1"/>
  <c r="U338" i="1"/>
  <c r="S338" i="1"/>
  <c r="R338" i="1" a="1"/>
  <c r="R338" i="1" s="1"/>
  <c r="Q338" i="1"/>
  <c r="W337" i="1"/>
  <c r="V337" i="1"/>
  <c r="U337" i="1"/>
  <c r="S337" i="1"/>
  <c r="R337" i="1" a="1"/>
  <c r="R337" i="1" s="1"/>
  <c r="Q337" i="1"/>
  <c r="W336" i="1"/>
  <c r="V336" i="1"/>
  <c r="U336" i="1"/>
  <c r="S336" i="1"/>
  <c r="R336" i="1" a="1"/>
  <c r="R336" i="1" s="1"/>
  <c r="Q336" i="1"/>
  <c r="W335" i="1"/>
  <c r="V335" i="1"/>
  <c r="U335" i="1"/>
  <c r="S335" i="1"/>
  <c r="R335" i="1" a="1"/>
  <c r="R335" i="1" s="1"/>
  <c r="Q335" i="1"/>
  <c r="O335" i="1"/>
  <c r="I424" i="1"/>
  <c r="I423" i="1"/>
  <c r="I422" i="1"/>
  <c r="I421" i="1"/>
  <c r="I420" i="1"/>
  <c r="E424" i="1"/>
  <c r="E423" i="1"/>
  <c r="E422" i="1"/>
  <c r="E421" i="1"/>
  <c r="E420" i="1"/>
  <c r="E418" i="1"/>
  <c r="W303" i="1"/>
  <c r="V303" i="1"/>
  <c r="U303" i="1"/>
  <c r="I419" i="1" s="1"/>
  <c r="S303" i="1" a="1"/>
  <c r="S303" i="1" s="1"/>
  <c r="R303" i="1" a="1"/>
  <c r="R303" i="1" s="1"/>
  <c r="Q303" i="1"/>
  <c r="W302" i="1"/>
  <c r="V302" i="1"/>
  <c r="U302" i="1"/>
  <c r="I418" i="1" s="1"/>
  <c r="S302" i="1" a="1"/>
  <c r="S302" i="1" s="1"/>
  <c r="R302" i="1" a="1"/>
  <c r="R302" i="1" s="1"/>
  <c r="Q302" i="1"/>
  <c r="W301" i="1"/>
  <c r="V301" i="1"/>
  <c r="U301" i="1"/>
  <c r="I417" i="1" s="1"/>
  <c r="S301" i="1" a="1"/>
  <c r="S301" i="1" s="1"/>
  <c r="R301" i="1" a="1"/>
  <c r="R301" i="1" s="1"/>
  <c r="Q301" i="1"/>
  <c r="W300" i="1"/>
  <c r="V300" i="1"/>
  <c r="U300" i="1"/>
  <c r="I416" i="1" s="1"/>
  <c r="S300" i="1" a="1"/>
  <c r="S300" i="1" s="1"/>
  <c r="R300" i="1" a="1"/>
  <c r="R300" i="1" s="1"/>
  <c r="Q300" i="1"/>
  <c r="W299" i="1"/>
  <c r="V299" i="1"/>
  <c r="U299" i="1"/>
  <c r="I415" i="1" s="1"/>
  <c r="S299" i="1" a="1"/>
  <c r="S299" i="1" s="1"/>
  <c r="R299" i="1" a="1"/>
  <c r="R299" i="1" s="1"/>
  <c r="Q299" i="1"/>
  <c r="W284" i="1"/>
  <c r="V284" i="1"/>
  <c r="U284" i="1"/>
  <c r="E419" i="1" s="1"/>
  <c r="S284" i="1" a="1"/>
  <c r="S284" i="1" s="1"/>
  <c r="R284" i="1" a="1"/>
  <c r="R284" i="1" s="1"/>
  <c r="Q284" i="1"/>
  <c r="W283" i="1"/>
  <c r="V283" i="1"/>
  <c r="U283" i="1"/>
  <c r="S283" i="1" a="1"/>
  <c r="S283" i="1" s="1"/>
  <c r="R283" i="1" a="1"/>
  <c r="R283" i="1" s="1"/>
  <c r="Q283" i="1"/>
  <c r="W282" i="1"/>
  <c r="V282" i="1"/>
  <c r="U282" i="1"/>
  <c r="E417" i="1" s="1"/>
  <c r="S282" i="1" a="1"/>
  <c r="S282" i="1" s="1"/>
  <c r="R282" i="1" a="1"/>
  <c r="R282" i="1" s="1"/>
  <c r="Q282" i="1"/>
  <c r="W281" i="1"/>
  <c r="V281" i="1"/>
  <c r="U281" i="1"/>
  <c r="E416" i="1" s="1"/>
  <c r="S281" i="1" a="1"/>
  <c r="S281" i="1" s="1"/>
  <c r="R281" i="1" a="1"/>
  <c r="R281" i="1" s="1"/>
  <c r="Q281" i="1"/>
  <c r="W280" i="1"/>
  <c r="V280" i="1"/>
  <c r="U280" i="1"/>
  <c r="E415" i="1" s="1"/>
  <c r="S280" i="1" a="1"/>
  <c r="S280" i="1" s="1"/>
  <c r="R280" i="1" a="1"/>
  <c r="R280" i="1" s="1"/>
  <c r="Q280" i="1"/>
  <c r="S256" i="1" a="1"/>
  <c r="S256" i="1" s="1"/>
  <c r="R256" i="1" a="1"/>
  <c r="R256" i="1" s="1"/>
  <c r="Q256" i="1"/>
  <c r="W256" i="1"/>
  <c r="V256" i="1"/>
  <c r="W255" i="1"/>
  <c r="V255" i="1"/>
  <c r="U256" i="1"/>
  <c r="U255" i="1"/>
  <c r="S255" i="1" a="1"/>
  <c r="S255" i="1" s="1"/>
  <c r="R255" i="1" a="1"/>
  <c r="R255" i="1" s="1"/>
  <c r="Q255" i="1"/>
  <c r="W254" i="1"/>
  <c r="V254" i="1"/>
  <c r="U254" i="1"/>
  <c r="S254" i="1" a="1"/>
  <c r="S254" i="1" s="1"/>
  <c r="R254" i="1" a="1"/>
  <c r="R254" i="1" s="1"/>
  <c r="Q254" i="1"/>
  <c r="W253" i="1"/>
  <c r="V253" i="1"/>
  <c r="U253" i="1"/>
  <c r="S253" i="1" a="1"/>
  <c r="S253" i="1" s="1"/>
  <c r="R253" i="1" a="1"/>
  <c r="R253" i="1" s="1"/>
  <c r="Q253" i="1"/>
  <c r="W252" i="1"/>
  <c r="V252" i="1"/>
  <c r="U252" i="1"/>
  <c r="P502" i="1" s="1"/>
  <c r="S252" i="1" a="1"/>
  <c r="S252" i="1" s="1"/>
  <c r="R252" i="1" a="1"/>
  <c r="R252" i="1" s="1"/>
  <c r="Q252" i="1"/>
  <c r="O254" i="1"/>
  <c r="O253" i="1"/>
  <c r="O252" i="1"/>
  <c r="O299" i="1" s="1"/>
  <c r="S238" i="1" a="1"/>
  <c r="S238" i="1" s="1"/>
  <c r="R238" i="1" a="1"/>
  <c r="R238" i="1" s="1"/>
  <c r="Q238" i="1"/>
  <c r="S237" i="1" a="1"/>
  <c r="S237" i="1" s="1"/>
  <c r="R237" i="1" a="1"/>
  <c r="R237" i="1" s="1"/>
  <c r="Q237" i="1"/>
  <c r="W238" i="1"/>
  <c r="V238" i="1"/>
  <c r="W237" i="1"/>
  <c r="V237" i="1"/>
  <c r="W236" i="1"/>
  <c r="V236" i="1"/>
  <c r="U238" i="1"/>
  <c r="U237" i="1"/>
  <c r="U236" i="1"/>
  <c r="W235" i="1"/>
  <c r="V235" i="1"/>
  <c r="U235" i="1"/>
  <c r="W234" i="1"/>
  <c r="V234" i="1"/>
  <c r="U234" i="1"/>
  <c r="P485" i="1" s="1"/>
  <c r="S236" i="1" a="1"/>
  <c r="S236" i="1" s="1"/>
  <c r="R236" i="1" a="1"/>
  <c r="R236" i="1" s="1"/>
  <c r="Q236" i="1"/>
  <c r="S235" i="1" a="1"/>
  <c r="S235" i="1" s="1"/>
  <c r="R235" i="1" a="1"/>
  <c r="R235" i="1" s="1"/>
  <c r="Q235" i="1"/>
  <c r="S234" i="1" a="1"/>
  <c r="S234" i="1" s="1"/>
  <c r="R234" i="1" a="1"/>
  <c r="R234" i="1" s="1"/>
  <c r="Q234" i="1"/>
  <c r="O237" i="1"/>
  <c r="O238" i="1"/>
  <c r="O236" i="1"/>
  <c r="O235" i="1"/>
  <c r="O234" i="1"/>
  <c r="O280" i="1" s="1"/>
  <c r="P486" i="1" l="1"/>
  <c r="P487" i="1" s="1"/>
  <c r="P488" i="1" s="1"/>
  <c r="P489" i="1" s="1"/>
  <c r="P490" i="1" s="1"/>
  <c r="P491" i="1" s="1"/>
  <c r="P492" i="1" s="1"/>
  <c r="P503" i="1"/>
  <c r="P504" i="1" s="1"/>
  <c r="P505" i="1" s="1"/>
  <c r="P506" i="1" s="1"/>
  <c r="P507" i="1" s="1"/>
  <c r="O57" i="1"/>
  <c r="O56" i="1"/>
  <c r="E763" i="1"/>
  <c r="E762" i="1"/>
  <c r="D762" i="1"/>
  <c r="G759" i="1"/>
  <c r="F759" i="1"/>
  <c r="E759" i="1"/>
  <c r="G757" i="1"/>
  <c r="F757" i="1"/>
  <c r="E757" i="1"/>
  <c r="F729" i="1"/>
  <c r="E729" i="1"/>
  <c r="D729" i="1"/>
  <c r="O576" i="1"/>
  <c r="E755" i="1" s="1"/>
  <c r="Q584" i="1"/>
  <c r="P584" i="1"/>
  <c r="O584" i="1"/>
  <c r="Q579" i="1"/>
  <c r="P579" i="1"/>
  <c r="O579" i="1"/>
  <c r="Q577" i="1"/>
  <c r="Q576" i="1"/>
  <c r="G755" i="1" s="1"/>
  <c r="P576" i="1"/>
  <c r="F755" i="1" s="1"/>
  <c r="Q566" i="1"/>
  <c r="P566" i="1"/>
  <c r="O566" i="1"/>
  <c r="Q582" i="1" l="1"/>
  <c r="AD314" i="1"/>
  <c r="Q580" i="1"/>
  <c r="G758" i="1" s="1"/>
  <c r="G756" i="1"/>
  <c r="G760" i="1"/>
  <c r="Q571" i="1"/>
  <c r="G754" i="1" s="1"/>
  <c r="T11" i="1" l="1"/>
  <c r="T12" i="1"/>
  <c r="T13" i="1"/>
  <c r="T14" i="1"/>
  <c r="T15" i="1"/>
  <c r="T18" i="1"/>
  <c r="T19" i="1"/>
  <c r="T20" i="1"/>
  <c r="T24" i="1"/>
  <c r="T25" i="1"/>
  <c r="T26" i="1"/>
  <c r="T28" i="1"/>
  <c r="T29" i="1"/>
  <c r="T32" i="1"/>
  <c r="T33" i="1"/>
  <c r="F728" i="1" l="1"/>
  <c r="K728" i="1"/>
  <c r="AC314" i="1" l="1"/>
  <c r="AC315" i="1"/>
  <c r="P543" i="1"/>
  <c r="D731" i="1" s="1"/>
  <c r="Q543" i="1"/>
  <c r="R543" i="1"/>
  <c r="P546" i="1"/>
  <c r="R546" i="1"/>
  <c r="Q583" i="1" s="1"/>
  <c r="G761" i="1" s="1"/>
  <c r="P547" i="1"/>
  <c r="D735" i="1" s="1"/>
  <c r="Q547" i="1"/>
  <c r="R547" i="1"/>
  <c r="P548" i="1"/>
  <c r="Q548" i="1"/>
  <c r="E736" i="1" s="1"/>
  <c r="R548" i="1"/>
  <c r="P549" i="1"/>
  <c r="Q549" i="1"/>
  <c r="R549" i="1"/>
  <c r="P550" i="1"/>
  <c r="Q550" i="1"/>
  <c r="R550" i="1"/>
  <c r="F738" i="1" s="1"/>
  <c r="P551" i="1"/>
  <c r="Q551" i="1"/>
  <c r="R551" i="1"/>
  <c r="P552" i="1"/>
  <c r="Q552" i="1"/>
  <c r="R552" i="1"/>
  <c r="P553" i="1"/>
  <c r="Q553" i="1"/>
  <c r="R553" i="1"/>
  <c r="P555" i="1"/>
  <c r="D743" i="1" s="1"/>
  <c r="Q555" i="1"/>
  <c r="R555" i="1"/>
  <c r="F743" i="1" s="1"/>
  <c r="P556" i="1"/>
  <c r="Q556" i="1"/>
  <c r="R556" i="1"/>
  <c r="P557" i="1"/>
  <c r="D745" i="1" s="1"/>
  <c r="Q557" i="1"/>
  <c r="R557" i="1"/>
  <c r="P558" i="1"/>
  <c r="Q558" i="1"/>
  <c r="E746" i="1" s="1"/>
  <c r="R558" i="1"/>
  <c r="P559" i="1"/>
  <c r="O567" i="1" s="1"/>
  <c r="E753" i="1" s="1"/>
  <c r="Q559" i="1"/>
  <c r="R559" i="1"/>
  <c r="R542" i="1"/>
  <c r="Q542" i="1"/>
  <c r="P542" i="1"/>
  <c r="AD297" i="1"/>
  <c r="AC297" i="1" s="1"/>
  <c r="AC292" i="1"/>
  <c r="AC273" i="1"/>
  <c r="R554" i="1"/>
  <c r="Q554" i="1"/>
  <c r="P554" i="1"/>
  <c r="R544" i="1"/>
  <c r="Q545" i="1"/>
  <c r="P544" i="1"/>
  <c r="P571" i="1" l="1"/>
  <c r="O571" i="1"/>
  <c r="AD280" i="1"/>
  <c r="AC280" i="1" s="1"/>
  <c r="Q567" i="1"/>
  <c r="G753" i="1" s="1"/>
  <c r="AD310" i="1"/>
  <c r="AC310" i="1" s="1"/>
  <c r="F734" i="1"/>
  <c r="AD291" i="1"/>
  <c r="AC291" i="1" s="1"/>
  <c r="P567" i="1"/>
  <c r="F753" i="1" s="1"/>
  <c r="AD272" i="1"/>
  <c r="AC272" i="1" s="1"/>
  <c r="AD260" i="1"/>
  <c r="AC260" i="1" s="1"/>
  <c r="AD268" i="1"/>
  <c r="AC268" i="1" s="1"/>
  <c r="AD256" i="1"/>
  <c r="AC256" i="1" s="1"/>
  <c r="AD285" i="1"/>
  <c r="AC285" i="1" s="1"/>
  <c r="E741" i="1"/>
  <c r="AD261" i="1"/>
  <c r="AC261" i="1" s="1"/>
  <c r="D736" i="1"/>
  <c r="AD277" i="1"/>
  <c r="AC277" i="1" s="1"/>
  <c r="E733" i="1"/>
  <c r="AD255" i="1"/>
  <c r="AC255" i="1" s="1"/>
  <c r="D730" i="1"/>
  <c r="AD271" i="1"/>
  <c r="AC271" i="1" s="1"/>
  <c r="D746" i="1"/>
  <c r="AD307" i="1"/>
  <c r="AC307" i="1" s="1"/>
  <c r="F744" i="1"/>
  <c r="AD287" i="1"/>
  <c r="AC287" i="1" s="1"/>
  <c r="E743" i="1"/>
  <c r="AD266" i="1"/>
  <c r="AC266" i="1" s="1"/>
  <c r="D741" i="1"/>
  <c r="AD302" i="1"/>
  <c r="AC302" i="1" s="1"/>
  <c r="F739" i="1"/>
  <c r="AD282" i="1"/>
  <c r="AC282" i="1" s="1"/>
  <c r="E738" i="1"/>
  <c r="AD262" i="1"/>
  <c r="AC262" i="1" s="1"/>
  <c r="D737" i="1"/>
  <c r="AD298" i="1"/>
  <c r="AC298" i="1" s="1"/>
  <c r="F735" i="1"/>
  <c r="AD278" i="1"/>
  <c r="AC278" i="1" s="1"/>
  <c r="E734" i="1"/>
  <c r="AD286" i="1"/>
  <c r="AC286" i="1" s="1"/>
  <c r="E742" i="1"/>
  <c r="AD305" i="1"/>
  <c r="AC305" i="1" s="1"/>
  <c r="F742" i="1"/>
  <c r="AD306" i="1"/>
  <c r="AC306" i="1" s="1"/>
  <c r="AD274" i="1"/>
  <c r="AC274" i="1" s="1"/>
  <c r="E730" i="1"/>
  <c r="AD308" i="1"/>
  <c r="AC308" i="1" s="1"/>
  <c r="F745" i="1"/>
  <c r="AD288" i="1"/>
  <c r="AC288" i="1" s="1"/>
  <c r="E744" i="1"/>
  <c r="AD303" i="1"/>
  <c r="AC303" i="1" s="1"/>
  <c r="F740" i="1"/>
  <c r="AD283" i="1"/>
  <c r="AC283" i="1" s="1"/>
  <c r="E739" i="1"/>
  <c r="AD263" i="1"/>
  <c r="AC263" i="1" s="1"/>
  <c r="D738" i="1"/>
  <c r="AD299" i="1"/>
  <c r="AC299" i="1" s="1"/>
  <c r="F736" i="1"/>
  <c r="AD279" i="1"/>
  <c r="AC279" i="1" s="1"/>
  <c r="E735" i="1"/>
  <c r="AD259" i="1"/>
  <c r="AC259" i="1" s="1"/>
  <c r="D734" i="1"/>
  <c r="AD257" i="1"/>
  <c r="AC257" i="1" s="1"/>
  <c r="D732" i="1"/>
  <c r="AD265" i="1"/>
  <c r="AC265" i="1" s="1"/>
  <c r="D740" i="1"/>
  <c r="AD281" i="1"/>
  <c r="AC281" i="1" s="1"/>
  <c r="E737" i="1"/>
  <c r="AD275" i="1"/>
  <c r="AC275" i="1" s="1"/>
  <c r="E731" i="1"/>
  <c r="AD295" i="1"/>
  <c r="AC295" i="1" s="1"/>
  <c r="F732" i="1"/>
  <c r="Q544" i="1"/>
  <c r="AD267" i="1"/>
  <c r="AC267" i="1" s="1"/>
  <c r="D742" i="1"/>
  <c r="AD270" i="1"/>
  <c r="AC270" i="1" s="1"/>
  <c r="AD290" i="1"/>
  <c r="AC290" i="1" s="1"/>
  <c r="AD301" i="1"/>
  <c r="AC301" i="1" s="1"/>
  <c r="AD293" i="1"/>
  <c r="AC293" i="1" s="1"/>
  <c r="F730" i="1"/>
  <c r="AD309" i="1"/>
  <c r="AC309" i="1" s="1"/>
  <c r="F746" i="1"/>
  <c r="AD289" i="1"/>
  <c r="AC289" i="1" s="1"/>
  <c r="E745" i="1"/>
  <c r="AD269" i="1"/>
  <c r="AC269" i="1" s="1"/>
  <c r="D744" i="1"/>
  <c r="AD304" i="1"/>
  <c r="AC304" i="1" s="1"/>
  <c r="F741" i="1"/>
  <c r="AD284" i="1"/>
  <c r="AC284" i="1" s="1"/>
  <c r="E740" i="1"/>
  <c r="AD264" i="1"/>
  <c r="AC264" i="1" s="1"/>
  <c r="D739" i="1"/>
  <c r="AD300" i="1"/>
  <c r="AC300" i="1" s="1"/>
  <c r="F737" i="1"/>
  <c r="AD294" i="1"/>
  <c r="AC294" i="1" s="1"/>
  <c r="F731" i="1"/>
  <c r="P545" i="1"/>
  <c r="R545" i="1"/>
  <c r="E754" i="1" l="1"/>
  <c r="O577" i="1"/>
  <c r="F754" i="1"/>
  <c r="P577" i="1"/>
  <c r="AD318" i="1"/>
  <c r="AC318" i="1" s="1"/>
  <c r="AD276" i="1"/>
  <c r="AC276" i="1" s="1"/>
  <c r="E732" i="1"/>
  <c r="AD258" i="1"/>
  <c r="AC258" i="1" s="1"/>
  <c r="D733" i="1"/>
  <c r="AD296" i="1"/>
  <c r="AC296" i="1" s="1"/>
  <c r="F733" i="1"/>
  <c r="AD313" i="1" l="1"/>
  <c r="AC313" i="1" s="1"/>
  <c r="P582" i="1"/>
  <c r="O582" i="1"/>
  <c r="AD312" i="1"/>
  <c r="AC312" i="1" s="1"/>
  <c r="E756" i="1"/>
  <c r="O580" i="1"/>
  <c r="E758" i="1" s="1"/>
  <c r="E760" i="1"/>
  <c r="O583" i="1"/>
  <c r="P580" i="1"/>
  <c r="F758" i="1" s="1"/>
  <c r="F756" i="1"/>
  <c r="F760" i="1"/>
  <c r="P583" i="1"/>
  <c r="L12" i="4"/>
  <c r="J12" i="4"/>
  <c r="G12" i="4"/>
  <c r="F12" i="4"/>
  <c r="G11" i="4"/>
  <c r="F11" i="4"/>
  <c r="G10" i="4"/>
  <c r="F10" i="4"/>
  <c r="G9" i="4"/>
  <c r="F9" i="4"/>
  <c r="G8" i="4"/>
  <c r="F8" i="4"/>
  <c r="G7" i="4"/>
  <c r="F7" i="4"/>
  <c r="G6" i="4"/>
  <c r="F6" i="4"/>
  <c r="G5" i="4"/>
  <c r="F5" i="4"/>
  <c r="Z464" i="1"/>
  <c r="E761" i="1" l="1"/>
  <c r="AD316" i="1"/>
  <c r="AC316" i="1" s="1"/>
  <c r="F761" i="1"/>
  <c r="AD317" i="1"/>
  <c r="AC317" i="1" s="1"/>
  <c r="T256" i="1"/>
  <c r="T255" i="1"/>
  <c r="T254" i="1"/>
  <c r="T253" i="1"/>
  <c r="T252" i="1"/>
  <c r="T234" i="1"/>
  <c r="M207" i="1" l="1"/>
  <c r="O190" i="1"/>
  <c r="AD72" i="1" s="1"/>
  <c r="AC72" i="1" s="1"/>
  <c r="P190" i="1"/>
  <c r="AD73" i="1" s="1"/>
  <c r="AC73" i="1" s="1"/>
  <c r="P189" i="1"/>
  <c r="AD71" i="1" s="1"/>
  <c r="AC71" i="1" s="1"/>
  <c r="O189" i="1"/>
  <c r="AD70" i="1" s="1"/>
  <c r="AC70" i="1" s="1"/>
  <c r="AD23" i="1" l="1"/>
  <c r="AC23" i="1" s="1"/>
  <c r="AD24" i="1"/>
  <c r="AC24" i="1" s="1"/>
  <c r="AD22" i="1"/>
  <c r="AC22" i="1" s="1"/>
  <c r="AA23" i="1"/>
  <c r="AA24" i="1"/>
  <c r="AA22" i="1"/>
  <c r="F662" i="1" l="1"/>
  <c r="K595" i="1"/>
  <c r="F596" i="1"/>
  <c r="F530" i="1"/>
  <c r="F464" i="1"/>
  <c r="F398" i="1"/>
  <c r="F200" i="1"/>
  <c r="K331" i="1"/>
  <c r="K266" i="1"/>
  <c r="K265" i="1"/>
  <c r="AD39" i="1" l="1"/>
  <c r="AC39" i="1" s="1"/>
  <c r="AD40" i="1"/>
  <c r="AC40" i="1" s="1"/>
  <c r="AD41" i="1"/>
  <c r="AC41" i="1" s="1"/>
  <c r="AD42" i="1"/>
  <c r="AC42" i="1" s="1"/>
  <c r="AD38" i="1"/>
  <c r="AC38" i="1" s="1"/>
  <c r="AA39" i="1"/>
  <c r="AA40" i="1"/>
  <c r="AA41" i="1"/>
  <c r="AA42" i="1"/>
  <c r="AA38" i="1"/>
  <c r="I11" i="1" l="1"/>
  <c r="J111" i="1" l="1"/>
  <c r="M52" i="1" l="1"/>
  <c r="AD56" i="1" l="1"/>
  <c r="AC56" i="1" s="1"/>
  <c r="O535" i="1"/>
  <c r="D169" i="1" s="1"/>
  <c r="J169" i="1"/>
  <c r="K169" i="1"/>
  <c r="P213" i="1"/>
  <c r="K362" i="1" l="1"/>
  <c r="H362" i="1"/>
  <c r="Y62" i="3" l="1"/>
  <c r="X62" i="3"/>
  <c r="W62" i="3"/>
  <c r="V62" i="3"/>
  <c r="U62" i="3"/>
  <c r="T62" i="3"/>
  <c r="S62" i="3"/>
  <c r="R62" i="3"/>
  <c r="Q62" i="3"/>
  <c r="P62" i="3"/>
  <c r="O62" i="3"/>
  <c r="N62" i="3"/>
  <c r="M62" i="3"/>
  <c r="L62" i="3"/>
  <c r="K62" i="3"/>
  <c r="J62" i="3"/>
  <c r="I62" i="3"/>
  <c r="H62" i="3"/>
  <c r="F62" i="3"/>
  <c r="Y61" i="3"/>
  <c r="X61" i="3"/>
  <c r="W61" i="3"/>
  <c r="V61" i="3"/>
  <c r="U61" i="3"/>
  <c r="T61" i="3"/>
  <c r="S61" i="3"/>
  <c r="R61" i="3"/>
  <c r="Q61" i="3"/>
  <c r="P61" i="3"/>
  <c r="O61" i="3"/>
  <c r="N61" i="3"/>
  <c r="M61" i="3"/>
  <c r="L61" i="3"/>
  <c r="K61" i="3"/>
  <c r="J61" i="3"/>
  <c r="I61" i="3"/>
  <c r="H61" i="3"/>
  <c r="F61" i="3"/>
  <c r="Y60" i="3"/>
  <c r="X60" i="3"/>
  <c r="W60" i="3"/>
  <c r="V60" i="3"/>
  <c r="U60" i="3"/>
  <c r="T60" i="3"/>
  <c r="S60" i="3"/>
  <c r="R60" i="3"/>
  <c r="Q60" i="3"/>
  <c r="P60" i="3"/>
  <c r="O60" i="3"/>
  <c r="N60" i="3"/>
  <c r="M60" i="3"/>
  <c r="L60" i="3"/>
  <c r="K60" i="3"/>
  <c r="J60" i="3"/>
  <c r="I60" i="3"/>
  <c r="H60" i="3"/>
  <c r="F60" i="3"/>
  <c r="Y59" i="3"/>
  <c r="X59" i="3"/>
  <c r="W59" i="3"/>
  <c r="V59" i="3"/>
  <c r="U59" i="3"/>
  <c r="T59" i="3"/>
  <c r="S59" i="3"/>
  <c r="R59" i="3"/>
  <c r="Q59" i="3"/>
  <c r="P59" i="3"/>
  <c r="O59" i="3"/>
  <c r="N59" i="3"/>
  <c r="M59" i="3"/>
  <c r="L59" i="3"/>
  <c r="K59" i="3"/>
  <c r="J59" i="3"/>
  <c r="I59" i="3"/>
  <c r="H59" i="3"/>
  <c r="F59" i="3"/>
  <c r="Y58" i="3"/>
  <c r="X58" i="3"/>
  <c r="W58" i="3"/>
  <c r="V58" i="3"/>
  <c r="U58" i="3"/>
  <c r="T58" i="3"/>
  <c r="S58" i="3"/>
  <c r="R58" i="3"/>
  <c r="Q58" i="3"/>
  <c r="P58" i="3"/>
  <c r="O58" i="3"/>
  <c r="N58" i="3"/>
  <c r="M58" i="3"/>
  <c r="L58" i="3"/>
  <c r="K58" i="3"/>
  <c r="J58" i="3"/>
  <c r="I58" i="3"/>
  <c r="H58" i="3"/>
  <c r="F58" i="3"/>
  <c r="Y57" i="3"/>
  <c r="X57" i="3"/>
  <c r="W57" i="3"/>
  <c r="V57" i="3"/>
  <c r="U57" i="3"/>
  <c r="T57" i="3"/>
  <c r="S57" i="3"/>
  <c r="R57" i="3"/>
  <c r="Q57" i="3"/>
  <c r="P57" i="3"/>
  <c r="O57" i="3"/>
  <c r="N57" i="3"/>
  <c r="M57" i="3"/>
  <c r="L57" i="3"/>
  <c r="K57" i="3"/>
  <c r="J57" i="3"/>
  <c r="I57" i="3"/>
  <c r="H57" i="3"/>
  <c r="F57" i="3"/>
  <c r="Y56" i="3"/>
  <c r="X56" i="3"/>
  <c r="W56" i="3"/>
  <c r="V56" i="3"/>
  <c r="U56" i="3"/>
  <c r="T56" i="3"/>
  <c r="S56" i="3"/>
  <c r="R56" i="3"/>
  <c r="Q56" i="3"/>
  <c r="P56" i="3"/>
  <c r="O56" i="3"/>
  <c r="N56" i="3"/>
  <c r="M56" i="3"/>
  <c r="L56" i="3"/>
  <c r="K56" i="3"/>
  <c r="J56" i="3"/>
  <c r="I56" i="3"/>
  <c r="H56" i="3"/>
  <c r="F56" i="3"/>
  <c r="Y55" i="3"/>
  <c r="X55" i="3"/>
  <c r="W55" i="3"/>
  <c r="V55" i="3"/>
  <c r="U55" i="3"/>
  <c r="T55" i="3"/>
  <c r="S55" i="3"/>
  <c r="R55" i="3"/>
  <c r="Q55" i="3"/>
  <c r="P55" i="3"/>
  <c r="O55" i="3"/>
  <c r="N55" i="3"/>
  <c r="M55" i="3"/>
  <c r="L55" i="3"/>
  <c r="K55" i="3"/>
  <c r="J55" i="3"/>
  <c r="I55" i="3"/>
  <c r="H55" i="3"/>
  <c r="F55" i="3"/>
  <c r="Y54" i="3"/>
  <c r="X54" i="3"/>
  <c r="W54" i="3"/>
  <c r="V54" i="3"/>
  <c r="U54" i="3"/>
  <c r="T54" i="3"/>
  <c r="S54" i="3"/>
  <c r="R54" i="3"/>
  <c r="Q54" i="3"/>
  <c r="P54" i="3"/>
  <c r="O54" i="3"/>
  <c r="N54" i="3"/>
  <c r="M54" i="3"/>
  <c r="L54" i="3"/>
  <c r="K54" i="3"/>
  <c r="J54" i="3"/>
  <c r="I54" i="3"/>
  <c r="H54" i="3"/>
  <c r="F54" i="3"/>
  <c r="Y53" i="3"/>
  <c r="X53" i="3"/>
  <c r="W53" i="3"/>
  <c r="V53" i="3"/>
  <c r="U53" i="3"/>
  <c r="T53" i="3"/>
  <c r="S53" i="3"/>
  <c r="R53" i="3"/>
  <c r="Q53" i="3"/>
  <c r="P53" i="3"/>
  <c r="O53" i="3"/>
  <c r="N53" i="3"/>
  <c r="M53" i="3"/>
  <c r="L53" i="3"/>
  <c r="K53" i="3"/>
  <c r="J53" i="3"/>
  <c r="I53" i="3"/>
  <c r="H53" i="3"/>
  <c r="F53" i="3"/>
  <c r="Y52" i="3"/>
  <c r="X52" i="3"/>
  <c r="W52" i="3"/>
  <c r="V52" i="3"/>
  <c r="U52" i="3"/>
  <c r="T52" i="3"/>
  <c r="S52" i="3"/>
  <c r="R52" i="3"/>
  <c r="Q52" i="3"/>
  <c r="P52" i="3"/>
  <c r="O52" i="3"/>
  <c r="N52" i="3"/>
  <c r="M52" i="3"/>
  <c r="L52" i="3"/>
  <c r="K52" i="3"/>
  <c r="J52" i="3"/>
  <c r="I52" i="3"/>
  <c r="H52" i="3"/>
  <c r="F52" i="3"/>
  <c r="Y51" i="3"/>
  <c r="X51" i="3"/>
  <c r="W51" i="3"/>
  <c r="V51" i="3"/>
  <c r="U51" i="3"/>
  <c r="T51" i="3"/>
  <c r="S51" i="3"/>
  <c r="R51" i="3"/>
  <c r="Q51" i="3"/>
  <c r="P51" i="3"/>
  <c r="O51" i="3"/>
  <c r="N51" i="3"/>
  <c r="M51" i="3"/>
  <c r="L51" i="3"/>
  <c r="K51" i="3"/>
  <c r="J51" i="3"/>
  <c r="I51" i="3"/>
  <c r="H51" i="3"/>
  <c r="F51" i="3"/>
  <c r="Y50" i="3"/>
  <c r="X50" i="3"/>
  <c r="W50" i="3"/>
  <c r="V50" i="3"/>
  <c r="U50" i="3"/>
  <c r="T50" i="3"/>
  <c r="S50" i="3"/>
  <c r="R50" i="3"/>
  <c r="Q50" i="3"/>
  <c r="P50" i="3"/>
  <c r="O50" i="3"/>
  <c r="N50" i="3"/>
  <c r="M50" i="3"/>
  <c r="L50" i="3"/>
  <c r="K50" i="3"/>
  <c r="J50" i="3"/>
  <c r="I50" i="3"/>
  <c r="H50" i="3"/>
  <c r="F50" i="3"/>
  <c r="Y49" i="3"/>
  <c r="X49" i="3"/>
  <c r="W49" i="3"/>
  <c r="V49" i="3"/>
  <c r="U49" i="3"/>
  <c r="T49" i="3"/>
  <c r="S49" i="3"/>
  <c r="R49" i="3"/>
  <c r="Q49" i="3"/>
  <c r="P49" i="3"/>
  <c r="O49" i="3"/>
  <c r="N49" i="3"/>
  <c r="M49" i="3"/>
  <c r="L49" i="3"/>
  <c r="K49" i="3"/>
  <c r="J49" i="3"/>
  <c r="I49" i="3"/>
  <c r="H49" i="3"/>
  <c r="F49" i="3"/>
  <c r="Y48" i="3"/>
  <c r="X48" i="3"/>
  <c r="W48" i="3"/>
  <c r="V48" i="3"/>
  <c r="U48" i="3"/>
  <c r="T48" i="3"/>
  <c r="S48" i="3"/>
  <c r="R48" i="3"/>
  <c r="Q48" i="3"/>
  <c r="P48" i="3"/>
  <c r="O48" i="3"/>
  <c r="N48" i="3"/>
  <c r="M48" i="3"/>
  <c r="L48" i="3"/>
  <c r="K48" i="3"/>
  <c r="J48" i="3"/>
  <c r="I48" i="3"/>
  <c r="H48" i="3"/>
  <c r="F48" i="3"/>
  <c r="Y47" i="3"/>
  <c r="X47" i="3"/>
  <c r="W47" i="3"/>
  <c r="V47" i="3"/>
  <c r="U47" i="3"/>
  <c r="T47" i="3"/>
  <c r="S47" i="3"/>
  <c r="R47" i="3"/>
  <c r="Q47" i="3"/>
  <c r="P47" i="3"/>
  <c r="O47" i="3"/>
  <c r="N47" i="3"/>
  <c r="M47" i="3"/>
  <c r="L47" i="3"/>
  <c r="K47" i="3"/>
  <c r="J47" i="3"/>
  <c r="I47" i="3"/>
  <c r="H47" i="3"/>
  <c r="F47" i="3"/>
  <c r="Y46" i="3"/>
  <c r="X46" i="3"/>
  <c r="W46" i="3"/>
  <c r="V46" i="3"/>
  <c r="U46" i="3"/>
  <c r="T46" i="3"/>
  <c r="S46" i="3"/>
  <c r="R46" i="3"/>
  <c r="Q46" i="3"/>
  <c r="P46" i="3"/>
  <c r="O46" i="3"/>
  <c r="N46" i="3"/>
  <c r="M46" i="3"/>
  <c r="L46" i="3"/>
  <c r="K46" i="3"/>
  <c r="J46" i="3"/>
  <c r="I46" i="3"/>
  <c r="H46" i="3"/>
  <c r="F46" i="3"/>
  <c r="Y45" i="3"/>
  <c r="X45" i="3"/>
  <c r="W45" i="3"/>
  <c r="V45" i="3"/>
  <c r="U45" i="3"/>
  <c r="T45" i="3"/>
  <c r="S45" i="3"/>
  <c r="R45" i="3"/>
  <c r="Q45" i="3"/>
  <c r="P45" i="3"/>
  <c r="O45" i="3"/>
  <c r="N45" i="3"/>
  <c r="M45" i="3"/>
  <c r="L45" i="3"/>
  <c r="K45" i="3"/>
  <c r="J45" i="3"/>
  <c r="I45" i="3"/>
  <c r="H45" i="3"/>
  <c r="F45" i="3"/>
  <c r="Y44" i="3"/>
  <c r="X44" i="3"/>
  <c r="W44" i="3"/>
  <c r="V44" i="3"/>
  <c r="U44" i="3"/>
  <c r="T44" i="3"/>
  <c r="S44" i="3"/>
  <c r="R44" i="3"/>
  <c r="Q44" i="3"/>
  <c r="P44" i="3"/>
  <c r="O44" i="3"/>
  <c r="N44" i="3"/>
  <c r="M44" i="3"/>
  <c r="L44" i="3"/>
  <c r="K44" i="3"/>
  <c r="J44" i="3"/>
  <c r="I44" i="3"/>
  <c r="H44" i="3"/>
  <c r="F44" i="3"/>
  <c r="Y43" i="3"/>
  <c r="X43" i="3"/>
  <c r="W43" i="3"/>
  <c r="V43" i="3"/>
  <c r="U43" i="3"/>
  <c r="T43" i="3"/>
  <c r="S43" i="3"/>
  <c r="R43" i="3"/>
  <c r="Q43" i="3"/>
  <c r="P43" i="3"/>
  <c r="O43" i="3"/>
  <c r="N43" i="3"/>
  <c r="M43" i="3"/>
  <c r="L43" i="3"/>
  <c r="K43" i="3"/>
  <c r="J43" i="3"/>
  <c r="I43" i="3"/>
  <c r="H43" i="3"/>
  <c r="F43" i="3"/>
  <c r="Y42" i="3"/>
  <c r="X42" i="3"/>
  <c r="W42" i="3"/>
  <c r="V42" i="3"/>
  <c r="U42" i="3"/>
  <c r="T42" i="3"/>
  <c r="S42" i="3"/>
  <c r="R42" i="3"/>
  <c r="Q42" i="3"/>
  <c r="P42" i="3"/>
  <c r="O42" i="3"/>
  <c r="N42" i="3"/>
  <c r="M42" i="3"/>
  <c r="L42" i="3"/>
  <c r="K42" i="3"/>
  <c r="J42" i="3"/>
  <c r="I42" i="3"/>
  <c r="H42" i="3"/>
  <c r="F42" i="3"/>
  <c r="Y41" i="3"/>
  <c r="X41" i="3"/>
  <c r="W41" i="3"/>
  <c r="V41" i="3"/>
  <c r="U41" i="3"/>
  <c r="T41" i="3"/>
  <c r="S41" i="3"/>
  <c r="R41" i="3"/>
  <c r="Q41" i="3"/>
  <c r="P41" i="3"/>
  <c r="O41" i="3"/>
  <c r="N41" i="3"/>
  <c r="M41" i="3"/>
  <c r="L41" i="3"/>
  <c r="K41" i="3"/>
  <c r="J41" i="3"/>
  <c r="I41" i="3"/>
  <c r="H41" i="3"/>
  <c r="F41" i="3"/>
  <c r="Y40" i="3"/>
  <c r="X40" i="3"/>
  <c r="W40" i="3"/>
  <c r="V40" i="3"/>
  <c r="U40" i="3"/>
  <c r="T40" i="3"/>
  <c r="S40" i="3"/>
  <c r="R40" i="3"/>
  <c r="Q40" i="3"/>
  <c r="P40" i="3"/>
  <c r="O40" i="3"/>
  <c r="N40" i="3"/>
  <c r="M40" i="3"/>
  <c r="L40" i="3"/>
  <c r="K40" i="3"/>
  <c r="J40" i="3"/>
  <c r="I40" i="3"/>
  <c r="H40" i="3"/>
  <c r="F40" i="3"/>
  <c r="Y39" i="3"/>
  <c r="X39" i="3"/>
  <c r="W39" i="3"/>
  <c r="V39" i="3"/>
  <c r="U39" i="3"/>
  <c r="T39" i="3"/>
  <c r="S39" i="3"/>
  <c r="R39" i="3"/>
  <c r="Q39" i="3"/>
  <c r="P39" i="3"/>
  <c r="O39" i="3"/>
  <c r="N39" i="3"/>
  <c r="M39" i="3"/>
  <c r="L39" i="3"/>
  <c r="K39" i="3"/>
  <c r="J39" i="3"/>
  <c r="I39" i="3"/>
  <c r="H39" i="3"/>
  <c r="F39" i="3"/>
  <c r="Y38" i="3"/>
  <c r="X38" i="3"/>
  <c r="W38" i="3"/>
  <c r="V38" i="3"/>
  <c r="U38" i="3"/>
  <c r="T38" i="3"/>
  <c r="S38" i="3"/>
  <c r="R38" i="3"/>
  <c r="Q38" i="3"/>
  <c r="P38" i="3"/>
  <c r="O38" i="3"/>
  <c r="N38" i="3"/>
  <c r="M38" i="3"/>
  <c r="L38" i="3"/>
  <c r="K38" i="3"/>
  <c r="J38" i="3"/>
  <c r="I38" i="3"/>
  <c r="H38" i="3"/>
  <c r="F38" i="3"/>
  <c r="Y37" i="3"/>
  <c r="X37" i="3"/>
  <c r="W37" i="3"/>
  <c r="V37" i="3"/>
  <c r="U37" i="3"/>
  <c r="T37" i="3"/>
  <c r="S37" i="3"/>
  <c r="R37" i="3"/>
  <c r="Q37" i="3"/>
  <c r="P37" i="3"/>
  <c r="O37" i="3"/>
  <c r="N37" i="3"/>
  <c r="M37" i="3"/>
  <c r="L37" i="3"/>
  <c r="K37" i="3"/>
  <c r="J37" i="3"/>
  <c r="I37" i="3"/>
  <c r="H37" i="3"/>
  <c r="F37" i="3"/>
  <c r="Y36" i="3"/>
  <c r="X36" i="3"/>
  <c r="W36" i="3"/>
  <c r="V36" i="3"/>
  <c r="U36" i="3"/>
  <c r="T36" i="3"/>
  <c r="S36" i="3"/>
  <c r="R36" i="3"/>
  <c r="Q36" i="3"/>
  <c r="P36" i="3"/>
  <c r="O36" i="3"/>
  <c r="N36" i="3"/>
  <c r="M36" i="3"/>
  <c r="L36" i="3"/>
  <c r="K36" i="3"/>
  <c r="J36" i="3"/>
  <c r="I36" i="3"/>
  <c r="H36" i="3"/>
  <c r="F36" i="3"/>
  <c r="Y35" i="3"/>
  <c r="X35" i="3"/>
  <c r="W35" i="3"/>
  <c r="V35" i="3"/>
  <c r="U35" i="3"/>
  <c r="T35" i="3"/>
  <c r="S35" i="3"/>
  <c r="R35" i="3"/>
  <c r="Q35" i="3"/>
  <c r="P35" i="3"/>
  <c r="O35" i="3"/>
  <c r="N35" i="3"/>
  <c r="M35" i="3"/>
  <c r="L35" i="3"/>
  <c r="K35" i="3"/>
  <c r="J35" i="3"/>
  <c r="I35" i="3"/>
  <c r="H35" i="3"/>
  <c r="F35" i="3"/>
  <c r="Y34" i="3"/>
  <c r="X34" i="3"/>
  <c r="W34" i="3"/>
  <c r="V34" i="3"/>
  <c r="U34" i="3"/>
  <c r="T34" i="3"/>
  <c r="S34" i="3"/>
  <c r="R34" i="3"/>
  <c r="Q34" i="3"/>
  <c r="P34" i="3"/>
  <c r="O34" i="3"/>
  <c r="N34" i="3"/>
  <c r="M34" i="3"/>
  <c r="L34" i="3"/>
  <c r="K34" i="3"/>
  <c r="J34" i="3"/>
  <c r="I34" i="3"/>
  <c r="H34" i="3"/>
  <c r="F34" i="3"/>
  <c r="Y33" i="3"/>
  <c r="X33" i="3"/>
  <c r="W33" i="3"/>
  <c r="V33" i="3"/>
  <c r="U33" i="3"/>
  <c r="T33" i="3"/>
  <c r="S33" i="3"/>
  <c r="R33" i="3"/>
  <c r="Q33" i="3"/>
  <c r="P33" i="3"/>
  <c r="O33" i="3"/>
  <c r="N33" i="3"/>
  <c r="M33" i="3"/>
  <c r="L33" i="3"/>
  <c r="K33" i="3"/>
  <c r="J33" i="3"/>
  <c r="I33" i="3"/>
  <c r="H33" i="3"/>
  <c r="F33" i="3"/>
  <c r="Y32" i="3"/>
  <c r="X32" i="3"/>
  <c r="W32" i="3"/>
  <c r="V32" i="3"/>
  <c r="U32" i="3"/>
  <c r="T32" i="3"/>
  <c r="S32" i="3"/>
  <c r="R32" i="3"/>
  <c r="Q32" i="3"/>
  <c r="P32" i="3"/>
  <c r="O32" i="3"/>
  <c r="N32" i="3"/>
  <c r="M32" i="3"/>
  <c r="L32" i="3"/>
  <c r="K32" i="3"/>
  <c r="J32" i="3"/>
  <c r="I32" i="3"/>
  <c r="H32" i="3"/>
  <c r="F32" i="3"/>
  <c r="Y31" i="3"/>
  <c r="X31" i="3"/>
  <c r="W31" i="3"/>
  <c r="V31" i="3"/>
  <c r="U31" i="3"/>
  <c r="T31" i="3"/>
  <c r="S31" i="3"/>
  <c r="R31" i="3"/>
  <c r="Q31" i="3"/>
  <c r="P31" i="3"/>
  <c r="O31" i="3"/>
  <c r="N31" i="3"/>
  <c r="M31" i="3"/>
  <c r="L31" i="3"/>
  <c r="K31" i="3"/>
  <c r="J31" i="3"/>
  <c r="I31" i="3"/>
  <c r="H31" i="3"/>
  <c r="F31" i="3"/>
  <c r="Y30" i="3"/>
  <c r="X30" i="3"/>
  <c r="W30" i="3"/>
  <c r="V30" i="3"/>
  <c r="U30" i="3"/>
  <c r="T30" i="3"/>
  <c r="S30" i="3"/>
  <c r="R30" i="3"/>
  <c r="Q30" i="3"/>
  <c r="P30" i="3"/>
  <c r="O30" i="3"/>
  <c r="N30" i="3"/>
  <c r="M30" i="3"/>
  <c r="L30" i="3"/>
  <c r="K30" i="3"/>
  <c r="J30" i="3"/>
  <c r="I30" i="3"/>
  <c r="H30" i="3"/>
  <c r="F30" i="3"/>
  <c r="Y29" i="3"/>
  <c r="X29" i="3"/>
  <c r="W29" i="3"/>
  <c r="V29" i="3"/>
  <c r="U29" i="3"/>
  <c r="T29" i="3"/>
  <c r="S29" i="3"/>
  <c r="R29" i="3"/>
  <c r="Q29" i="3"/>
  <c r="P29" i="3"/>
  <c r="O29" i="3"/>
  <c r="N29" i="3"/>
  <c r="M29" i="3"/>
  <c r="L29" i="3"/>
  <c r="K29" i="3"/>
  <c r="J29" i="3"/>
  <c r="I29" i="3"/>
  <c r="H29" i="3"/>
  <c r="F29" i="3"/>
  <c r="Y28" i="3"/>
  <c r="X28" i="3"/>
  <c r="W28" i="3"/>
  <c r="V28" i="3"/>
  <c r="U28" i="3"/>
  <c r="T28" i="3"/>
  <c r="S28" i="3"/>
  <c r="R28" i="3"/>
  <c r="Q28" i="3"/>
  <c r="P28" i="3"/>
  <c r="O28" i="3"/>
  <c r="N28" i="3"/>
  <c r="M28" i="3"/>
  <c r="L28" i="3"/>
  <c r="K28" i="3"/>
  <c r="J28" i="3"/>
  <c r="I28" i="3"/>
  <c r="H28" i="3"/>
  <c r="F28" i="3"/>
  <c r="Y27" i="3"/>
  <c r="X27" i="3"/>
  <c r="W27" i="3"/>
  <c r="V27" i="3"/>
  <c r="U27" i="3"/>
  <c r="T27" i="3"/>
  <c r="S27" i="3"/>
  <c r="R27" i="3"/>
  <c r="Q27" i="3"/>
  <c r="P27" i="3"/>
  <c r="O27" i="3"/>
  <c r="N27" i="3"/>
  <c r="M27" i="3"/>
  <c r="L27" i="3"/>
  <c r="K27" i="3"/>
  <c r="J27" i="3"/>
  <c r="I27" i="3"/>
  <c r="H27" i="3"/>
  <c r="F27" i="3"/>
  <c r="Y26" i="3"/>
  <c r="X26" i="3"/>
  <c r="W26" i="3"/>
  <c r="V26" i="3"/>
  <c r="U26" i="3"/>
  <c r="T26" i="3"/>
  <c r="S26" i="3"/>
  <c r="R26" i="3"/>
  <c r="Q26" i="3"/>
  <c r="P26" i="3"/>
  <c r="O26" i="3"/>
  <c r="N26" i="3"/>
  <c r="M26" i="3"/>
  <c r="L26" i="3"/>
  <c r="K26" i="3"/>
  <c r="J26" i="3"/>
  <c r="I26" i="3"/>
  <c r="H26" i="3"/>
  <c r="F26" i="3"/>
  <c r="Y25" i="3"/>
  <c r="X25" i="3"/>
  <c r="W25" i="3"/>
  <c r="V25" i="3"/>
  <c r="U25" i="3"/>
  <c r="T25" i="3"/>
  <c r="S25" i="3"/>
  <c r="R25" i="3"/>
  <c r="Q25" i="3"/>
  <c r="P25" i="3"/>
  <c r="O25" i="3"/>
  <c r="N25" i="3"/>
  <c r="M25" i="3"/>
  <c r="L25" i="3"/>
  <c r="K25" i="3"/>
  <c r="J25" i="3"/>
  <c r="I25" i="3"/>
  <c r="H25" i="3"/>
  <c r="F25" i="3"/>
  <c r="Y24" i="3"/>
  <c r="X24" i="3"/>
  <c r="W24" i="3"/>
  <c r="V24" i="3"/>
  <c r="U24" i="3"/>
  <c r="T24" i="3"/>
  <c r="S24" i="3"/>
  <c r="R24" i="3"/>
  <c r="Q24" i="3"/>
  <c r="P24" i="3"/>
  <c r="O24" i="3"/>
  <c r="N24" i="3"/>
  <c r="M24" i="3"/>
  <c r="L24" i="3"/>
  <c r="K24" i="3"/>
  <c r="J24" i="3"/>
  <c r="I24" i="3"/>
  <c r="H24" i="3"/>
  <c r="F24" i="3"/>
  <c r="Y23" i="3"/>
  <c r="X23" i="3"/>
  <c r="W23" i="3"/>
  <c r="V23" i="3"/>
  <c r="U23" i="3"/>
  <c r="T23" i="3"/>
  <c r="S23" i="3"/>
  <c r="R23" i="3"/>
  <c r="Q23" i="3"/>
  <c r="P23" i="3"/>
  <c r="O23" i="3"/>
  <c r="N23" i="3"/>
  <c r="M23" i="3"/>
  <c r="L23" i="3"/>
  <c r="K23" i="3"/>
  <c r="J23" i="3"/>
  <c r="I23" i="3"/>
  <c r="H23" i="3"/>
  <c r="F23" i="3"/>
  <c r="Y22" i="3"/>
  <c r="X22" i="3"/>
  <c r="W22" i="3"/>
  <c r="V22" i="3"/>
  <c r="U22" i="3"/>
  <c r="T22" i="3"/>
  <c r="S22" i="3"/>
  <c r="R22" i="3"/>
  <c r="Q22" i="3"/>
  <c r="P22" i="3"/>
  <c r="O22" i="3"/>
  <c r="N22" i="3"/>
  <c r="M22" i="3"/>
  <c r="L22" i="3"/>
  <c r="K22" i="3"/>
  <c r="J22" i="3"/>
  <c r="I22" i="3"/>
  <c r="H22" i="3"/>
  <c r="F22" i="3"/>
  <c r="Y21" i="3"/>
  <c r="X21" i="3"/>
  <c r="W21" i="3"/>
  <c r="V21" i="3"/>
  <c r="U21" i="3"/>
  <c r="T21" i="3"/>
  <c r="S21" i="3"/>
  <c r="R21" i="3"/>
  <c r="Q21" i="3"/>
  <c r="P21" i="3"/>
  <c r="O21" i="3"/>
  <c r="N21" i="3"/>
  <c r="M21" i="3"/>
  <c r="L21" i="3"/>
  <c r="K21" i="3"/>
  <c r="J21" i="3"/>
  <c r="I21" i="3"/>
  <c r="H21" i="3"/>
  <c r="F21" i="3"/>
  <c r="B4" i="3"/>
  <c r="B3" i="3"/>
  <c r="P21" i="1" l="1"/>
  <c r="AD21" i="1" s="1"/>
  <c r="AC21" i="1" s="1"/>
  <c r="E21" i="1" l="1"/>
  <c r="C67" i="3"/>
  <c r="C72" i="3" l="1"/>
  <c r="B72" i="3"/>
  <c r="C71" i="3"/>
  <c r="B71" i="3"/>
  <c r="C70" i="3"/>
  <c r="B70" i="3"/>
  <c r="C69" i="3"/>
  <c r="B69" i="3"/>
  <c r="C68" i="3"/>
  <c r="B68" i="3"/>
  <c r="B67" i="3"/>
  <c r="B66" i="3"/>
  <c r="C65" i="3"/>
  <c r="B65" i="3"/>
  <c r="C64" i="3"/>
  <c r="B64" i="3"/>
  <c r="C63" i="3"/>
  <c r="B63" i="3"/>
  <c r="D57" i="3" l="1"/>
  <c r="AC39" i="3" l="1"/>
  <c r="AB39" i="3"/>
  <c r="AA39" i="3"/>
  <c r="Z39" i="3"/>
  <c r="G39" i="3"/>
  <c r="D39" i="3"/>
  <c r="C39" i="3"/>
  <c r="B39" i="3"/>
  <c r="Z21" i="3" l="1"/>
  <c r="M469" i="1" l="1"/>
  <c r="M465" i="1"/>
  <c r="B41" i="3"/>
  <c r="C41" i="3"/>
  <c r="D41" i="3"/>
  <c r="G41" i="3"/>
  <c r="Z41" i="3"/>
  <c r="AA41" i="3"/>
  <c r="AB41" i="3"/>
  <c r="AC41" i="3"/>
  <c r="AC22" i="3"/>
  <c r="AB22" i="3"/>
  <c r="AA22" i="3"/>
  <c r="Z22" i="3"/>
  <c r="G22" i="3"/>
  <c r="D22" i="3"/>
  <c r="C22" i="3"/>
  <c r="B22" i="3"/>
  <c r="AC62" i="3" l="1"/>
  <c r="AC61" i="3"/>
  <c r="AC60" i="3"/>
  <c r="AC59" i="3"/>
  <c r="AC58" i="3"/>
  <c r="AC57" i="3"/>
  <c r="AC56" i="3"/>
  <c r="AC55" i="3"/>
  <c r="AC54" i="3"/>
  <c r="AC53" i="3"/>
  <c r="AC52" i="3"/>
  <c r="AC51" i="3"/>
  <c r="AC50" i="3"/>
  <c r="AC49" i="3"/>
  <c r="AC48" i="3"/>
  <c r="AC47" i="3"/>
  <c r="AC46" i="3"/>
  <c r="AC45" i="3"/>
  <c r="AC44" i="3"/>
  <c r="AC43" i="3"/>
  <c r="AC42" i="3"/>
  <c r="AC37" i="3"/>
  <c r="AC36" i="3"/>
  <c r="AC35" i="3"/>
  <c r="AC34" i="3"/>
  <c r="AC33" i="3"/>
  <c r="AC32" i="3"/>
  <c r="AC31" i="3"/>
  <c r="AC30" i="3"/>
  <c r="AC29" i="3"/>
  <c r="AC28" i="3"/>
  <c r="AC27" i="3"/>
  <c r="AC26" i="3"/>
  <c r="AC25" i="3"/>
  <c r="AC24" i="3"/>
  <c r="AC23" i="3"/>
  <c r="AC21" i="3" l="1"/>
  <c r="AC38" i="3"/>
  <c r="AC40" i="3"/>
  <c r="D62" i="3"/>
  <c r="D61" i="3"/>
  <c r="D60" i="3"/>
  <c r="D59" i="3"/>
  <c r="D58" i="3"/>
  <c r="D56" i="3"/>
  <c r="D55" i="3"/>
  <c r="D54" i="3"/>
  <c r="D53" i="3"/>
  <c r="D52" i="3"/>
  <c r="D51" i="3"/>
  <c r="D50" i="3"/>
  <c r="D49" i="3"/>
  <c r="D48" i="3"/>
  <c r="D47" i="3"/>
  <c r="D46" i="3"/>
  <c r="D45" i="3"/>
  <c r="D44" i="3"/>
  <c r="D43" i="3"/>
  <c r="D42" i="3"/>
  <c r="D40" i="3"/>
  <c r="D38" i="3"/>
  <c r="D37" i="3"/>
  <c r="D36" i="3"/>
  <c r="D35" i="3"/>
  <c r="D34" i="3"/>
  <c r="D33" i="3"/>
  <c r="D32" i="3"/>
  <c r="D31" i="3"/>
  <c r="D30" i="3"/>
  <c r="D29" i="3"/>
  <c r="D28" i="3"/>
  <c r="D27" i="3"/>
  <c r="D26" i="3"/>
  <c r="D25" i="3"/>
  <c r="D24" i="3"/>
  <c r="D23" i="3"/>
  <c r="D21" i="3"/>
  <c r="G62" i="3" l="1"/>
  <c r="G61" i="3"/>
  <c r="G60" i="3"/>
  <c r="G59" i="3"/>
  <c r="G58" i="3"/>
  <c r="G57" i="3"/>
  <c r="G56" i="3"/>
  <c r="G55" i="3"/>
  <c r="G54" i="3"/>
  <c r="G53" i="3"/>
  <c r="G52" i="3"/>
  <c r="G51" i="3"/>
  <c r="G50" i="3"/>
  <c r="G49" i="3"/>
  <c r="G48" i="3"/>
  <c r="G47" i="3"/>
  <c r="G46" i="3"/>
  <c r="G45" i="3"/>
  <c r="G44" i="3"/>
  <c r="G43" i="3"/>
  <c r="G42" i="3"/>
  <c r="G37" i="3"/>
  <c r="G36" i="3"/>
  <c r="G35" i="3"/>
  <c r="G34" i="3"/>
  <c r="G33" i="3"/>
  <c r="G32" i="3"/>
  <c r="G31" i="3"/>
  <c r="G30" i="3"/>
  <c r="G29" i="3"/>
  <c r="G28" i="3"/>
  <c r="G27" i="3"/>
  <c r="G26" i="3"/>
  <c r="G25" i="3"/>
  <c r="G24" i="3"/>
  <c r="G23" i="3"/>
  <c r="G40" i="3" l="1"/>
  <c r="G21" i="3"/>
  <c r="G38" i="3"/>
  <c r="E54" i="3"/>
  <c r="E51" i="3"/>
  <c r="E56" i="3"/>
  <c r="E55" i="3"/>
  <c r="E53" i="3"/>
  <c r="E52" i="3"/>
  <c r="E50" i="3"/>
  <c r="E49" i="3"/>
  <c r="E48" i="3"/>
  <c r="E47" i="3"/>
  <c r="E46" i="3"/>
  <c r="E45" i="3"/>
  <c r="E44" i="3"/>
  <c r="E43" i="3"/>
  <c r="C21" i="3"/>
  <c r="B23" i="3"/>
  <c r="C23" i="3"/>
  <c r="F415" i="1"/>
  <c r="AB62" i="3"/>
  <c r="AB61" i="3"/>
  <c r="AA61" i="3"/>
  <c r="AB60" i="3"/>
  <c r="AB59" i="3"/>
  <c r="AA59" i="3"/>
  <c r="AB58" i="3"/>
  <c r="AB57" i="3"/>
  <c r="AA57" i="3"/>
  <c r="AB55" i="3"/>
  <c r="AA55" i="3"/>
  <c r="AB53" i="3"/>
  <c r="AA53" i="3"/>
  <c r="AB51" i="3"/>
  <c r="AA51" i="3"/>
  <c r="AB49" i="3"/>
  <c r="AA49" i="3"/>
  <c r="AB47" i="3"/>
  <c r="AA47" i="3"/>
  <c r="AB45" i="3"/>
  <c r="AA45" i="3"/>
  <c r="AB43" i="3"/>
  <c r="AA43" i="3"/>
  <c r="AB40" i="3"/>
  <c r="AA40" i="3"/>
  <c r="AA38" i="3"/>
  <c r="AB37" i="3"/>
  <c r="AA37" i="3"/>
  <c r="AB35" i="3"/>
  <c r="AA35" i="3"/>
  <c r="AB33" i="3"/>
  <c r="AA33" i="3"/>
  <c r="AB32" i="3"/>
  <c r="AA32" i="3"/>
  <c r="AB31" i="3"/>
  <c r="AB30" i="3"/>
  <c r="AA30" i="3"/>
  <c r="AB29" i="3"/>
  <c r="AA29" i="3"/>
  <c r="AB27" i="3"/>
  <c r="AA27" i="3"/>
  <c r="AA25" i="3"/>
  <c r="AB24" i="3"/>
  <c r="AB23" i="3"/>
  <c r="E540" i="1"/>
  <c r="AB21" i="3"/>
  <c r="B62" i="3"/>
  <c r="B61" i="3"/>
  <c r="B60" i="3"/>
  <c r="B59" i="3"/>
  <c r="B58" i="3"/>
  <c r="B57" i="3"/>
  <c r="B56" i="3"/>
  <c r="B55" i="3"/>
  <c r="B54" i="3"/>
  <c r="B53" i="3"/>
  <c r="B52" i="3"/>
  <c r="B51" i="3"/>
  <c r="B50" i="3"/>
  <c r="B49" i="3"/>
  <c r="B48" i="3"/>
  <c r="B45" i="3"/>
  <c r="B44" i="3"/>
  <c r="B43" i="3"/>
  <c r="B37" i="3"/>
  <c r="B36" i="3"/>
  <c r="B35" i="3"/>
  <c r="B34" i="3"/>
  <c r="B33" i="3"/>
  <c r="B32" i="3"/>
  <c r="B31" i="3"/>
  <c r="B30" i="3"/>
  <c r="B29" i="3"/>
  <c r="B28" i="3"/>
  <c r="B27" i="3"/>
  <c r="B26" i="3"/>
  <c r="M502" i="1"/>
  <c r="N502" i="1"/>
  <c r="N499" i="1"/>
  <c r="C62" i="3"/>
  <c r="C61" i="3"/>
  <c r="C60" i="3"/>
  <c r="C59" i="3"/>
  <c r="C58" i="3"/>
  <c r="C57" i="3"/>
  <c r="C55" i="3"/>
  <c r="C54" i="3"/>
  <c r="C53" i="3"/>
  <c r="C52" i="3"/>
  <c r="C51" i="3"/>
  <c r="C50" i="3"/>
  <c r="C49" i="3"/>
  <c r="C48" i="3"/>
  <c r="C47" i="3"/>
  <c r="C46" i="3"/>
  <c r="C45" i="3"/>
  <c r="C43" i="3"/>
  <c r="C42" i="3"/>
  <c r="C40" i="3"/>
  <c r="C37" i="3"/>
  <c r="C36" i="3"/>
  <c r="C35" i="3"/>
  <c r="C34" i="3"/>
  <c r="C33" i="3"/>
  <c r="C32" i="3"/>
  <c r="C31" i="3"/>
  <c r="C30" i="3"/>
  <c r="C29" i="3"/>
  <c r="C28" i="3"/>
  <c r="C27" i="3"/>
  <c r="C26" i="3"/>
  <c r="C25" i="3"/>
  <c r="C24" i="3"/>
  <c r="AD130" i="1"/>
  <c r="AA140" i="1" s="1"/>
  <c r="AD109" i="1"/>
  <c r="Z62" i="3"/>
  <c r="Z61" i="3"/>
  <c r="Z60" i="3"/>
  <c r="Z59" i="3"/>
  <c r="Z58" i="3"/>
  <c r="Z57" i="3"/>
  <c r="Z56" i="3"/>
  <c r="Z55" i="3"/>
  <c r="Z54" i="3"/>
  <c r="Z53" i="3"/>
  <c r="Z52" i="3"/>
  <c r="Z51" i="3"/>
  <c r="Z50" i="3"/>
  <c r="Z49" i="3"/>
  <c r="Z48" i="3"/>
  <c r="Z47" i="3"/>
  <c r="Z46" i="3"/>
  <c r="Z45" i="3"/>
  <c r="Z44" i="3"/>
  <c r="Z43" i="3"/>
  <c r="Z42" i="3"/>
  <c r="Z40" i="3"/>
  <c r="Z38" i="3"/>
  <c r="Z37" i="3"/>
  <c r="Z36" i="3"/>
  <c r="Z35" i="3"/>
  <c r="Z34" i="3"/>
  <c r="Z33" i="3"/>
  <c r="Z32" i="3"/>
  <c r="Z31" i="3"/>
  <c r="Z30" i="3"/>
  <c r="Z29" i="3"/>
  <c r="Z28" i="3"/>
  <c r="Z27" i="3"/>
  <c r="Z26" i="3"/>
  <c r="Z25" i="3"/>
  <c r="Z24" i="3"/>
  <c r="Z23" i="3"/>
  <c r="J54" i="1"/>
  <c r="M175" i="1"/>
  <c r="M179" i="1"/>
  <c r="AD63" i="1" s="1"/>
  <c r="AC63" i="1" s="1"/>
  <c r="M180" i="1"/>
  <c r="V60" i="1"/>
  <c r="AD231" i="1" s="1"/>
  <c r="AC231" i="1" s="1"/>
  <c r="V59" i="1"/>
  <c r="AD230" i="1" s="1"/>
  <c r="AC230" i="1" s="1"/>
  <c r="U59" i="1"/>
  <c r="AD222" i="1" s="1"/>
  <c r="AC222" i="1" s="1"/>
  <c r="P14" i="1"/>
  <c r="E14" i="1" s="1"/>
  <c r="AD8" i="1"/>
  <c r="AC8" i="1" s="1"/>
  <c r="AD9" i="1"/>
  <c r="AC9" i="1" s="1"/>
  <c r="AD10" i="1"/>
  <c r="P11" i="1"/>
  <c r="AD11" i="1" s="1"/>
  <c r="AC11" i="1" s="1"/>
  <c r="P12" i="1"/>
  <c r="P13" i="1"/>
  <c r="AD13" i="1" s="1"/>
  <c r="AC13" i="1" s="1"/>
  <c r="P15" i="1"/>
  <c r="AD15" i="1" s="1"/>
  <c r="P18" i="1"/>
  <c r="AD18" i="1" s="1"/>
  <c r="AC18" i="1" s="1"/>
  <c r="P19" i="1"/>
  <c r="P20" i="1"/>
  <c r="AD20" i="1" s="1"/>
  <c r="AC20" i="1" s="1"/>
  <c r="P24" i="1"/>
  <c r="AD27" i="1" s="1"/>
  <c r="P25" i="1"/>
  <c r="AD28" i="1" s="1"/>
  <c r="AC28" i="1" s="1"/>
  <c r="P27" i="1"/>
  <c r="P28" i="1"/>
  <c r="AD31" i="1" s="1"/>
  <c r="AC31" i="1" s="1"/>
  <c r="P29" i="1"/>
  <c r="AD32" i="1" s="1"/>
  <c r="P31" i="1"/>
  <c r="AD34" i="1" s="1"/>
  <c r="AC34" i="1" s="1"/>
  <c r="P32" i="1"/>
  <c r="P33" i="1"/>
  <c r="AD36" i="1" s="1"/>
  <c r="AC36" i="1" s="1"/>
  <c r="AD45" i="1"/>
  <c r="I25" i="1"/>
  <c r="AD47" i="1"/>
  <c r="AC47" i="1" s="1"/>
  <c r="AD49" i="1"/>
  <c r="AC49" i="1" s="1"/>
  <c r="AD50" i="1"/>
  <c r="AC50" i="1" s="1"/>
  <c r="I32" i="1"/>
  <c r="U54" i="1"/>
  <c r="M176" i="1"/>
  <c r="AD61" i="1" s="1"/>
  <c r="AC61" i="1" s="1"/>
  <c r="AD66" i="1"/>
  <c r="AC66" i="1" s="1"/>
  <c r="C314" i="1"/>
  <c r="C5" i="3" s="1"/>
  <c r="AD76" i="1"/>
  <c r="AC76" i="1" s="1"/>
  <c r="O209" i="1"/>
  <c r="AD77" i="1" s="1"/>
  <c r="AC77" i="1" s="1"/>
  <c r="P209" i="1"/>
  <c r="AD78" i="1" s="1"/>
  <c r="AC78" i="1" s="1"/>
  <c r="Q209" i="1"/>
  <c r="AD79" i="1" s="1"/>
  <c r="AC79" i="1" s="1"/>
  <c r="R209" i="1"/>
  <c r="S209" i="1"/>
  <c r="AD81" i="1" s="1"/>
  <c r="AC81" i="1" s="1"/>
  <c r="AD83" i="1"/>
  <c r="AC83" i="1" s="1"/>
  <c r="V209" i="1"/>
  <c r="AD86" i="1"/>
  <c r="AC86" i="1" s="1"/>
  <c r="O214" i="1"/>
  <c r="AD87" i="1" s="1"/>
  <c r="AC87" i="1" s="1"/>
  <c r="P214" i="1"/>
  <c r="AD88" i="1" s="1"/>
  <c r="AC88" i="1" s="1"/>
  <c r="Q214" i="1"/>
  <c r="R214" i="1"/>
  <c r="AD90" i="1" s="1"/>
  <c r="AC90" i="1" s="1"/>
  <c r="S214" i="1"/>
  <c r="AD91" i="1" s="1"/>
  <c r="AC91" i="1" s="1"/>
  <c r="AD93" i="1"/>
  <c r="AC93" i="1" s="1"/>
  <c r="V214" i="1"/>
  <c r="AD94" i="1" s="1"/>
  <c r="AC94" i="1" s="1"/>
  <c r="O227" i="1"/>
  <c r="AD99" i="1"/>
  <c r="AC99" i="1" s="1"/>
  <c r="AD100" i="1"/>
  <c r="AC100" i="1" s="1"/>
  <c r="O331" i="1"/>
  <c r="O348" i="1" s="1"/>
  <c r="M332" i="1"/>
  <c r="H499" i="1" s="1"/>
  <c r="K82" i="1" s="1"/>
  <c r="H380" i="1"/>
  <c r="J415" i="1"/>
  <c r="M485" i="1"/>
  <c r="V485" i="1" s="1"/>
  <c r="M486" i="1"/>
  <c r="N485" i="1"/>
  <c r="N486" i="1"/>
  <c r="N482" i="1"/>
  <c r="M487" i="1"/>
  <c r="N487" i="1"/>
  <c r="M488" i="1"/>
  <c r="N488" i="1"/>
  <c r="M489" i="1"/>
  <c r="N489" i="1"/>
  <c r="M490" i="1"/>
  <c r="N490" i="1"/>
  <c r="M491" i="1"/>
  <c r="N491" i="1"/>
  <c r="M492" i="1"/>
  <c r="N492" i="1"/>
  <c r="M503" i="1"/>
  <c r="N503" i="1"/>
  <c r="M504" i="1"/>
  <c r="N504" i="1"/>
  <c r="M505" i="1"/>
  <c r="N505" i="1"/>
  <c r="M506" i="1"/>
  <c r="N506" i="1"/>
  <c r="M507" i="1"/>
  <c r="N507" i="1"/>
  <c r="AD171" i="1"/>
  <c r="AD173" i="1"/>
  <c r="AC173" i="1" s="1"/>
  <c r="AD175" i="1"/>
  <c r="AC175" i="1" s="1"/>
  <c r="AD177" i="1"/>
  <c r="AC177" i="1" s="1"/>
  <c r="AD179" i="1"/>
  <c r="AD181" i="1"/>
  <c r="AC181" i="1" s="1"/>
  <c r="AD183" i="1"/>
  <c r="AC183" i="1" s="1"/>
  <c r="AD185" i="1"/>
  <c r="AC185" i="1" s="1"/>
  <c r="AD187" i="1"/>
  <c r="AD189" i="1"/>
  <c r="AC189" i="1" s="1"/>
  <c r="AD191" i="1"/>
  <c r="AC191" i="1" s="1"/>
  <c r="AD193" i="1"/>
  <c r="AC193" i="1" s="1"/>
  <c r="AD195" i="1"/>
  <c r="AD197" i="1"/>
  <c r="AC197" i="1" s="1"/>
  <c r="AD199" i="1"/>
  <c r="AC199" i="1" s="1"/>
  <c r="AD201" i="1"/>
  <c r="AC201" i="1" s="1"/>
  <c r="AD203" i="1"/>
  <c r="AD205" i="1"/>
  <c r="AC205" i="1" s="1"/>
  <c r="AD207" i="1"/>
  <c r="AC207" i="1" s="1"/>
  <c r="O223" i="1"/>
  <c r="AD210" i="1" s="1"/>
  <c r="AC210" i="1" s="1"/>
  <c r="O243" i="1"/>
  <c r="O259" i="1"/>
  <c r="O291" i="1"/>
  <c r="O293" i="1"/>
  <c r="AD214" i="1" s="1"/>
  <c r="AC214" i="1" s="1"/>
  <c r="O310" i="1"/>
  <c r="P311" i="1" s="1"/>
  <c r="O312" i="1"/>
  <c r="AD216" i="1" s="1"/>
  <c r="AC216" i="1" s="1"/>
  <c r="O350" i="1"/>
  <c r="O395" i="1"/>
  <c r="AD218" i="1" s="1"/>
  <c r="AC218" i="1" s="1"/>
  <c r="O410" i="1"/>
  <c r="C563" i="1" s="1"/>
  <c r="O460" i="1"/>
  <c r="P461" i="1" s="1"/>
  <c r="U60" i="1"/>
  <c r="AD223" i="1" s="1"/>
  <c r="AC223" i="1" s="1"/>
  <c r="U61" i="1"/>
  <c r="AD224" i="1" s="1"/>
  <c r="AC224" i="1" s="1"/>
  <c r="U62" i="1"/>
  <c r="AD225" i="1" s="1"/>
  <c r="AC225" i="1" s="1"/>
  <c r="U63" i="1"/>
  <c r="AD226" i="1" s="1"/>
  <c r="AC226" i="1" s="1"/>
  <c r="U64" i="1"/>
  <c r="AD227" i="1" s="1"/>
  <c r="AC227" i="1" s="1"/>
  <c r="U65" i="1"/>
  <c r="AD228" i="1" s="1"/>
  <c r="AC228" i="1" s="1"/>
  <c r="V61" i="1"/>
  <c r="AD232" i="1" s="1"/>
  <c r="AC232" i="1" s="1"/>
  <c r="V62" i="1"/>
  <c r="AD233" i="1" s="1"/>
  <c r="AC233" i="1" s="1"/>
  <c r="V63" i="1"/>
  <c r="AD234" i="1" s="1"/>
  <c r="AC234" i="1" s="1"/>
  <c r="V64" i="1"/>
  <c r="AD235" i="1" s="1"/>
  <c r="AC235" i="1" s="1"/>
  <c r="V65" i="1"/>
  <c r="AD236" i="1" s="1"/>
  <c r="AC236" i="1" s="1"/>
  <c r="U448" i="1"/>
  <c r="N469" i="1"/>
  <c r="O469" i="1" s="1"/>
  <c r="N470" i="1"/>
  <c r="O470" i="1" s="1"/>
  <c r="R520" i="1"/>
  <c r="AD241" i="1" s="1"/>
  <c r="AC241" i="1" s="1"/>
  <c r="T520" i="1"/>
  <c r="AD242" i="1" s="1"/>
  <c r="AC242" i="1" s="1"/>
  <c r="R521" i="1"/>
  <c r="AD243" i="1" s="1"/>
  <c r="AC243" i="1" s="1"/>
  <c r="AD153" i="1"/>
  <c r="AC153" i="1" s="1"/>
  <c r="AD155" i="1"/>
  <c r="AC155" i="1" s="1"/>
  <c r="AD157" i="1"/>
  <c r="AD159" i="1"/>
  <c r="AC159" i="1" s="1"/>
  <c r="AD161" i="1"/>
  <c r="AC161" i="1" s="1"/>
  <c r="AD163" i="1"/>
  <c r="AD165" i="1"/>
  <c r="AD167" i="1"/>
  <c r="AC167" i="1" s="1"/>
  <c r="AD169" i="1"/>
  <c r="AC169" i="1" s="1"/>
  <c r="T1" i="1"/>
  <c r="AD246" i="1" s="1"/>
  <c r="AC246" i="1" s="1"/>
  <c r="T2" i="1"/>
  <c r="AD247" i="1" s="1"/>
  <c r="AC247" i="1" s="1"/>
  <c r="T3" i="1"/>
  <c r="AD248" i="1" s="1"/>
  <c r="AC248" i="1" s="1"/>
  <c r="T4" i="1"/>
  <c r="AD249" i="1" s="1"/>
  <c r="AC249" i="1" s="1"/>
  <c r="T5" i="1"/>
  <c r="AD250" i="1" s="1"/>
  <c r="AC250" i="1" s="1"/>
  <c r="T6" i="1"/>
  <c r="AD251" i="1" s="1"/>
  <c r="AC251" i="1" s="1"/>
  <c r="U464" i="1"/>
  <c r="H609" i="1" s="1"/>
  <c r="K53" i="1"/>
  <c r="J94" i="1"/>
  <c r="K94" i="1"/>
  <c r="F416" i="1"/>
  <c r="F417" i="1"/>
  <c r="F420" i="1"/>
  <c r="F421" i="1"/>
  <c r="F422" i="1"/>
  <c r="F423" i="1"/>
  <c r="F424" i="1"/>
  <c r="J416" i="1"/>
  <c r="J417" i="1"/>
  <c r="J418" i="1"/>
  <c r="J419" i="1"/>
  <c r="J420" i="1"/>
  <c r="J421" i="1"/>
  <c r="J422" i="1"/>
  <c r="J423" i="1"/>
  <c r="J424" i="1"/>
  <c r="J92" i="1"/>
  <c r="K92" i="1"/>
  <c r="J93" i="1"/>
  <c r="K93" i="1"/>
  <c r="R510" i="1"/>
  <c r="S510" i="1"/>
  <c r="Q510" i="1"/>
  <c r="R495" i="1"/>
  <c r="S495" i="1"/>
  <c r="Q495" i="1"/>
  <c r="AC152" i="1"/>
  <c r="AC145" i="1"/>
  <c r="M450" i="1"/>
  <c r="V467" i="1"/>
  <c r="I612" i="1" s="1"/>
  <c r="T467" i="1"/>
  <c r="G612" i="1" s="1"/>
  <c r="V468" i="1"/>
  <c r="I613" i="1" s="1"/>
  <c r="T468" i="1"/>
  <c r="G613" i="1" s="1"/>
  <c r="V469" i="1"/>
  <c r="I614" i="1" s="1"/>
  <c r="T469" i="1"/>
  <c r="G614" i="1" s="1"/>
  <c r="V470" i="1"/>
  <c r="I615" i="1" s="1"/>
  <c r="T470" i="1"/>
  <c r="G615" i="1" s="1"/>
  <c r="V471" i="1"/>
  <c r="I616" i="1" s="1"/>
  <c r="T471" i="1"/>
  <c r="G616" i="1" s="1"/>
  <c r="V472" i="1"/>
  <c r="I617" i="1" s="1"/>
  <c r="T472" i="1"/>
  <c r="G617" i="1" s="1"/>
  <c r="V473" i="1"/>
  <c r="I618" i="1" s="1"/>
  <c r="T473" i="1"/>
  <c r="G618" i="1" s="1"/>
  <c r="V474" i="1"/>
  <c r="I619" i="1" s="1"/>
  <c r="T474" i="1"/>
  <c r="G619" i="1" s="1"/>
  <c r="W467" i="1"/>
  <c r="J612" i="1" s="1"/>
  <c r="W468" i="1"/>
  <c r="J613" i="1" s="1"/>
  <c r="W469" i="1"/>
  <c r="J614" i="1" s="1"/>
  <c r="W470" i="1"/>
  <c r="J615" i="1" s="1"/>
  <c r="W471" i="1"/>
  <c r="J616" i="1" s="1"/>
  <c r="W472" i="1"/>
  <c r="J617" i="1" s="1"/>
  <c r="W473" i="1"/>
  <c r="J618" i="1" s="1"/>
  <c r="W474" i="1"/>
  <c r="J619" i="1" s="1"/>
  <c r="H540" i="1"/>
  <c r="H541" i="1"/>
  <c r="C554" i="1"/>
  <c r="H555" i="1"/>
  <c r="H556" i="1"/>
  <c r="H542" i="1"/>
  <c r="H543" i="1"/>
  <c r="H544" i="1"/>
  <c r="H557" i="1"/>
  <c r="H558" i="1"/>
  <c r="H559" i="1"/>
  <c r="K489" i="1"/>
  <c r="K490" i="1"/>
  <c r="K491" i="1"/>
  <c r="K492" i="1"/>
  <c r="K493" i="1"/>
  <c r="C547" i="1"/>
  <c r="E493" i="1"/>
  <c r="F493" i="1"/>
  <c r="E492" i="1"/>
  <c r="F492" i="1"/>
  <c r="E491" i="1"/>
  <c r="F491" i="1"/>
  <c r="E490" i="1"/>
  <c r="F490" i="1"/>
  <c r="M470" i="1"/>
  <c r="AC59" i="1"/>
  <c r="AC62" i="1"/>
  <c r="AC65" i="1"/>
  <c r="AC75" i="1"/>
  <c r="AC82" i="1"/>
  <c r="AC85" i="1"/>
  <c r="AC92" i="1"/>
  <c r="AC95" i="1"/>
  <c r="AC97" i="1"/>
  <c r="AC98" i="1"/>
  <c r="AC101" i="1"/>
  <c r="AC102" i="1"/>
  <c r="AC105" i="1"/>
  <c r="AC107" i="1"/>
  <c r="AC108" i="1"/>
  <c r="AC110" i="1"/>
  <c r="AC119" i="1"/>
  <c r="AC128" i="1"/>
  <c r="AC129" i="1"/>
  <c r="AC131" i="1"/>
  <c r="AC138" i="1"/>
  <c r="AC171" i="1"/>
  <c r="AC172" i="1"/>
  <c r="AC174" i="1"/>
  <c r="AC176" i="1"/>
  <c r="AC178" i="1"/>
  <c r="AC179" i="1"/>
  <c r="AC180" i="1"/>
  <c r="AC182" i="1"/>
  <c r="AC184" i="1"/>
  <c r="AC186" i="1"/>
  <c r="AC187" i="1"/>
  <c r="AC188" i="1"/>
  <c r="AC190" i="1"/>
  <c r="AC192" i="1"/>
  <c r="AC194" i="1"/>
  <c r="AC195" i="1"/>
  <c r="AC196" i="1"/>
  <c r="AC198" i="1"/>
  <c r="AC200" i="1"/>
  <c r="AC202" i="1"/>
  <c r="AC203" i="1"/>
  <c r="AC204" i="1"/>
  <c r="AC206" i="1"/>
  <c r="AC351" i="1"/>
  <c r="AC427" i="1"/>
  <c r="AC209" i="1"/>
  <c r="AC229" i="1"/>
  <c r="AC240" i="1"/>
  <c r="AC154" i="1"/>
  <c r="AC156" i="1"/>
  <c r="AC157" i="1"/>
  <c r="AC158" i="1"/>
  <c r="AC160" i="1"/>
  <c r="AC162" i="1"/>
  <c r="AC163" i="1"/>
  <c r="AC164" i="1"/>
  <c r="AC165" i="1"/>
  <c r="AC166" i="1"/>
  <c r="AC168" i="1"/>
  <c r="AC518" i="1"/>
  <c r="AC10" i="1"/>
  <c r="AC15" i="1"/>
  <c r="AC16" i="1"/>
  <c r="AC17" i="1"/>
  <c r="AC26" i="1"/>
  <c r="AC27" i="1"/>
  <c r="AC29" i="1"/>
  <c r="AC32" i="1"/>
  <c r="AC33" i="1"/>
  <c r="AC37" i="1"/>
  <c r="AC44" i="1"/>
  <c r="AC45" i="1"/>
  <c r="AC48" i="1"/>
  <c r="AC51" i="1"/>
  <c r="AC52" i="1"/>
  <c r="AC55" i="1"/>
  <c r="AF109" i="1"/>
  <c r="AF110" i="1"/>
  <c r="AF108" i="1"/>
  <c r="Q118" i="1"/>
  <c r="R119" i="1" s="1"/>
  <c r="Q120" i="1"/>
  <c r="R121" i="1" s="1"/>
  <c r="Q122" i="1"/>
  <c r="R123" i="1" s="1"/>
  <c r="Q124" i="1"/>
  <c r="R125" i="1" s="1"/>
  <c r="Q126" i="1"/>
  <c r="R127" i="1" s="1"/>
  <c r="Q128" i="1"/>
  <c r="R129" i="1" s="1"/>
  <c r="Q130" i="1"/>
  <c r="R131" i="1" s="1"/>
  <c r="Q132" i="1"/>
  <c r="R133" i="1" s="1"/>
  <c r="Q134" i="1"/>
  <c r="R135" i="1" s="1"/>
  <c r="Q136" i="1"/>
  <c r="R137" i="1" s="1"/>
  <c r="Q138" i="1"/>
  <c r="R139" i="1" s="1"/>
  <c r="Q140" i="1"/>
  <c r="R141" i="1" s="1"/>
  <c r="Q142" i="1"/>
  <c r="R143" i="1" s="1"/>
  <c r="Q144" i="1"/>
  <c r="R145" i="1" s="1"/>
  <c r="Q146" i="1"/>
  <c r="R147" i="1" s="1"/>
  <c r="Q148" i="1"/>
  <c r="R149" i="1" s="1"/>
  <c r="Q150" i="1"/>
  <c r="R151" i="1" s="1"/>
  <c r="Q116" i="1"/>
  <c r="R117" i="1" s="1"/>
  <c r="Q114" i="1"/>
  <c r="R115" i="1" s="1"/>
  <c r="Q95" i="1"/>
  <c r="R96" i="1" s="1"/>
  <c r="Q93" i="1"/>
  <c r="R94" i="1" s="1"/>
  <c r="Q91" i="1"/>
  <c r="R92" i="1" s="1"/>
  <c r="Q89" i="1"/>
  <c r="R90" i="1" s="1"/>
  <c r="Q87" i="1"/>
  <c r="R88" i="1" s="1"/>
  <c r="Q85" i="1"/>
  <c r="R86" i="1" s="1"/>
  <c r="Q83" i="1"/>
  <c r="R84" i="1" s="1"/>
  <c r="Q81" i="1"/>
  <c r="R82" i="1" s="1"/>
  <c r="Q79" i="1"/>
  <c r="R80" i="1" s="1"/>
  <c r="P117" i="1"/>
  <c r="P119" i="1"/>
  <c r="P121" i="1"/>
  <c r="P123" i="1"/>
  <c r="P125" i="1"/>
  <c r="P127" i="1"/>
  <c r="P129" i="1"/>
  <c r="P131" i="1"/>
  <c r="P133" i="1"/>
  <c r="P135" i="1"/>
  <c r="P137" i="1"/>
  <c r="P139" i="1"/>
  <c r="P141" i="1"/>
  <c r="P143" i="1"/>
  <c r="P145" i="1"/>
  <c r="P147" i="1"/>
  <c r="P149" i="1"/>
  <c r="P151" i="1"/>
  <c r="P115" i="1"/>
  <c r="P82" i="1"/>
  <c r="P84" i="1"/>
  <c r="P86" i="1"/>
  <c r="P88" i="1"/>
  <c r="P90" i="1"/>
  <c r="P92" i="1"/>
  <c r="P94" i="1"/>
  <c r="P96" i="1"/>
  <c r="P80" i="1"/>
  <c r="S521" i="1"/>
  <c r="S520" i="1"/>
  <c r="W521" i="1"/>
  <c r="W520" i="1"/>
  <c r="W519" i="1"/>
  <c r="Z465" i="1"/>
  <c r="V179" i="1"/>
  <c r="O187"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196"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O9" i="1"/>
  <c r="V9" i="1"/>
  <c r="U183" i="1"/>
  <c r="F202" i="1"/>
  <c r="W214" i="1"/>
  <c r="K347" i="1" s="1"/>
  <c r="W209" i="1"/>
  <c r="K342" i="1" s="1"/>
  <c r="AA54" i="1"/>
  <c r="AA55" i="1"/>
  <c r="AA45" i="1"/>
  <c r="AA46" i="1"/>
  <c r="AA47" i="1"/>
  <c r="AA49" i="1"/>
  <c r="AA50" i="1"/>
  <c r="AA51" i="1"/>
  <c r="AA53" i="1"/>
  <c r="AA12" i="1"/>
  <c r="AA13" i="1"/>
  <c r="AA14" i="1"/>
  <c r="AA15" i="1"/>
  <c r="AA16" i="1"/>
  <c r="AA18" i="1"/>
  <c r="AA19" i="1"/>
  <c r="AA20" i="1"/>
  <c r="AA21" i="1"/>
  <c r="AA27" i="1"/>
  <c r="AA28" i="1"/>
  <c r="AA29" i="1"/>
  <c r="AA30" i="1"/>
  <c r="AA31" i="1"/>
  <c r="AA32" i="1"/>
  <c r="AA33" i="1"/>
  <c r="AA34" i="1"/>
  <c r="AA35" i="1"/>
  <c r="AA36" i="1"/>
  <c r="AA37" i="1"/>
  <c r="AA11" i="1"/>
  <c r="R360" i="1"/>
  <c r="S360" i="1"/>
  <c r="R361" i="1"/>
  <c r="S361" i="1"/>
  <c r="R362" i="1"/>
  <c r="S362" i="1"/>
  <c r="R363" i="1"/>
  <c r="S363" i="1"/>
  <c r="K200" i="1"/>
  <c r="K199" i="1"/>
  <c r="K662" i="1"/>
  <c r="K661" i="1"/>
  <c r="U474" i="1"/>
  <c r="H619" i="1" s="1"/>
  <c r="U473" i="1"/>
  <c r="H618" i="1" s="1"/>
  <c r="U472" i="1"/>
  <c r="H617" i="1" s="1"/>
  <c r="U471" i="1"/>
  <c r="H616" i="1" s="1"/>
  <c r="U467" i="1"/>
  <c r="H612" i="1" s="1"/>
  <c r="U468" i="1"/>
  <c r="H613" i="1" s="1"/>
  <c r="U469" i="1"/>
  <c r="H614" i="1" s="1"/>
  <c r="U470" i="1"/>
  <c r="H615" i="1" s="1"/>
  <c r="F610" i="1"/>
  <c r="E610" i="1"/>
  <c r="D610" i="1"/>
  <c r="C610" i="1"/>
  <c r="F609" i="1"/>
  <c r="E609" i="1"/>
  <c r="D609" i="1"/>
  <c r="C609" i="1"/>
  <c r="E606" i="1"/>
  <c r="D606" i="1"/>
  <c r="N447" i="1"/>
  <c r="E601" i="1" s="1"/>
  <c r="D600" i="1"/>
  <c r="K596" i="1"/>
  <c r="K590" i="1"/>
  <c r="K79" i="1" s="1"/>
  <c r="J590" i="1"/>
  <c r="J79" i="1" s="1"/>
  <c r="K589" i="1"/>
  <c r="K78" i="1" s="1"/>
  <c r="J589" i="1"/>
  <c r="J78" i="1" s="1"/>
  <c r="K588" i="1"/>
  <c r="K77" i="1" s="1"/>
  <c r="J588" i="1"/>
  <c r="J77" i="1" s="1"/>
  <c r="K587" i="1"/>
  <c r="K76" i="1" s="1"/>
  <c r="J587" i="1"/>
  <c r="J76" i="1" s="1"/>
  <c r="K586" i="1"/>
  <c r="K75" i="1" s="1"/>
  <c r="J586" i="1"/>
  <c r="J75" i="1" s="1"/>
  <c r="K585" i="1"/>
  <c r="K74" i="1" s="1"/>
  <c r="J585" i="1"/>
  <c r="J74" i="1" s="1"/>
  <c r="K584" i="1"/>
  <c r="K73" i="1" s="1"/>
  <c r="J584" i="1"/>
  <c r="J73" i="1" s="1"/>
  <c r="K583" i="1"/>
  <c r="K72" i="1" s="1"/>
  <c r="J583" i="1"/>
  <c r="J72" i="1" s="1"/>
  <c r="F559" i="1"/>
  <c r="F558" i="1"/>
  <c r="E558" i="1"/>
  <c r="F557" i="1"/>
  <c r="F556" i="1"/>
  <c r="E556" i="1"/>
  <c r="F555" i="1"/>
  <c r="G552" i="1"/>
  <c r="F544" i="1"/>
  <c r="E544" i="1"/>
  <c r="F543" i="1"/>
  <c r="F542" i="1"/>
  <c r="E542" i="1"/>
  <c r="F541" i="1"/>
  <c r="F540" i="1"/>
  <c r="G537" i="1"/>
  <c r="K530" i="1"/>
  <c r="R344" i="1"/>
  <c r="D493" i="1" s="1"/>
  <c r="C493" i="1"/>
  <c r="B493" i="1"/>
  <c r="R343" i="1"/>
  <c r="C492" i="1"/>
  <c r="B492" i="1"/>
  <c r="R342" i="1"/>
  <c r="D491" i="1" s="1"/>
  <c r="C491" i="1"/>
  <c r="B491" i="1"/>
  <c r="D490" i="1"/>
  <c r="C490" i="1"/>
  <c r="B490" i="1"/>
  <c r="C489" i="1"/>
  <c r="C488" i="1"/>
  <c r="B488" i="1"/>
  <c r="C487" i="1"/>
  <c r="C486" i="1"/>
  <c r="B486" i="1"/>
  <c r="C485" i="1"/>
  <c r="J484" i="1"/>
  <c r="C484" i="1"/>
  <c r="B484" i="1"/>
  <c r="D415" i="1"/>
  <c r="N279" i="1"/>
  <c r="K477" i="1" s="1"/>
  <c r="N334" i="1"/>
  <c r="E477" i="1" s="1"/>
  <c r="G470" i="1"/>
  <c r="K464" i="1"/>
  <c r="I411" i="1"/>
  <c r="N298" i="1"/>
  <c r="J408" i="1" s="1"/>
  <c r="K398" i="1"/>
  <c r="K727" i="1"/>
  <c r="G382" i="1"/>
  <c r="J382" i="1" s="1"/>
  <c r="H382" i="1"/>
  <c r="B382" i="1"/>
  <c r="C382" i="1"/>
  <c r="B383" i="1"/>
  <c r="C383" i="1"/>
  <c r="B384" i="1"/>
  <c r="C384" i="1"/>
  <c r="D384" i="1"/>
  <c r="D383" i="1"/>
  <c r="I382" i="1"/>
  <c r="D382" i="1"/>
  <c r="I381" i="1"/>
  <c r="D381" i="1"/>
  <c r="I380" i="1"/>
  <c r="D380" i="1"/>
  <c r="I379" i="1"/>
  <c r="D379" i="1"/>
  <c r="I378" i="1"/>
  <c r="D378" i="1"/>
  <c r="I377" i="1"/>
  <c r="D377" i="1"/>
  <c r="I369" i="1"/>
  <c r="D369" i="1"/>
  <c r="J349" i="1"/>
  <c r="I347" i="1"/>
  <c r="D346" i="1"/>
  <c r="D344" i="1"/>
  <c r="I342" i="1"/>
  <c r="D339" i="1"/>
  <c r="B339" i="1"/>
  <c r="K332" i="1"/>
  <c r="E315" i="1"/>
  <c r="E6" i="3" s="1"/>
  <c r="D315" i="1"/>
  <c r="D6" i="3" s="1"/>
  <c r="E314" i="1"/>
  <c r="E5" i="3" s="1"/>
  <c r="D312" i="1"/>
  <c r="B312" i="1"/>
  <c r="K529" i="1"/>
  <c r="K463" i="1"/>
  <c r="K397" i="1"/>
  <c r="K111" i="1"/>
  <c r="K110" i="1"/>
  <c r="J110" i="1"/>
  <c r="K109" i="1"/>
  <c r="J109" i="1"/>
  <c r="K108" i="1"/>
  <c r="J108" i="1"/>
  <c r="K107" i="1"/>
  <c r="J107" i="1"/>
  <c r="K106" i="1"/>
  <c r="J106" i="1"/>
  <c r="K134" i="1"/>
  <c r="K133" i="1"/>
  <c r="K103" i="1"/>
  <c r="J103" i="1"/>
  <c r="K102" i="1"/>
  <c r="J102" i="1"/>
  <c r="K101" i="1"/>
  <c r="J101" i="1"/>
  <c r="K100" i="1"/>
  <c r="J100" i="1"/>
  <c r="K99" i="1"/>
  <c r="J99" i="1"/>
  <c r="K98" i="1"/>
  <c r="J98" i="1"/>
  <c r="K97" i="1"/>
  <c r="J97" i="1"/>
  <c r="K96" i="1"/>
  <c r="J96" i="1"/>
  <c r="K95" i="1"/>
  <c r="J95" i="1"/>
  <c r="K91" i="1"/>
  <c r="J91" i="1"/>
  <c r="D79" i="1"/>
  <c r="D78" i="1"/>
  <c r="D77" i="1"/>
  <c r="D76" i="1"/>
  <c r="D75" i="1"/>
  <c r="D74" i="1"/>
  <c r="D73" i="1"/>
  <c r="D72" i="1"/>
  <c r="K68" i="1"/>
  <c r="F68" i="1"/>
  <c r="K67" i="1"/>
  <c r="C66" i="1"/>
  <c r="J65" i="1"/>
  <c r="H65" i="1"/>
  <c r="G65" i="1"/>
  <c r="C65" i="1"/>
  <c r="K63" i="1"/>
  <c r="J63" i="1"/>
  <c r="K62" i="1"/>
  <c r="J62" i="1"/>
  <c r="K61" i="1"/>
  <c r="J61" i="1"/>
  <c r="K60" i="1"/>
  <c r="J60" i="1"/>
  <c r="K59" i="1"/>
  <c r="J59" i="1"/>
  <c r="I59" i="1"/>
  <c r="K58" i="1"/>
  <c r="J58" i="1"/>
  <c r="I58" i="1"/>
  <c r="K57" i="1"/>
  <c r="J57" i="1"/>
  <c r="K55" i="1"/>
  <c r="J55" i="1"/>
  <c r="K54" i="1"/>
  <c r="I29" i="1"/>
  <c r="H25" i="1"/>
  <c r="H24" i="1"/>
  <c r="E24" i="1"/>
  <c r="C23" i="1"/>
  <c r="I18" i="1"/>
  <c r="I12" i="1"/>
  <c r="O525" i="1"/>
  <c r="O524" i="1"/>
  <c r="O523" i="1"/>
  <c r="O522" i="1"/>
  <c r="Q521" i="1"/>
  <c r="O521" i="1"/>
  <c r="U520" i="1"/>
  <c r="Q520" i="1"/>
  <c r="O520" i="1"/>
  <c r="P499" i="1"/>
  <c r="P482" i="1"/>
  <c r="S456" i="1"/>
  <c r="S457" i="1" s="1"/>
  <c r="S458" i="1"/>
  <c r="S459" i="1" s="1"/>
  <c r="R456" i="1"/>
  <c r="R457" i="1" s="1"/>
  <c r="R458" i="1"/>
  <c r="R459" i="1" s="1"/>
  <c r="Q456" i="1"/>
  <c r="Q458" i="1"/>
  <c r="O458" i="1" s="1"/>
  <c r="N458" i="1"/>
  <c r="N459" i="1" s="1"/>
  <c r="M459" i="1"/>
  <c r="N456" i="1"/>
  <c r="N457" i="1" s="1"/>
  <c r="M457" i="1"/>
  <c r="U449" i="1"/>
  <c r="O432" i="1"/>
  <c r="O431" i="1"/>
  <c r="N402" i="1"/>
  <c r="N387" i="1"/>
  <c r="O340" i="1"/>
  <c r="O339" i="1"/>
  <c r="O338" i="1"/>
  <c r="O337" i="1"/>
  <c r="O336" i="1"/>
  <c r="S308" i="1"/>
  <c r="R308" i="1"/>
  <c r="Q308" i="1"/>
  <c r="O308" i="1"/>
  <c r="N308" i="1"/>
  <c r="S307" i="1"/>
  <c r="R307" i="1"/>
  <c r="Q307" i="1"/>
  <c r="O307" i="1"/>
  <c r="N307" i="1"/>
  <c r="S306" i="1"/>
  <c r="R306" i="1"/>
  <c r="Q306" i="1"/>
  <c r="O306" i="1"/>
  <c r="N306" i="1"/>
  <c r="S305" i="1"/>
  <c r="R305" i="1"/>
  <c r="Q305" i="1"/>
  <c r="O305" i="1"/>
  <c r="N305" i="1"/>
  <c r="S304" i="1"/>
  <c r="R304" i="1"/>
  <c r="Q304" i="1"/>
  <c r="O304" i="1"/>
  <c r="N304" i="1"/>
  <c r="S289" i="1"/>
  <c r="R289" i="1"/>
  <c r="Q289" i="1"/>
  <c r="O289" i="1"/>
  <c r="N289" i="1"/>
  <c r="S288" i="1"/>
  <c r="R288" i="1"/>
  <c r="Q288" i="1"/>
  <c r="O288" i="1"/>
  <c r="N288" i="1"/>
  <c r="S287" i="1"/>
  <c r="R287" i="1"/>
  <c r="Q287" i="1"/>
  <c r="O287" i="1"/>
  <c r="N287" i="1"/>
  <c r="S286" i="1"/>
  <c r="R286" i="1"/>
  <c r="Q286" i="1"/>
  <c r="O286" i="1"/>
  <c r="N286" i="1"/>
  <c r="S285" i="1"/>
  <c r="R285" i="1"/>
  <c r="Q285" i="1"/>
  <c r="O285" i="1"/>
  <c r="N285" i="1"/>
  <c r="O257" i="1"/>
  <c r="O241" i="1"/>
  <c r="O240" i="1"/>
  <c r="O239" i="1"/>
  <c r="Q187" i="1"/>
  <c r="O65" i="1"/>
  <c r="O64" i="1"/>
  <c r="O59" i="1"/>
  <c r="R49" i="1"/>
  <c r="R8" i="1"/>
  <c r="P5" i="1"/>
  <c r="Q3" i="1"/>
  <c r="Q2" i="1"/>
  <c r="D314" i="1"/>
  <c r="D5" i="3" s="1"/>
  <c r="J56" i="1"/>
  <c r="K56" i="1"/>
  <c r="E383" i="1" l="1"/>
  <c r="E384" i="1"/>
  <c r="E382" i="1"/>
  <c r="N252" i="1"/>
  <c r="Q499" i="1" s="1"/>
  <c r="N280" i="1"/>
  <c r="E408" i="1" s="1"/>
  <c r="E29" i="1"/>
  <c r="D749" i="1"/>
  <c r="O562" i="1"/>
  <c r="H415" i="1"/>
  <c r="E18" i="1"/>
  <c r="D478" i="1"/>
  <c r="U182" i="1"/>
  <c r="T190" i="1" s="1"/>
  <c r="AD46" i="1"/>
  <c r="AC46" i="1" s="1"/>
  <c r="N212" i="1"/>
  <c r="C344" i="1" s="1"/>
  <c r="AD14" i="1"/>
  <c r="AC14" i="1" s="1"/>
  <c r="E11" i="1"/>
  <c r="N207" i="1"/>
  <c r="C339" i="1" s="1"/>
  <c r="AD57" i="1"/>
  <c r="AC57" i="1" s="1"/>
  <c r="M212" i="1"/>
  <c r="B344" i="1" s="1"/>
  <c r="AC130" i="1"/>
  <c r="E342" i="1"/>
  <c r="E25" i="1"/>
  <c r="E31" i="1"/>
  <c r="B659" i="1" a="1"/>
  <c r="O362" i="1"/>
  <c r="C503" i="1" s="1"/>
  <c r="N388" i="1"/>
  <c r="F537" i="1" s="1"/>
  <c r="N240" i="1"/>
  <c r="C369" i="1"/>
  <c r="N299" i="1"/>
  <c r="I408" i="1" s="1"/>
  <c r="O320" i="1"/>
  <c r="C441" i="1" s="1"/>
  <c r="I24" i="1"/>
  <c r="F488" i="1"/>
  <c r="G542" i="1"/>
  <c r="G544" i="1"/>
  <c r="K488" i="1"/>
  <c r="G556" i="1"/>
  <c r="G558" i="1"/>
  <c r="F484" i="1"/>
  <c r="K499" i="1"/>
  <c r="J83" i="1" s="1"/>
  <c r="F347" i="1"/>
  <c r="W294" i="1"/>
  <c r="AD104" i="1"/>
  <c r="AC104" i="1" s="1"/>
  <c r="P411" i="1"/>
  <c r="O325" i="1"/>
  <c r="H98" i="1"/>
  <c r="D533" i="1"/>
  <c r="O274" i="1"/>
  <c r="O381" i="1"/>
  <c r="D403" i="1"/>
  <c r="D467" i="1"/>
  <c r="J478" i="1"/>
  <c r="AC109" i="1"/>
  <c r="AA121" i="1"/>
  <c r="AD96" i="1"/>
  <c r="AC96" i="1" s="1"/>
  <c r="D362" i="1"/>
  <c r="C353" i="1"/>
  <c r="C549" i="1"/>
  <c r="B593" i="1" a="1"/>
  <c r="B594" i="1" s="1"/>
  <c r="C354" i="1"/>
  <c r="P396" i="1"/>
  <c r="W502" i="1"/>
  <c r="T237" i="1"/>
  <c r="C380" i="1" s="1"/>
  <c r="B263" i="1" a="1"/>
  <c r="B264" i="1" s="1"/>
  <c r="C355" i="1"/>
  <c r="K485" i="1"/>
  <c r="Q459" i="1"/>
  <c r="O459" i="1" s="1"/>
  <c r="B40" i="3"/>
  <c r="T235" i="1"/>
  <c r="C378" i="1" s="1"/>
  <c r="AA23" i="3"/>
  <c r="O281" i="1"/>
  <c r="B24" i="3"/>
  <c r="N238" i="1"/>
  <c r="B42" i="3"/>
  <c r="B46" i="3"/>
  <c r="K486" i="1"/>
  <c r="AB25" i="3"/>
  <c r="F606" i="1"/>
  <c r="AA28" i="3"/>
  <c r="E541" i="1"/>
  <c r="AA34" i="3"/>
  <c r="E543" i="1"/>
  <c r="AA36" i="3"/>
  <c r="T238" i="1"/>
  <c r="C381" i="1" s="1"/>
  <c r="AA42" i="3"/>
  <c r="H378" i="1"/>
  <c r="AA44" i="3"/>
  <c r="AA46" i="3"/>
  <c r="AA48" i="3"/>
  <c r="E555" i="1"/>
  <c r="AA50" i="3"/>
  <c r="E557" i="1"/>
  <c r="AA52" i="3"/>
  <c r="E559" i="1"/>
  <c r="AA54" i="3"/>
  <c r="H381" i="1"/>
  <c r="AA56" i="3"/>
  <c r="B485" i="1"/>
  <c r="AA58" i="3"/>
  <c r="B487" i="1"/>
  <c r="AA60" i="3"/>
  <c r="B489" i="1"/>
  <c r="AA62" i="3"/>
  <c r="B21" i="3"/>
  <c r="F603" i="1"/>
  <c r="AA26" i="3"/>
  <c r="B25" i="3"/>
  <c r="B47" i="3"/>
  <c r="AA21" i="3"/>
  <c r="AA24" i="3"/>
  <c r="K487" i="1"/>
  <c r="AB26" i="3"/>
  <c r="AB28" i="3"/>
  <c r="G541" i="1"/>
  <c r="AB34" i="3"/>
  <c r="G543" i="1"/>
  <c r="AB36" i="3"/>
  <c r="AB38" i="3"/>
  <c r="AB42" i="3"/>
  <c r="AB44" i="3"/>
  <c r="AB46" i="3"/>
  <c r="AB48" i="3"/>
  <c r="G555" i="1"/>
  <c r="AB50" i="3"/>
  <c r="G557" i="1"/>
  <c r="AB52" i="3"/>
  <c r="G559" i="1"/>
  <c r="AB54" i="3"/>
  <c r="AB56" i="3"/>
  <c r="N236" i="1"/>
  <c r="C38" i="3"/>
  <c r="N253" i="1"/>
  <c r="C44" i="3"/>
  <c r="C56" i="3"/>
  <c r="B38" i="3"/>
  <c r="AA31" i="3"/>
  <c r="C342" i="1"/>
  <c r="C347" i="1"/>
  <c r="H26" i="1"/>
  <c r="G342" i="1"/>
  <c r="G347" i="1"/>
  <c r="AD215" i="1"/>
  <c r="AC215" i="1" s="1"/>
  <c r="I26" i="1"/>
  <c r="F97" i="1"/>
  <c r="T214" i="1"/>
  <c r="H347" i="1" s="1"/>
  <c r="O261" i="1"/>
  <c r="P262" i="1" s="1"/>
  <c r="C315" i="1"/>
  <c r="C6" i="3" s="1"/>
  <c r="J66" i="1"/>
  <c r="I131" i="1" s="1" a="1"/>
  <c r="B2" i="3"/>
  <c r="E33" i="1"/>
  <c r="V486" i="1"/>
  <c r="V487" i="1" s="1"/>
  <c r="V488" i="1" s="1"/>
  <c r="V489" i="1" s="1"/>
  <c r="V490" i="1" s="1"/>
  <c r="V491" i="1" s="1"/>
  <c r="V492" i="1" s="1"/>
  <c r="H97" i="1"/>
  <c r="D342" i="1"/>
  <c r="O322" i="1"/>
  <c r="C442" i="1" s="1"/>
  <c r="D347" i="1"/>
  <c r="I14" i="1"/>
  <c r="I28" i="1"/>
  <c r="I20" i="1"/>
  <c r="E28" i="1"/>
  <c r="E20" i="1"/>
  <c r="E13" i="1"/>
  <c r="O456" i="1"/>
  <c r="Q457" i="1"/>
  <c r="O457" i="1" s="1"/>
  <c r="B263" i="1"/>
  <c r="B725" i="1" a="1"/>
  <c r="C726" i="1" s="1"/>
  <c r="B329" i="1" a="1"/>
  <c r="C329" i="1" s="1"/>
  <c r="B791" i="1" a="1"/>
  <c r="C791" i="1" s="1"/>
  <c r="B527" i="1" a="1"/>
  <c r="C528" i="1" s="1"/>
  <c r="B395" i="1" a="1"/>
  <c r="C396" i="1" s="1"/>
  <c r="G377" i="1"/>
  <c r="J377" i="1" s="1"/>
  <c r="G380" i="1"/>
  <c r="J380" i="1" s="1"/>
  <c r="C556" i="1"/>
  <c r="T236" i="1"/>
  <c r="C379" i="1" s="1"/>
  <c r="H369" i="1"/>
  <c r="N257" i="1"/>
  <c r="N448" i="1"/>
  <c r="N450" i="1" s="1"/>
  <c r="N451" i="1" s="1"/>
  <c r="N241" i="1"/>
  <c r="N239" i="1"/>
  <c r="N403" i="1"/>
  <c r="F552" i="1" s="1"/>
  <c r="N335" i="1"/>
  <c r="D477" i="1" s="1"/>
  <c r="Q482" i="1"/>
  <c r="AD84" i="1"/>
  <c r="AC84" i="1" s="1"/>
  <c r="J342" i="1"/>
  <c r="I19" i="1"/>
  <c r="AD35" i="1"/>
  <c r="AC35" i="1" s="1"/>
  <c r="E32" i="1"/>
  <c r="AD217" i="1"/>
  <c r="AC217" i="1" s="1"/>
  <c r="P351" i="1"/>
  <c r="AD213" i="1"/>
  <c r="AC213" i="1" s="1"/>
  <c r="P292" i="1"/>
  <c r="O485" i="1"/>
  <c r="U485" i="1" s="1"/>
  <c r="C557" i="1"/>
  <c r="C559" i="1"/>
  <c r="O342" i="1"/>
  <c r="N342" i="1"/>
  <c r="Q342" i="1"/>
  <c r="D555" i="1"/>
  <c r="D559" i="1"/>
  <c r="AD64" i="1"/>
  <c r="AC64" i="1" s="1"/>
  <c r="M452" i="1"/>
  <c r="W449" i="1"/>
  <c r="E605" i="1" s="1"/>
  <c r="F419" i="1"/>
  <c r="W448" i="1"/>
  <c r="D605" i="1" s="1"/>
  <c r="F418" i="1"/>
  <c r="P313" i="1"/>
  <c r="M466" i="1"/>
  <c r="M451" i="1"/>
  <c r="K484" i="1"/>
  <c r="G540" i="1"/>
  <c r="M454" i="1"/>
  <c r="J87" i="1"/>
  <c r="K87" i="1"/>
  <c r="AD220" i="1"/>
  <c r="AC220" i="1" s="1"/>
  <c r="C620" i="1"/>
  <c r="C621" i="1"/>
  <c r="C622" i="1"/>
  <c r="AD212" i="1"/>
  <c r="AC212" i="1" s="1"/>
  <c r="P260" i="1"/>
  <c r="D492" i="1"/>
  <c r="Q343" i="1"/>
  <c r="C606" i="1"/>
  <c r="B131" i="1" a="1"/>
  <c r="C132" i="1" s="1"/>
  <c r="B197" i="1" a="1"/>
  <c r="C198" i="1" s="1"/>
  <c r="B461" i="1" a="1"/>
  <c r="C462" i="1" s="1"/>
  <c r="AD53" i="1"/>
  <c r="AC53" i="1" s="1"/>
  <c r="P224" i="1"/>
  <c r="P294" i="1"/>
  <c r="C548" i="1"/>
  <c r="N466" i="1"/>
  <c r="D557" i="1"/>
  <c r="O341" i="1"/>
  <c r="D558" i="1"/>
  <c r="N341" i="1"/>
  <c r="D556" i="1"/>
  <c r="O343" i="1"/>
  <c r="N343" i="1"/>
  <c r="J82" i="1"/>
  <c r="N237" i="1"/>
  <c r="N344" i="1"/>
  <c r="O344" i="1"/>
  <c r="Q344" i="1"/>
  <c r="F408" i="1"/>
  <c r="O359" i="1"/>
  <c r="C502" i="1" s="1"/>
  <c r="O502" i="1"/>
  <c r="C792" i="1"/>
  <c r="V334" i="1"/>
  <c r="AD219" i="1"/>
  <c r="AC219" i="1" s="1"/>
  <c r="C564" i="1"/>
  <c r="C562" i="1"/>
  <c r="AD211" i="1"/>
  <c r="AC211" i="1" s="1"/>
  <c r="O510" i="1"/>
  <c r="B314" i="1"/>
  <c r="B5" i="3" s="1"/>
  <c r="I13" i="1"/>
  <c r="AD30" i="1"/>
  <c r="AC30" i="1" s="1"/>
  <c r="E27" i="1"/>
  <c r="AD19" i="1"/>
  <c r="AC19" i="1" s="1"/>
  <c r="E19" i="1"/>
  <c r="AD12" i="1"/>
  <c r="AC12" i="1" s="1"/>
  <c r="E12" i="1"/>
  <c r="AD60" i="1"/>
  <c r="AC60" i="1" s="1"/>
  <c r="AD103" i="1"/>
  <c r="AC103" i="1" s="1"/>
  <c r="Q331" i="1"/>
  <c r="F473" i="1" s="1"/>
  <c r="J482" i="1"/>
  <c r="S334" i="1"/>
  <c r="T353" i="1"/>
  <c r="E482" i="1"/>
  <c r="E473" i="1"/>
  <c r="R352" i="1"/>
  <c r="AD80" i="1"/>
  <c r="AC80" i="1" s="1"/>
  <c r="F342" i="1"/>
  <c r="T209" i="1"/>
  <c r="H342" i="1" s="1"/>
  <c r="J347" i="1"/>
  <c r="G483" i="1"/>
  <c r="P244" i="1"/>
  <c r="V502" i="1"/>
  <c r="V503" i="1" s="1"/>
  <c r="V504" i="1" s="1"/>
  <c r="V505" i="1" s="1"/>
  <c r="V506" i="1" s="1"/>
  <c r="V507" i="1" s="1"/>
  <c r="AD54" i="1"/>
  <c r="AC54" i="1" s="1"/>
  <c r="I33" i="1"/>
  <c r="AD89" i="1"/>
  <c r="AC89" i="1" s="1"/>
  <c r="E347" i="1"/>
  <c r="C264" i="1"/>
  <c r="B315" i="1"/>
  <c r="B6" i="3" s="1"/>
  <c r="E607" i="1"/>
  <c r="J426" i="1"/>
  <c r="J427" i="1"/>
  <c r="E411" i="1"/>
  <c r="C263" i="1" l="1"/>
  <c r="T189" i="1"/>
  <c r="V189" i="1" s="1"/>
  <c r="I461" i="1" a="1"/>
  <c r="J461" i="1" s="1"/>
  <c r="S190" i="1"/>
  <c r="F315" i="1" s="1"/>
  <c r="B528" i="1"/>
  <c r="B593" i="1"/>
  <c r="J462" i="1"/>
  <c r="C504" i="1"/>
  <c r="C330" i="1"/>
  <c r="B329" i="1"/>
  <c r="B527" i="1"/>
  <c r="C527" i="1"/>
  <c r="C505" i="1"/>
  <c r="B330" i="1"/>
  <c r="N235" i="1"/>
  <c r="Q448" i="1"/>
  <c r="D602" i="1" s="1"/>
  <c r="B378" i="1"/>
  <c r="E378" i="1" s="1"/>
  <c r="C594" i="1"/>
  <c r="I527" i="1" a="1"/>
  <c r="J527" i="1" s="1"/>
  <c r="C593" i="1"/>
  <c r="N300" i="1"/>
  <c r="C443" i="1"/>
  <c r="N283" i="1"/>
  <c r="J477" i="1"/>
  <c r="N302" i="1"/>
  <c r="N303" i="1"/>
  <c r="I659" i="1" a="1"/>
  <c r="C660" i="1"/>
  <c r="B659" i="1"/>
  <c r="B660" i="1"/>
  <c r="C659" i="1"/>
  <c r="C439" i="1"/>
  <c r="S358" i="1"/>
  <c r="C440" i="1"/>
  <c r="C444" i="1"/>
  <c r="S354" i="1"/>
  <c r="I131" i="1"/>
  <c r="J132" i="1"/>
  <c r="I132" i="1"/>
  <c r="N284" i="1"/>
  <c r="I791" i="1" a="1"/>
  <c r="J792" i="1" s="1"/>
  <c r="H377" i="1"/>
  <c r="I725" i="1" a="1"/>
  <c r="J726" i="1" s="1"/>
  <c r="I329" i="1" a="1"/>
  <c r="I197" i="1" a="1"/>
  <c r="J198" i="1" s="1"/>
  <c r="I395" i="1" a="1"/>
  <c r="N301" i="1"/>
  <c r="K83" i="1"/>
  <c r="I263" i="1" a="1"/>
  <c r="J264" i="1" s="1"/>
  <c r="I593" i="1" a="1"/>
  <c r="J594" i="1" s="1"/>
  <c r="H379" i="1"/>
  <c r="S189" i="1"/>
  <c r="U189" i="1" s="1"/>
  <c r="AD132" i="1"/>
  <c r="AC132" i="1" s="1"/>
  <c r="V449" i="1"/>
  <c r="N282" i="1"/>
  <c r="F486" i="1"/>
  <c r="S356" i="1"/>
  <c r="O486" i="1"/>
  <c r="U486" i="1" s="1"/>
  <c r="D681" i="1"/>
  <c r="B15" i="3" s="1"/>
  <c r="N404" i="1"/>
  <c r="V448" i="1"/>
  <c r="R334" i="1"/>
  <c r="D483" i="1" s="1"/>
  <c r="H370" i="1"/>
  <c r="B381" i="1"/>
  <c r="E381" i="1" s="1"/>
  <c r="H372" i="1"/>
  <c r="O282" i="1"/>
  <c r="O283" i="1" s="1"/>
  <c r="O284" i="1" s="1"/>
  <c r="D682" i="1"/>
  <c r="B16" i="3" s="1"/>
  <c r="N281" i="1"/>
  <c r="R447" i="1"/>
  <c r="G381" i="1"/>
  <c r="J381" i="1" s="1"/>
  <c r="O300" i="1"/>
  <c r="O301" i="1" s="1"/>
  <c r="O302" i="1" s="1"/>
  <c r="O303" i="1" s="1"/>
  <c r="B379" i="1"/>
  <c r="E379" i="1" s="1"/>
  <c r="I426" i="1"/>
  <c r="N255" i="1"/>
  <c r="N256" i="1"/>
  <c r="I427" i="1"/>
  <c r="K496" i="1"/>
  <c r="N405" i="1"/>
  <c r="C555" i="1"/>
  <c r="J131" i="1"/>
  <c r="K495" i="1"/>
  <c r="G378" i="1"/>
  <c r="J378" i="1" s="1"/>
  <c r="O255" i="1"/>
  <c r="O256" i="1" s="1"/>
  <c r="C392" i="1"/>
  <c r="C393" i="1"/>
  <c r="C391" i="1"/>
  <c r="N407" i="1"/>
  <c r="C725" i="1"/>
  <c r="B726" i="1"/>
  <c r="B725" i="1"/>
  <c r="N465" i="1"/>
  <c r="O465" i="1" s="1"/>
  <c r="B395" i="1"/>
  <c r="B396" i="1"/>
  <c r="C395" i="1"/>
  <c r="C501" i="1"/>
  <c r="B791" i="1"/>
  <c r="B792" i="1"/>
  <c r="H605" i="1"/>
  <c r="Q463" i="1"/>
  <c r="B380" i="1"/>
  <c r="E380" i="1" s="1"/>
  <c r="F602" i="1"/>
  <c r="N449" i="1"/>
  <c r="D601" i="1"/>
  <c r="I197" i="1"/>
  <c r="F427" i="1"/>
  <c r="F426" i="1"/>
  <c r="H551" i="1"/>
  <c r="O403" i="1"/>
  <c r="F551" i="1"/>
  <c r="C500" i="1"/>
  <c r="B377" i="1"/>
  <c r="E377" i="1" s="1"/>
  <c r="B461" i="1"/>
  <c r="B462" i="1"/>
  <c r="C461" i="1"/>
  <c r="I528" i="1"/>
  <c r="I527" i="1"/>
  <c r="AH493" i="1"/>
  <c r="B198" i="1"/>
  <c r="C197" i="1"/>
  <c r="B197" i="1"/>
  <c r="E608" i="1"/>
  <c r="M468" i="1"/>
  <c r="N454" i="1"/>
  <c r="N455" i="1" s="1"/>
  <c r="M455" i="1"/>
  <c r="C608" i="1"/>
  <c r="S240" i="1"/>
  <c r="C131" i="1"/>
  <c r="B132" i="1"/>
  <c r="B131" i="1"/>
  <c r="I462" i="1"/>
  <c r="I461" i="1"/>
  <c r="C377" i="1"/>
  <c r="G379" i="1"/>
  <c r="J379" i="1" s="1"/>
  <c r="N254" i="1"/>
  <c r="J791" i="1"/>
  <c r="F487" i="1"/>
  <c r="S357" i="1"/>
  <c r="I263" i="1"/>
  <c r="I264" i="1"/>
  <c r="J263" i="1"/>
  <c r="F489" i="1"/>
  <c r="S359" i="1"/>
  <c r="F485" i="1"/>
  <c r="S355" i="1"/>
  <c r="M467" i="1"/>
  <c r="M453" i="1"/>
  <c r="C607" i="1"/>
  <c r="N452" i="1"/>
  <c r="N453" i="1" s="1"/>
  <c r="C558" i="1"/>
  <c r="N406" i="1"/>
  <c r="O466" i="1"/>
  <c r="I409" i="1"/>
  <c r="I410" i="1"/>
  <c r="U502" i="1"/>
  <c r="O503" i="1"/>
  <c r="C689" i="1"/>
  <c r="C690" i="1"/>
  <c r="C691" i="1"/>
  <c r="G315" i="1"/>
  <c r="V190" i="1"/>
  <c r="I315" i="1" s="1"/>
  <c r="AD67" i="1"/>
  <c r="AC67" i="1" s="1"/>
  <c r="J428" i="1"/>
  <c r="J430" i="1" s="1"/>
  <c r="N467" i="1"/>
  <c r="D607" i="1"/>
  <c r="E386" i="1" l="1"/>
  <c r="U190" i="1"/>
  <c r="H315" i="1" s="1"/>
  <c r="I593" i="1"/>
  <c r="I594" i="1"/>
  <c r="I725" i="1"/>
  <c r="J593" i="1"/>
  <c r="J528" i="1"/>
  <c r="Q449" i="1"/>
  <c r="Q450" i="1" s="1"/>
  <c r="Q465" i="1"/>
  <c r="S464" i="1" s="1"/>
  <c r="AD238" i="1" s="1"/>
  <c r="AC238" i="1" s="1"/>
  <c r="J197" i="1"/>
  <c r="I198" i="1"/>
  <c r="I428" i="1"/>
  <c r="R257" i="1"/>
  <c r="H371" i="1"/>
  <c r="H697" i="1"/>
  <c r="H698" i="1" s="1"/>
  <c r="H699" i="1" s="1"/>
  <c r="H700" i="1" s="1"/>
  <c r="H701" i="1" s="1"/>
  <c r="H702" i="1" s="1"/>
  <c r="H703" i="1" s="1"/>
  <c r="H704" i="1" s="1"/>
  <c r="H705" i="1" s="1"/>
  <c r="H706" i="1" s="1"/>
  <c r="J660" i="1"/>
  <c r="J659" i="1"/>
  <c r="I659" i="1"/>
  <c r="I660" i="1"/>
  <c r="F607" i="1"/>
  <c r="I395" i="1"/>
  <c r="J396" i="1"/>
  <c r="J395" i="1"/>
  <c r="I396" i="1"/>
  <c r="I791" i="1"/>
  <c r="I792" i="1"/>
  <c r="I726" i="1"/>
  <c r="I329" i="1"/>
  <c r="J329" i="1"/>
  <c r="I330" i="1"/>
  <c r="J330" i="1"/>
  <c r="J725" i="1"/>
  <c r="O487" i="1"/>
  <c r="U487" i="1" s="1"/>
  <c r="K497" i="1"/>
  <c r="AD133" i="1"/>
  <c r="AC133" i="1" s="1"/>
  <c r="S257" i="1"/>
  <c r="C372" i="1"/>
  <c r="S241" i="1"/>
  <c r="S448" i="1"/>
  <c r="S449" i="1" s="1"/>
  <c r="S450" i="1" s="1"/>
  <c r="S451" i="1" s="1"/>
  <c r="S452" i="1" s="1"/>
  <c r="S453" i="1" s="1"/>
  <c r="S454" i="1" s="1"/>
  <c r="S455" i="1" s="1"/>
  <c r="W503" i="1"/>
  <c r="AH494" i="1" s="1"/>
  <c r="S239" i="1"/>
  <c r="D683" i="1"/>
  <c r="F608" i="1"/>
  <c r="W314" i="1"/>
  <c r="V261" i="1"/>
  <c r="F428" i="1"/>
  <c r="J386" i="1"/>
  <c r="O449" i="1"/>
  <c r="O404" i="1"/>
  <c r="O405" i="1"/>
  <c r="O407" i="1"/>
  <c r="D608" i="1"/>
  <c r="N468" i="1"/>
  <c r="O468" i="1" s="1"/>
  <c r="W485" i="1"/>
  <c r="AH485" i="1" s="1"/>
  <c r="D668" i="1"/>
  <c r="B7" i="3" s="1"/>
  <c r="AD111" i="1"/>
  <c r="AC111" i="1" s="1"/>
  <c r="O406" i="1"/>
  <c r="O467" i="1"/>
  <c r="O504" i="1"/>
  <c r="U503" i="1"/>
  <c r="I314" i="1"/>
  <c r="G314" i="1"/>
  <c r="F314" i="1"/>
  <c r="H314" i="1"/>
  <c r="E427" i="1"/>
  <c r="E426" i="1"/>
  <c r="I430" i="1" l="1"/>
  <c r="V314" i="1"/>
  <c r="S469" i="1"/>
  <c r="F616" i="1" s="1"/>
  <c r="D684" i="1"/>
  <c r="S468" i="1"/>
  <c r="F615" i="1" s="1"/>
  <c r="S470" i="1"/>
  <c r="F617" i="1" s="1"/>
  <c r="E617" i="1"/>
  <c r="E615" i="1"/>
  <c r="E616" i="1"/>
  <c r="F605" i="1"/>
  <c r="I605" i="1"/>
  <c r="AH126" i="1" s="1"/>
  <c r="AD134" i="1"/>
  <c r="AC134" i="1" s="1"/>
  <c r="W504" i="1"/>
  <c r="AH495" i="1" s="1"/>
  <c r="I603" i="1"/>
  <c r="O488" i="1"/>
  <c r="P466" i="1"/>
  <c r="P470" i="1" s="1"/>
  <c r="Q470" i="1" s="1"/>
  <c r="V294" i="1"/>
  <c r="F430" i="1"/>
  <c r="B17" i="3"/>
  <c r="P465" i="1"/>
  <c r="Q451" i="1"/>
  <c r="Q452" i="1" s="1"/>
  <c r="O450" i="1"/>
  <c r="V244" i="1"/>
  <c r="W486" i="1"/>
  <c r="D669" i="1"/>
  <c r="B8" i="3" s="1"/>
  <c r="AD112" i="1"/>
  <c r="AC112" i="1" s="1"/>
  <c r="AD135" i="1"/>
  <c r="AC135" i="1" s="1"/>
  <c r="E428" i="1"/>
  <c r="U504" i="1"/>
  <c r="O505" i="1"/>
  <c r="W505" i="1" l="1"/>
  <c r="AH496" i="1" s="1"/>
  <c r="U294" i="1"/>
  <c r="E430" i="1"/>
  <c r="K81" i="1" s="1"/>
  <c r="P469" i="1"/>
  <c r="Q469" i="1" s="1"/>
  <c r="O489" i="1"/>
  <c r="U488" i="1"/>
  <c r="C66" i="3"/>
  <c r="Q453" i="1"/>
  <c r="B18" i="3"/>
  <c r="O451" i="1"/>
  <c r="O452" i="1" s="1"/>
  <c r="W487" i="1"/>
  <c r="AH486" i="1"/>
  <c r="D685" i="1"/>
  <c r="W506" i="1"/>
  <c r="AH497" i="1" s="1"/>
  <c r="AD136" i="1"/>
  <c r="AC136" i="1" s="1"/>
  <c r="AD113" i="1"/>
  <c r="AC113" i="1" s="1"/>
  <c r="D670" i="1"/>
  <c r="B9" i="3" s="1"/>
  <c r="K80" i="1"/>
  <c r="J80" i="1"/>
  <c r="O506" i="1"/>
  <c r="O507" i="1" s="1"/>
  <c r="U505" i="1"/>
  <c r="J81" i="1" l="1"/>
  <c r="S465" i="1"/>
  <c r="AH487" i="1"/>
  <c r="U489" i="1"/>
  <c r="O490" i="1"/>
  <c r="O453" i="1"/>
  <c r="Q454" i="1"/>
  <c r="B19" i="3"/>
  <c r="U506" i="1"/>
  <c r="U507" i="1" s="1"/>
  <c r="W488" i="1"/>
  <c r="AH488" i="1" s="1"/>
  <c r="AD114" i="1"/>
  <c r="AC114" i="1" s="1"/>
  <c r="D671" i="1"/>
  <c r="AD137" i="1"/>
  <c r="AC137" i="1" s="1"/>
  <c r="W507" i="1"/>
  <c r="AH498" i="1" s="1"/>
  <c r="D686" i="1"/>
  <c r="AH133" i="1" l="1"/>
  <c r="AI133" i="1" s="1"/>
  <c r="S473" i="1"/>
  <c r="I607" i="1" s="1"/>
  <c r="S472" i="1"/>
  <c r="AD239" i="1"/>
  <c r="AC239" i="1" s="1"/>
  <c r="AH131" i="1"/>
  <c r="AI131" i="1" s="1"/>
  <c r="I606" i="1"/>
  <c r="AH132" i="1"/>
  <c r="AI132" i="1" s="1"/>
  <c r="M471" i="1"/>
  <c r="N471" i="1" s="1"/>
  <c r="S502" i="1" a="1"/>
  <c r="U490" i="1"/>
  <c r="O491" i="1"/>
  <c r="O454" i="1"/>
  <c r="Q455" i="1"/>
  <c r="B10" i="3"/>
  <c r="B20" i="3"/>
  <c r="D672" i="1"/>
  <c r="W489" i="1"/>
  <c r="AD115" i="1"/>
  <c r="AC115" i="1" s="1"/>
  <c r="AH128" i="1" l="1"/>
  <c r="AI128" i="1" s="1"/>
  <c r="AH129" i="1"/>
  <c r="AI129" i="1" s="1"/>
  <c r="AH130" i="1"/>
  <c r="AI130" i="1" s="1"/>
  <c r="AH489" i="1"/>
  <c r="S506" i="1"/>
  <c r="F685" i="1" s="1"/>
  <c r="S504" i="1"/>
  <c r="F683" i="1" s="1"/>
  <c r="S505" i="1"/>
  <c r="F684" i="1" s="1"/>
  <c r="S503" i="1"/>
  <c r="F682" i="1" s="1"/>
  <c r="S507" i="1"/>
  <c r="F686" i="1" s="1"/>
  <c r="S502" i="1"/>
  <c r="F681" i="1" s="1"/>
  <c r="U491" i="1"/>
  <c r="O492" i="1"/>
  <c r="O455" i="1"/>
  <c r="B11" i="3"/>
  <c r="D673" i="1"/>
  <c r="W490" i="1"/>
  <c r="AH490" i="1" s="1"/>
  <c r="AD116" i="1"/>
  <c r="AC116" i="1" s="1"/>
  <c r="U492" i="1" l="1"/>
  <c r="B12" i="3"/>
  <c r="AD117" i="1"/>
  <c r="AC117" i="1" s="1"/>
  <c r="D674" i="1"/>
  <c r="W491" i="1"/>
  <c r="AH491" i="1" l="1"/>
  <c r="S485" i="1" a="1"/>
  <c r="B13" i="3"/>
  <c r="W492" i="1"/>
  <c r="AH492" i="1" s="1"/>
  <c r="D675" i="1"/>
  <c r="AD118" i="1"/>
  <c r="AC118" i="1" s="1"/>
  <c r="S489" i="1" l="1"/>
  <c r="F672" i="1" s="1"/>
  <c r="S488" i="1"/>
  <c r="F671" i="1" s="1"/>
  <c r="S487" i="1"/>
  <c r="F670" i="1" s="1"/>
  <c r="S486" i="1"/>
  <c r="F669" i="1" s="1"/>
  <c r="S490" i="1"/>
  <c r="F673" i="1" s="1"/>
  <c r="S491" i="1"/>
  <c r="F674" i="1" s="1"/>
  <c r="S485" i="1"/>
  <c r="F668" i="1" s="1"/>
  <c r="S492" i="1"/>
  <c r="F675" i="1" s="1"/>
  <c r="B14" i="3"/>
  <c r="R452" i="1" l="1"/>
  <c r="R453" i="1" s="1"/>
  <c r="R454" i="1"/>
  <c r="R455" i="1" s="1"/>
  <c r="R402" i="1"/>
  <c r="I557" i="1"/>
  <c r="U358" i="1"/>
  <c r="U355" i="1"/>
  <c r="R298" i="1"/>
  <c r="U354" i="1"/>
  <c r="T360" i="1"/>
  <c r="U356" i="1"/>
  <c r="I558" i="1"/>
  <c r="W358" i="1"/>
  <c r="V354" i="1"/>
  <c r="T363" i="1"/>
  <c r="W354" i="1"/>
  <c r="V356" i="1"/>
  <c r="U357" i="1"/>
  <c r="R279" i="1"/>
  <c r="I556" i="1"/>
  <c r="V358" i="1"/>
  <c r="V357" i="1"/>
  <c r="R251" i="1"/>
  <c r="W356" i="1"/>
  <c r="W357" i="1"/>
  <c r="C539" i="1"/>
  <c r="I559" i="1"/>
  <c r="T362" i="1"/>
  <c r="V355" i="1"/>
  <c r="D341" i="1"/>
  <c r="R233" i="1"/>
  <c r="W355" i="1"/>
  <c r="T361" i="1"/>
  <c r="I555" i="1"/>
  <c r="Q502" i="1"/>
  <c r="R502" i="1" s="1"/>
  <c r="G493" i="1"/>
  <c r="H493" i="1" s="1"/>
  <c r="E59" i="3"/>
  <c r="E37" i="3"/>
  <c r="G492" i="1"/>
  <c r="H492" i="1" s="1"/>
  <c r="E40" i="3"/>
  <c r="G491" i="1"/>
  <c r="H491" i="1" s="1"/>
  <c r="G490" i="1"/>
  <c r="H490" i="1" s="1"/>
  <c r="E39" i="3"/>
  <c r="E29" i="3"/>
  <c r="D542" i="1"/>
  <c r="E30" i="3"/>
  <c r="E22" i="3"/>
  <c r="E31" i="3"/>
  <c r="E28" i="3"/>
  <c r="E32" i="3"/>
  <c r="E33" i="3"/>
  <c r="P208" i="1"/>
  <c r="E41" i="3"/>
  <c r="D484" i="1" l="1"/>
  <c r="C540" i="1"/>
  <c r="E23" i="3"/>
  <c r="D540" i="1"/>
  <c r="I540" i="1" s="1"/>
  <c r="E57" i="3"/>
  <c r="R356" i="1"/>
  <c r="E62" i="3"/>
  <c r="E484" i="1"/>
  <c r="R354" i="1"/>
  <c r="E27" i="3"/>
  <c r="E25" i="3"/>
  <c r="E36" i="3"/>
  <c r="D543" i="1"/>
  <c r="E21" i="3"/>
  <c r="E60" i="3"/>
  <c r="R358" i="1"/>
  <c r="E488" i="1"/>
  <c r="E486" i="1"/>
  <c r="E35" i="3"/>
  <c r="E58" i="3"/>
  <c r="E26" i="3"/>
  <c r="E24" i="3"/>
  <c r="J555" i="1"/>
  <c r="J557" i="1"/>
  <c r="D541" i="1"/>
  <c r="E34" i="3"/>
  <c r="D544" i="1"/>
  <c r="E38" i="3"/>
  <c r="D489" i="1"/>
  <c r="N340" i="1"/>
  <c r="R359" i="1"/>
  <c r="E489" i="1"/>
  <c r="E42" i="3"/>
  <c r="E61" i="3"/>
  <c r="AD139" i="1"/>
  <c r="AC139" i="1" s="1"/>
  <c r="E681" i="1"/>
  <c r="Y502" i="1"/>
  <c r="Q503" i="1"/>
  <c r="H536" i="1" l="1"/>
  <c r="E409" i="1"/>
  <c r="E410" i="1"/>
  <c r="J479" i="1"/>
  <c r="J480" i="1"/>
  <c r="E487" i="1"/>
  <c r="R357" i="1"/>
  <c r="D486" i="1"/>
  <c r="N337" i="1"/>
  <c r="O388" i="1"/>
  <c r="R387" i="1" s="1"/>
  <c r="C541" i="1"/>
  <c r="I541" i="1" s="1"/>
  <c r="N389" i="1"/>
  <c r="C544" i="1"/>
  <c r="I544" i="1" s="1"/>
  <c r="N392" i="1"/>
  <c r="N336" i="1"/>
  <c r="D485" i="1"/>
  <c r="G486" i="1"/>
  <c r="H486" i="1" s="1"/>
  <c r="T356" i="1"/>
  <c r="AI493" i="1"/>
  <c r="U363" i="1"/>
  <c r="W363" i="1"/>
  <c r="V363" i="1"/>
  <c r="V413" i="1"/>
  <c r="K559" i="1"/>
  <c r="T358" i="1"/>
  <c r="G488" i="1"/>
  <c r="H488" i="1" s="1"/>
  <c r="D487" i="1"/>
  <c r="N338" i="1"/>
  <c r="C543" i="1"/>
  <c r="I543" i="1" s="1"/>
  <c r="N391" i="1"/>
  <c r="R503" i="1"/>
  <c r="Q504" i="1"/>
  <c r="D488" i="1"/>
  <c r="N339" i="1"/>
  <c r="R355" i="1"/>
  <c r="E485" i="1"/>
  <c r="G489" i="1"/>
  <c r="H489" i="1" s="1"/>
  <c r="T359" i="1"/>
  <c r="G681" i="1"/>
  <c r="H681" i="1" s="1"/>
  <c r="C15" i="3"/>
  <c r="V411" i="1"/>
  <c r="K556" i="1"/>
  <c r="C542" i="1"/>
  <c r="I542" i="1" s="1"/>
  <c r="N390" i="1"/>
  <c r="C370" i="1"/>
  <c r="C697" i="1"/>
  <c r="C698" i="1" s="1"/>
  <c r="C699" i="1" s="1"/>
  <c r="C700" i="1" s="1"/>
  <c r="C701" i="1" s="1"/>
  <c r="C702" i="1" s="1"/>
  <c r="C703" i="1" s="1"/>
  <c r="C704" i="1" s="1"/>
  <c r="C705" i="1" s="1"/>
  <c r="C706" i="1" s="1"/>
  <c r="R241" i="1"/>
  <c r="C371" i="1"/>
  <c r="R240" i="1"/>
  <c r="R239" i="1"/>
  <c r="Q485" i="1"/>
  <c r="Q486" i="1" s="1"/>
  <c r="R448" i="1"/>
  <c r="T354" i="1"/>
  <c r="G484" i="1"/>
  <c r="H484" i="1" s="1"/>
  <c r="J542" i="1" l="1"/>
  <c r="K544" i="1" s="1"/>
  <c r="F536" i="1"/>
  <c r="J540" i="1"/>
  <c r="V396" i="1" s="1"/>
  <c r="D571" i="1"/>
  <c r="E571" i="1"/>
  <c r="V421" i="1" s="1"/>
  <c r="D570" i="1"/>
  <c r="R486" i="1"/>
  <c r="Q487" i="1"/>
  <c r="G485" i="1"/>
  <c r="H485" i="1" s="1"/>
  <c r="T355" i="1"/>
  <c r="O389" i="1"/>
  <c r="O390" i="1" s="1"/>
  <c r="O391" i="1" s="1"/>
  <c r="O392" i="1" s="1"/>
  <c r="U360" i="1"/>
  <c r="W360" i="1"/>
  <c r="V360" i="1"/>
  <c r="W359" i="1"/>
  <c r="U359" i="1"/>
  <c r="V359" i="1"/>
  <c r="G487" i="1"/>
  <c r="H487" i="1" s="1"/>
  <c r="T357" i="1"/>
  <c r="R485" i="1"/>
  <c r="AD120" i="1" s="1"/>
  <c r="R504" i="1"/>
  <c r="Q505" i="1"/>
  <c r="V362" i="1"/>
  <c r="W362" i="1"/>
  <c r="U362" i="1"/>
  <c r="V361" i="1"/>
  <c r="W361" i="1"/>
  <c r="U361" i="1"/>
  <c r="I601" i="1"/>
  <c r="I602" i="1"/>
  <c r="R449" i="1"/>
  <c r="R450" i="1" s="1"/>
  <c r="R451" i="1" s="1"/>
  <c r="E682" i="1"/>
  <c r="AD140" i="1"/>
  <c r="AC140" i="1" s="1"/>
  <c r="Y503" i="1"/>
  <c r="G571" i="1" l="1"/>
  <c r="V398" i="1"/>
  <c r="K541" i="1"/>
  <c r="K84" i="1" s="1"/>
  <c r="AI494" i="1"/>
  <c r="Y504" i="1"/>
  <c r="AI495" i="1" s="1"/>
  <c r="E683" i="1"/>
  <c r="AD141" i="1"/>
  <c r="AC141" i="1" s="1"/>
  <c r="Y485" i="1"/>
  <c r="E668" i="1"/>
  <c r="AC120" i="1"/>
  <c r="R505" i="1"/>
  <c r="Q506" i="1"/>
  <c r="G682" i="1"/>
  <c r="C16" i="3"/>
  <c r="H682" i="1"/>
  <c r="R487" i="1"/>
  <c r="Q488" i="1"/>
  <c r="Y486" i="1"/>
  <c r="AI486" i="1" s="1"/>
  <c r="AD121" i="1"/>
  <c r="AC121" i="1" s="1"/>
  <c r="E669" i="1"/>
  <c r="J84" i="1" l="1"/>
  <c r="AI485" i="1"/>
  <c r="R488" i="1"/>
  <c r="Q489" i="1"/>
  <c r="R506" i="1"/>
  <c r="Q507" i="1"/>
  <c r="G683" i="1"/>
  <c r="H683" i="1" s="1"/>
  <c r="C17" i="3"/>
  <c r="C8" i="3"/>
  <c r="G669" i="1"/>
  <c r="E670" i="1"/>
  <c r="Y487" i="1"/>
  <c r="AI487" i="1" s="1"/>
  <c r="AD122" i="1"/>
  <c r="AC122" i="1" s="1"/>
  <c r="Y505" i="1"/>
  <c r="AI496" i="1" s="1"/>
  <c r="E684" i="1"/>
  <c r="AD142" i="1"/>
  <c r="AC142" i="1" s="1"/>
  <c r="C7" i="3"/>
  <c r="G668" i="1"/>
  <c r="H668" i="1" s="1"/>
  <c r="H669" i="1" l="1"/>
  <c r="R507" i="1"/>
  <c r="AD144" i="1" s="1"/>
  <c r="AC144" i="1" s="1"/>
  <c r="C9" i="3"/>
  <c r="G670" i="1"/>
  <c r="E671" i="1"/>
  <c r="Y488" i="1"/>
  <c r="AI488" i="1" s="1"/>
  <c r="AD123" i="1"/>
  <c r="AC123" i="1" s="1"/>
  <c r="Y506" i="1"/>
  <c r="AI497" i="1" s="1"/>
  <c r="AD143" i="1"/>
  <c r="AC143" i="1" s="1"/>
  <c r="E685" i="1"/>
  <c r="R489" i="1"/>
  <c r="Q490" i="1"/>
  <c r="C18" i="3"/>
  <c r="G684" i="1"/>
  <c r="H684" i="1" s="1"/>
  <c r="E686" i="1" l="1"/>
  <c r="G686" i="1" s="1"/>
  <c r="Y507" i="1"/>
  <c r="AI498" i="1" s="1"/>
  <c r="H670" i="1"/>
  <c r="G305" i="1"/>
  <c r="E672" i="1"/>
  <c r="AD124" i="1"/>
  <c r="AC124" i="1" s="1"/>
  <c r="Y489" i="1"/>
  <c r="AI489" i="1" s="1"/>
  <c r="C20" i="3"/>
  <c r="R490" i="1"/>
  <c r="Q491" i="1"/>
  <c r="C19" i="3"/>
  <c r="G685" i="1"/>
  <c r="H685" i="1" s="1"/>
  <c r="H686" i="1" s="1"/>
  <c r="V509" i="1" s="1"/>
  <c r="J686" i="1" s="1"/>
  <c r="C10" i="3"/>
  <c r="G671" i="1"/>
  <c r="H671" i="1" l="1"/>
  <c r="S509" i="1"/>
  <c r="AD151" i="1" s="1"/>
  <c r="AC151" i="1" s="1"/>
  <c r="Q509" i="1"/>
  <c r="AD149" i="1" s="1"/>
  <c r="AC149" i="1" s="1"/>
  <c r="R491" i="1"/>
  <c r="Q492" i="1"/>
  <c r="E673" i="1"/>
  <c r="Y490" i="1"/>
  <c r="AI490" i="1" s="1"/>
  <c r="AD125" i="1"/>
  <c r="AC125" i="1" s="1"/>
  <c r="R509" i="1"/>
  <c r="AD150" i="1" s="1"/>
  <c r="AC150" i="1" s="1"/>
  <c r="G672" i="1"/>
  <c r="H672" i="1" s="1"/>
  <c r="C11" i="3"/>
  <c r="H673" i="1" l="1"/>
  <c r="R492" i="1"/>
  <c r="E674" i="1"/>
  <c r="AD126" i="1"/>
  <c r="AC126" i="1" s="1"/>
  <c r="Y491" i="1"/>
  <c r="AI491" i="1" s="1"/>
  <c r="G673" i="1"/>
  <c r="C12" i="3"/>
  <c r="H674" i="1" l="1"/>
  <c r="E675" i="1"/>
  <c r="Y492" i="1"/>
  <c r="AI492" i="1" s="1"/>
  <c r="J305" i="1" s="1"/>
  <c r="AD127" i="1"/>
  <c r="AC127" i="1" s="1"/>
  <c r="G674" i="1"/>
  <c r="C13" i="3"/>
  <c r="D305" i="1" l="1"/>
  <c r="G675" i="1"/>
  <c r="C14" i="3"/>
  <c r="H675" i="1"/>
  <c r="V494" i="1" s="1"/>
  <c r="J675" i="1" s="1"/>
  <c r="J88" i="1" l="1"/>
  <c r="K88" i="1"/>
  <c r="S494" i="1"/>
  <c r="AD148" i="1" s="1"/>
  <c r="AC148" i="1" s="1"/>
  <c r="R494" i="1"/>
  <c r="AD147" i="1" s="1"/>
  <c r="AC147" i="1" s="1"/>
  <c r="Q494" i="1"/>
  <c r="AD146" i="1" s="1"/>
  <c r="AC146" i="1" s="1"/>
  <c r="I697" i="1" l="1" a="1"/>
  <c r="I701" i="1" s="1"/>
  <c r="D697" i="1" a="1"/>
  <c r="D700" i="1" s="1"/>
  <c r="D697" i="1" l="1"/>
  <c r="I698" i="1"/>
  <c r="I704" i="1"/>
  <c r="I700" i="1"/>
  <c r="I705" i="1"/>
  <c r="D704" i="1"/>
  <c r="D705" i="1"/>
  <c r="I706" i="1"/>
  <c r="D701" i="1"/>
  <c r="D703" i="1"/>
  <c r="D698" i="1"/>
  <c r="I703" i="1"/>
  <c r="I699" i="1"/>
  <c r="D706" i="1"/>
  <c r="D699" i="1"/>
  <c r="D702" i="1"/>
  <c r="I697" i="1"/>
  <c r="I70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 satisfied Microsoft Office user</author>
  </authors>
  <commentList>
    <comment ref="U464" authorId="0" shapeId="0" xr:uid="{00000000-0006-0000-0000-000001000000}">
      <text>
        <r>
          <rPr>
            <sz val="8"/>
            <color indexed="81"/>
            <rFont val="Tahoma"/>
            <family val="2"/>
          </rPr>
          <t>To obtain the minimum and maximum acceptable values for the HVL, I first did a trend function on the data in the acceptance test manual for HVL vs kVp, and from that trend data determined the mm Al corresponding to kVp values 10% higher, and 10% lower that the nominal kvp.  The calculated HVL values then became the new Min and Max HVL values for that nominal kVp.</t>
        </r>
      </text>
    </comment>
    <comment ref="H609" authorId="0" shapeId="0" xr:uid="{00000000-0006-0000-0000-000002000000}">
      <text>
        <r>
          <rPr>
            <sz val="8"/>
            <color indexed="81"/>
            <rFont val="Tahoma"/>
            <family val="2"/>
          </rPr>
          <t>To obtain the minimum and maximum acceptable values for the HVL, I first did a trend function on the data in the acceptance test manual for HVL vs kVp, and from that trend data determined the mm Al corresponding to kVp values 10% higher, and 10% lower that the nominal kvp.  The calculated HVL values then became the new Min and Max HVL values for that nominal kVp.</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 satisfied Microsoft Office user</author>
  </authors>
  <commentList>
    <comment ref="E2" authorId="0" shapeId="0" xr:uid="{00000000-0006-0000-0100-000001000000}">
      <text>
        <r>
          <rPr>
            <sz val="8"/>
            <color indexed="81"/>
            <rFont val="Tahoma"/>
            <family val="2"/>
          </rPr>
          <t>To obtain the minimum and maximum acceptable values for the HVL, I first did a trend function on the data in the acceptance test manual for HVL vs kVp, and from that trend data determined the mm Al corresponding to kVp values 10% higher, and 10% lower that the nominal kvp.  The calculated HVL values then became the new Min and Max HVL values for that nominal kVp.</t>
        </r>
      </text>
    </comment>
    <comment ref="J2" authorId="0" shapeId="0" xr:uid="{00000000-0006-0000-0100-000002000000}">
      <text>
        <r>
          <rPr>
            <sz val="8"/>
            <color indexed="81"/>
            <rFont val="Tahoma"/>
            <family val="2"/>
          </rPr>
          <t>To obtain the minimum and maximum acceptable values for the HVL, I first did a trend function on the data in the acceptance test manual for HVL vs kVp, and from that trend data determined the mm Al corresponding to kVp values 10% higher, and 10% lower that the nominal kvp.  The calculated HVL values then became the new Min and Max HVL values for that nominal kVp.</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<sst xmlns="http://schemas.openxmlformats.org/spreadsheetml/2006/main" count="3341" uniqueCount="837">
  <si>
    <t>Timer accuracy within 10%.</t>
  </si>
  <si>
    <t>Eugene Mah</t>
  </si>
  <si>
    <t>RAD / DENTAL UNITS (DHEC CRITERIA)</t>
  </si>
  <si>
    <t>RADIOGRAPHIC UNITS (MUSC CRITERIA)</t>
  </si>
  <si>
    <t>Accession Number:</t>
  </si>
  <si>
    <t>Site Number:</t>
  </si>
  <si>
    <t>T15</t>
  </si>
  <si>
    <t>Pregnancy Warning sign is posted</t>
  </si>
  <si>
    <t>**The light field illumination failed to meet the minimum specification of 160 lux. The light source should be adjusted or replaced so as to meet this requirement.</t>
  </si>
  <si>
    <t>Lrg Focus Max.</t>
  </si>
  <si>
    <t>Lrg Focus Median</t>
  </si>
  <si>
    <t>Lrg Focus Min</t>
  </si>
  <si>
    <t>Sml Focus Max.</t>
  </si>
  <si>
    <t>Sml Focus Median</t>
  </si>
  <si>
    <t>Sml Focus Min</t>
  </si>
  <si>
    <t>Q1406</t>
  </si>
  <si>
    <t>R1406</t>
  </si>
  <si>
    <t>S1406</t>
  </si>
  <si>
    <t>Q1421</t>
  </si>
  <si>
    <t>R1421</t>
  </si>
  <si>
    <t>S1421</t>
  </si>
  <si>
    <t>Test Equipment Used:</t>
  </si>
  <si>
    <t>Sensitivity</t>
  </si>
  <si>
    <t>Linearity</t>
  </si>
  <si>
    <t>New:</t>
  </si>
  <si>
    <t>Large</t>
  </si>
  <si>
    <t>GENERATOR PERFORMANCE</t>
  </si>
  <si>
    <t>Large Focus kV Accuracy and Output</t>
  </si>
  <si>
    <t>Note:  See focal spot data above for mA/mAs selector button</t>
  </si>
  <si>
    <t>Test</t>
  </si>
  <si>
    <t>SDD*</t>
  </si>
  <si>
    <t>Focal</t>
  </si>
  <si>
    <t>Filter Pack/</t>
  </si>
  <si>
    <t xml:space="preserve">  </t>
  </si>
  <si>
    <t>Set</t>
  </si>
  <si>
    <t>Measured values</t>
  </si>
  <si>
    <t>Setup</t>
  </si>
  <si>
    <t>Spot</t>
  </si>
  <si>
    <t>kV</t>
  </si>
  <si>
    <t>time(SEC)</t>
  </si>
  <si>
    <t>kV (max)</t>
  </si>
  <si>
    <t>kV (avg)</t>
  </si>
  <si>
    <t>kVp Accuracy</t>
  </si>
  <si>
    <t>Large Focal Spot</t>
  </si>
  <si>
    <t>Small Focal Spot</t>
  </si>
  <si>
    <t>SDD:</t>
  </si>
  <si>
    <t xml:space="preserve"> mA:</t>
  </si>
  <si>
    <t>time (s):</t>
  </si>
  <si>
    <t>*SDD=Source to detector distance</t>
  </si>
  <si>
    <t>% error</t>
  </si>
  <si>
    <t>Small Focus kV Accuracy and Output</t>
  </si>
  <si>
    <t>Small</t>
  </si>
  <si>
    <t>(Combined comments)</t>
  </si>
  <si>
    <t>SDD</t>
  </si>
  <si>
    <t>SDD*:</t>
  </si>
  <si>
    <t>Note:  Type comments in the below shaded cell.</t>
  </si>
  <si>
    <t>Additional comments:</t>
  </si>
  <si>
    <t>mean:</t>
  </si>
  <si>
    <t>std dev:</t>
  </si>
  <si>
    <t>Coeff. of var.</t>
  </si>
  <si>
    <t>*SDD = Source to Detector Distance</t>
  </si>
  <si>
    <t>kVp coefficient of variation (std dev./mean) &lt;= 5%.</t>
  </si>
  <si>
    <t>Timer performance (Large Focal Spot)</t>
  </si>
  <si>
    <t>NOTE: Enter "Dent" for Dental, "1*" for 1-phase, "3" for 3-phase, "HF" for High Frequency, "CP" for Constant Potential</t>
  </si>
  <si>
    <t>Generator Type:</t>
  </si>
  <si>
    <t>Timer Test is Valid for this generator</t>
  </si>
  <si>
    <t>Reproducibility</t>
  </si>
  <si>
    <t>Set Values*</t>
  </si>
  <si>
    <t>Measured Values*</t>
  </si>
  <si>
    <t>Measured Values</t>
  </si>
  <si>
    <t>*Record time in seconds for 3-phase, HF, and CP</t>
  </si>
  <si>
    <t xml:space="preserve"> For 1-phase, record time in pulses up to 0.5 sec. (60 pulses), and seconds thereafter.</t>
  </si>
  <si>
    <t>Note:  Type comments in the above shaded cell.</t>
  </si>
  <si>
    <t>3-Phase</t>
  </si>
  <si>
    <t>1-Phase</t>
  </si>
  <si>
    <t>Dent</t>
  </si>
  <si>
    <t>Coeff. of var.:</t>
  </si>
  <si>
    <t>Combined Comments</t>
  </si>
  <si>
    <t>Timer Specifications</t>
  </si>
  <si>
    <t>Type</t>
  </si>
  <si>
    <t>time (ms)</t>
  </si>
  <si>
    <t>error</t>
  </si>
  <si>
    <t>1f</t>
  </si>
  <si>
    <t>pulses</t>
  </si>
  <si>
    <t>Cine</t>
  </si>
  <si>
    <t>&lt; 2</t>
  </si>
  <si>
    <t>2 - 5</t>
  </si>
  <si>
    <t>&gt; 5</t>
  </si>
  <si>
    <t>mAs timer</t>
  </si>
  <si>
    <t>3f</t>
  </si>
  <si>
    <t>2 - 10</t>
  </si>
  <si>
    <t>5 - 100</t>
  </si>
  <si>
    <t xml:space="preserve"> 10 - 50</t>
  </si>
  <si>
    <t>&gt; 100</t>
  </si>
  <si>
    <t xml:space="preserve"> 50 - 100</t>
  </si>
  <si>
    <t>Dental</t>
  </si>
  <si>
    <t>All</t>
  </si>
  <si>
    <r>
      <t>+</t>
    </r>
    <r>
      <rPr>
        <sz val="10"/>
        <rFont val="Times New Roman"/>
        <family val="1"/>
      </rPr>
      <t>2</t>
    </r>
  </si>
  <si>
    <r>
      <t>+</t>
    </r>
    <r>
      <rPr>
        <sz val="10"/>
        <rFont val="Times New Roman"/>
        <family val="1"/>
      </rPr>
      <t>2</t>
    </r>
  </si>
  <si>
    <r>
      <t>+</t>
    </r>
    <r>
      <rPr>
        <sz val="10"/>
        <rFont val="Times New Roman"/>
        <family val="1"/>
      </rPr>
      <t>15%</t>
    </r>
  </si>
  <si>
    <t>Do NOT exceed 190</t>
  </si>
  <si>
    <r>
      <t>+</t>
    </r>
    <r>
      <rPr>
        <sz val="10"/>
        <rFont val="Times New Roman"/>
        <family val="1"/>
      </rPr>
      <t>15%</t>
    </r>
  </si>
  <si>
    <t>kV filter:</t>
  </si>
  <si>
    <t>Large Focus</t>
  </si>
  <si>
    <t>Coeff. of</t>
  </si>
  <si>
    <t>@ SDD</t>
  </si>
  <si>
    <t>Adjacent*</t>
  </si>
  <si>
    <t>Adjacent</t>
  </si>
  <si>
    <t>Non-Adj.</t>
  </si>
  <si>
    <t>*For mAs generators, adjacent means two settings that differ by a factor of approximately 2X.</t>
  </si>
  <si>
    <t>Small Focus</t>
  </si>
  <si>
    <t>Combined Focal Spot Linearity</t>
  </si>
  <si>
    <t>Combined</t>
  </si>
  <si>
    <t>Coefficient of Linearity</t>
  </si>
  <si>
    <t>Max.:</t>
  </si>
  <si>
    <t>Adjacent:</t>
  </si>
  <si>
    <t>Min.:</t>
  </si>
  <si>
    <t>Non-Adjacent:</t>
  </si>
  <si>
    <t>Coefficient of linearity &lt;= 10% (Both adjacent and non-adjacent).</t>
  </si>
  <si>
    <t>Generator Functions</t>
  </si>
  <si>
    <t>Means are provided to indicate technique factors prior to exposure.</t>
  </si>
  <si>
    <t>All technique indicators functional and are free of excessive wear.</t>
  </si>
  <si>
    <t>Technique overload circuits function to block excessive technique.</t>
  </si>
  <si>
    <t>Technique overload circuits function to block excessive technique</t>
  </si>
  <si>
    <t>Anode heat calculator/indicator is functioning properly.</t>
  </si>
  <si>
    <t>Anode heat calculator/indicator is functioning properly</t>
  </si>
  <si>
    <t xml:space="preserve">Indicator of the individual x-ray tube selected present and operational. </t>
  </si>
  <si>
    <t>Indicator of the individual x-ray tube selected present and operational</t>
  </si>
  <si>
    <t>Visible "beam on" indicator present and operational.</t>
  </si>
  <si>
    <t>Visible "beam on" indicator present and operational</t>
  </si>
  <si>
    <t>Audible exposure end indicator present and operational.</t>
  </si>
  <si>
    <t>Audible exposure end indicator present and operational</t>
  </si>
  <si>
    <t>Exposure delay time is not excessive.</t>
  </si>
  <si>
    <t>HALF VALUE LAYER MEASUREMENT</t>
  </si>
  <si>
    <t>Measured HVL based on:</t>
  </si>
  <si>
    <t>Half Value Layer Measurement</t>
  </si>
  <si>
    <t>mm Al</t>
  </si>
  <si>
    <t>Set kVp:</t>
  </si>
  <si>
    <t>Al (mm)</t>
  </si>
  <si>
    <t>Meas. HVL:</t>
  </si>
  <si>
    <t>HVL</t>
  </si>
  <si>
    <t>MIN. HVL</t>
  </si>
  <si>
    <t>MAX. HVL</t>
  </si>
  <si>
    <t>* SDD = Source to Detector Distance.</t>
  </si>
  <si>
    <t>(mm Al)</t>
  </si>
  <si>
    <t>**ACCEPTABLE RESULTS (mm Al)</t>
  </si>
  <si>
    <t>Data Processing:</t>
  </si>
  <si>
    <t>mm Al.</t>
  </si>
  <si>
    <t>Avg. Exp.</t>
  </si>
  <si>
    <t>DATA (1/2)</t>
  </si>
  <si>
    <t>Data Al</t>
  </si>
  <si>
    <t>Acceptable (mm Al)</t>
  </si>
  <si>
    <t>Data Exp</t>
  </si>
  <si>
    <t>LN(EXP)</t>
  </si>
  <si>
    <t>LOW:</t>
  </si>
  <si>
    <t>DESIRED:</t>
  </si>
  <si>
    <t>HIGH:</t>
  </si>
  <si>
    <t>Output - Large Focal Spot</t>
  </si>
  <si>
    <t>Calculated</t>
  </si>
  <si>
    <t>(Using</t>
  </si>
  <si>
    <t>Current</t>
  </si>
  <si>
    <t>Previous* Measurements</t>
  </si>
  <si>
    <t>Current Meas.</t>
  </si>
  <si>
    <t>Recorded</t>
  </si>
  <si>
    <t>@ Current</t>
  </si>
  <si>
    <t>SDD (in.):</t>
  </si>
  <si>
    <t>Adjusted to</t>
  </si>
  <si>
    <t>Meas.</t>
  </si>
  <si>
    <t>meas. kVp</t>
  </si>
  <si>
    <t>40" SID)</t>
  </si>
  <si>
    <t>kVp)</t>
  </si>
  <si>
    <t>@40"</t>
  </si>
  <si>
    <t>Change</t>
  </si>
  <si>
    <t>@SDD</t>
  </si>
  <si>
    <t>LN(kVp)</t>
  </si>
  <si>
    <t>*From previous compliance report</t>
  </si>
  <si>
    <t>Output - Small Focal Spot</t>
  </si>
  <si>
    <t>Continuous pressure on exposure switch required to make an exposure with selected tube</t>
  </si>
  <si>
    <t>Operator has full visibility of the exposure factors and patient</t>
  </si>
  <si>
    <t>Lrg. Focus</t>
  </si>
  <si>
    <t>Sm. Focus</t>
  </si>
  <si>
    <t>**Patient exposure/dose measurements from the previous report were not posted at the time of inspection.  The exposure measurements provided with this report should be posted near the operator's console.</t>
  </si>
  <si>
    <t>**Tube loading charts for each focal spot were not available at the time of inspection.  These charts should be obtained and posted near the operator's console.</t>
  </si>
  <si>
    <t>**Operator's manuals for the imaging equipment were not available at the time of inspection.  These should be obtained and made available to the operator of the equipment.</t>
  </si>
  <si>
    <t>**Monthly radiation monitoring reports were not available at the time of inspection.  These should be posted in accordance with the requirements of the radiation safety office.</t>
  </si>
  <si>
    <t>DO NOT USE THIS SPACE</t>
  </si>
  <si>
    <t>COMMENTS PAGE 2</t>
  </si>
  <si>
    <t>Note:  Type all comments in the shaded cells.</t>
  </si>
  <si>
    <t>Do NOT exceed 390</t>
  </si>
  <si>
    <t>Input Changes Only</t>
  </si>
  <si>
    <t>AB188</t>
  </si>
  <si>
    <t>N1411</t>
  </si>
  <si>
    <t>NEW VALUES</t>
  </si>
  <si>
    <t>Tube Designation(column 1):</t>
  </si>
  <si>
    <t>Tube Designation(column 2):</t>
  </si>
  <si>
    <t>HVL Measured kVp:</t>
  </si>
  <si>
    <t>HVL Measured:</t>
  </si>
  <si>
    <t>No. Half Aprons:</t>
  </si>
  <si>
    <t>No. Full Aprons:</t>
  </si>
  <si>
    <t>No. Lead Gloves:</t>
  </si>
  <si>
    <t>COMMENT PAGE 1</t>
  </si>
  <si>
    <t>NEW</t>
  </si>
  <si>
    <t>Using</t>
  </si>
  <si>
    <t>throughout</t>
  </si>
  <si>
    <t xml:space="preserve">Use consistent units (cm/in.) </t>
  </si>
  <si>
    <t xml:space="preserve">NOTE: </t>
  </si>
  <si>
    <t>Large Focus Timer Reprod-1</t>
  </si>
  <si>
    <t>Large Focus Timer Reprod-2</t>
  </si>
  <si>
    <t>Small Focus Timer Reprod-1</t>
  </si>
  <si>
    <t>Small Focus Timer Reprod-2</t>
  </si>
  <si>
    <t xml:space="preserve">(cm) Source to Table </t>
  </si>
  <si>
    <t>M409</t>
  </si>
  <si>
    <t>M410</t>
  </si>
  <si>
    <t>M420</t>
  </si>
  <si>
    <t>M421</t>
  </si>
  <si>
    <t>Previous Year Comments:</t>
  </si>
  <si>
    <t>PRINT AREAS</t>
  </si>
  <si>
    <t xml:space="preserve">ALL:  </t>
  </si>
  <si>
    <t xml:space="preserve">REM: </t>
  </si>
  <si>
    <t>(2) Come back to this sheet and paste (use paste special, "values") into "LAST YEAR" range</t>
  </si>
  <si>
    <t>LAST</t>
  </si>
  <si>
    <t>THIS</t>
  </si>
  <si>
    <t>Measurement Parameter</t>
  </si>
  <si>
    <t>YEAR</t>
  </si>
  <si>
    <t>(Locked)</t>
  </si>
  <si>
    <t>RANGES:</t>
  </si>
  <si>
    <t>System Information</t>
  </si>
  <si>
    <t>Date:</t>
  </si>
  <si>
    <t>Inspector:</t>
  </si>
  <si>
    <t>Print Area:</t>
  </si>
  <si>
    <t>Last Year:</t>
  </si>
  <si>
    <t>Location</t>
  </si>
  <si>
    <t>Facility:</t>
  </si>
  <si>
    <t>Department:</t>
  </si>
  <si>
    <t>Authorized Use:</t>
  </si>
  <si>
    <t>Area/Division:</t>
  </si>
  <si>
    <t>Date of Installation:</t>
  </si>
  <si>
    <t>Number of X-ray Tubes:</t>
  </si>
  <si>
    <t>Room Number:</t>
  </si>
  <si>
    <t>X-Ray Generator</t>
  </si>
  <si>
    <t>Manufacturer:</t>
  </si>
  <si>
    <t>Date of Manufacture:</t>
  </si>
  <si>
    <t>Model:</t>
  </si>
  <si>
    <t>Serial Number:</t>
  </si>
  <si>
    <t>Max. kVp:</t>
  </si>
  <si>
    <t>Max. mA:</t>
  </si>
  <si>
    <t>Focal Spot Sizes</t>
  </si>
  <si>
    <t>X-Ray Tube 1</t>
  </si>
  <si>
    <t>Focal Spot Sizes (mm)</t>
  </si>
  <si>
    <t>Tube Designation/Use:</t>
  </si>
  <si>
    <t>Large:</t>
  </si>
  <si>
    <t>Small:</t>
  </si>
  <si>
    <t>Micro:</t>
  </si>
  <si>
    <t>Insert Manufacturer:</t>
  </si>
  <si>
    <t>Filtration</t>
  </si>
  <si>
    <t>Insert Model:</t>
  </si>
  <si>
    <t>Inherent:</t>
  </si>
  <si>
    <t>Insert Serial Number:</t>
  </si>
  <si>
    <t>Added:</t>
  </si>
  <si>
    <t>Housing Manufacturer:</t>
  </si>
  <si>
    <t>Image Receptor</t>
  </si>
  <si>
    <t>Housing Model:</t>
  </si>
  <si>
    <t>Film:</t>
  </si>
  <si>
    <t>Housing Serial Number:</t>
  </si>
  <si>
    <t>Screen:</t>
  </si>
  <si>
    <t/>
  </si>
  <si>
    <t>Inspection Results</t>
  </si>
  <si>
    <t>Rule Number</t>
  </si>
  <si>
    <t>Labels, Notices, Postings</t>
  </si>
  <si>
    <t>Compliance</t>
  </si>
  <si>
    <t>Enter 1 for YES, 2 for NO, 3 for NA</t>
  </si>
  <si>
    <t>Tube Number**</t>
  </si>
  <si>
    <t>for this room or</t>
  </si>
  <si>
    <t>generator</t>
  </si>
  <si>
    <t>Radiation warning label present on the generator control panel.</t>
  </si>
  <si>
    <r>
      <t xml:space="preserve">**Note:  Input </t>
    </r>
    <r>
      <rPr>
        <b/>
        <i/>
        <sz val="10"/>
        <rFont val="Times New Roman"/>
        <family val="1"/>
      </rPr>
      <t>only</t>
    </r>
    <r>
      <rPr>
        <sz val="10"/>
        <rFont val="Times New Roman"/>
        <family val="1"/>
      </rPr>
      <t xml:space="preserve"> one of the</t>
    </r>
  </si>
  <si>
    <t>Technique chart is present and accurate.</t>
  </si>
  <si>
    <t>DATE:</t>
  </si>
  <si>
    <t xml:space="preserve"> following numerals or names:</t>
  </si>
  <si>
    <t>Patient exposure/dose measurements are posted.</t>
  </si>
  <si>
    <t>Tube loading charts for each focal spot are posted.</t>
  </si>
  <si>
    <t>Technique chart present.</t>
  </si>
  <si>
    <t>Tube loading charts are correct for installed tube(s).</t>
  </si>
  <si>
    <t>Patient exposure/dose measurements posted.</t>
  </si>
  <si>
    <t>Operators manuals are available.</t>
  </si>
  <si>
    <t>Monthly radiation monitoring reports are posted.</t>
  </si>
  <si>
    <t>Table Bucky</t>
  </si>
  <si>
    <t>X-ray field and light field length/width are congruent within 2% SID.</t>
  </si>
  <si>
    <t>Tube Designation</t>
  </si>
  <si>
    <t>TB used?</t>
  </si>
  <si>
    <t>Beam alignment on table top?</t>
  </si>
  <si>
    <t>Transverse</t>
  </si>
  <si>
    <t>Longitudinal</t>
  </si>
  <si>
    <t>Generator</t>
  </si>
  <si>
    <t>Source to Table Top (cm)</t>
  </si>
  <si>
    <t>Table top to cassette (cm)</t>
  </si>
  <si>
    <t>Table bucky cm/in</t>
  </si>
  <si>
    <t>Bucky SID</t>
  </si>
  <si>
    <t>kVp</t>
  </si>
  <si>
    <t>kVp accurate to within 5% of indicated.</t>
  </si>
  <si>
    <t>mA</t>
  </si>
  <si>
    <t>Time</t>
  </si>
  <si>
    <t>Timer reproducibility coeff. of var. &lt; 5%.</t>
  </si>
  <si>
    <t>Exposure coefficient of linearity &lt; 10%.</t>
  </si>
  <si>
    <t>Radiation Safety</t>
  </si>
  <si>
    <t>Continuous pressure on exposure switch required to make an exposure.</t>
  </si>
  <si>
    <t>Exposure switch for selected tube is secured at a safe location</t>
  </si>
  <si>
    <t>Operator has full visibility of the exposure factors and patient.</t>
  </si>
  <si>
    <t>Lead aprons available.</t>
  </si>
  <si>
    <t>Lead gloves available.</t>
  </si>
  <si>
    <t>Number (Left + Right):</t>
  </si>
  <si>
    <t>A properly designed and installed apron rack is present.</t>
  </si>
  <si>
    <t>Documentation of annual protective apparel integrity inspection is available.</t>
  </si>
  <si>
    <t>Patient restraint devices available.</t>
  </si>
  <si>
    <t>Gonadal shielding is present and functional.</t>
  </si>
  <si>
    <t>Radiation warning light at room entrance is functional with selected tube</t>
  </si>
  <si>
    <t>X-ray Tube</t>
  </si>
  <si>
    <t>Focal spot resolution is within acceptable parameters</t>
  </si>
  <si>
    <t>The x-ray output @40" within +/-25% from previous measurements.</t>
  </si>
  <si>
    <t>X-RAY TUBE</t>
  </si>
  <si>
    <t>Large Focus:</t>
  </si>
  <si>
    <t>mA/mAs</t>
  </si>
  <si>
    <t>Physical Inspection</t>
  </si>
  <si>
    <t>SID</t>
  </si>
  <si>
    <t>System clean and free of debris.</t>
  </si>
  <si>
    <t>OFD</t>
  </si>
  <si>
    <t>All cables free from excessive wear or restraints.</t>
  </si>
  <si>
    <t>System free of missing or damaged components.</t>
  </si>
  <si>
    <t>Last year Lrg FS resolution</t>
  </si>
  <si>
    <t>Table movements and locks acceptable</t>
  </si>
  <si>
    <t>Previous 1 yr Lrg FS resolution</t>
  </si>
  <si>
    <t>Small Focus:</t>
  </si>
  <si>
    <t>Tube crane movements and locks acceptable.</t>
  </si>
  <si>
    <t>All other movements and locks functional.</t>
  </si>
  <si>
    <t>Last year Sm FS resolution</t>
  </si>
  <si>
    <t>Previous 1 yr Sm FS resolution</t>
  </si>
  <si>
    <t>Test Equipment Utilized:</t>
  </si>
  <si>
    <t>LFSDD</t>
  </si>
  <si>
    <t>SFSDD</t>
  </si>
  <si>
    <t>Timer</t>
  </si>
  <si>
    <t>Generator Type</t>
  </si>
  <si>
    <t>Timer Test Valid?</t>
  </si>
  <si>
    <t>Large Focus Output</t>
  </si>
  <si>
    <t>SDD(in.)</t>
  </si>
  <si>
    <t>Exposure/Dose Measurement</t>
  </si>
  <si>
    <t>Small Focus Output</t>
  </si>
  <si>
    <t>Comments:</t>
  </si>
  <si>
    <t>Measurement Data</t>
  </si>
  <si>
    <t>Percent</t>
  </si>
  <si>
    <t>Accuracy</t>
  </si>
  <si>
    <t>Indicated</t>
  </si>
  <si>
    <t>Measured</t>
  </si>
  <si>
    <t>Error</t>
  </si>
  <si>
    <t>Acceptable:</t>
  </si>
  <si>
    <t>Criteria:</t>
  </si>
  <si>
    <t>mAs</t>
  </si>
  <si>
    <t>COMMENT PAGE 2</t>
  </si>
  <si>
    <t>Enter 1 for YES, 2 for NO</t>
  </si>
  <si>
    <t>Beam Alignment</t>
  </si>
  <si>
    <t>kVp:</t>
  </si>
  <si>
    <t>mA:</t>
  </si>
  <si>
    <t>mAs:</t>
  </si>
  <si>
    <t xml:space="preserve">Push button to select cm/in.       </t>
  </si>
  <si>
    <t>Bucky SID:</t>
  </si>
  <si>
    <t>cm</t>
  </si>
  <si>
    <t>Last Year</t>
  </si>
  <si>
    <t>New</t>
  </si>
  <si>
    <t>Indicated Field Size @SID</t>
  </si>
  <si>
    <t>Measured* Radiation</t>
  </si>
  <si>
    <t>Field Size Indicators</t>
  </si>
  <si>
    <t>Error (% SID)</t>
  </si>
  <si>
    <t>*Dimension of highest optical density region</t>
  </si>
  <si>
    <t>**Dimension between the image of the coins marking the edge of the light field</t>
  </si>
  <si>
    <t>Acceptable</t>
  </si>
  <si>
    <t>New Values</t>
  </si>
  <si>
    <t>The indicated field length/width are accurate to within 2% of the SID.</t>
  </si>
  <si>
    <t>COMMENTS</t>
  </si>
  <si>
    <t>Focal Spot Resolution</t>
  </si>
  <si>
    <t>Large Focus kV accuracy</t>
  </si>
  <si>
    <t>Small Focus kV accuracy</t>
  </si>
  <si>
    <t>Exposure Timer</t>
  </si>
  <si>
    <t>Large Focus Linearity</t>
  </si>
  <si>
    <t>Small Focus Linearity</t>
  </si>
  <si>
    <t>Half Value Layer</t>
  </si>
  <si>
    <t>1 Year</t>
  </si>
  <si>
    <t>2 Year</t>
  </si>
  <si>
    <t>Previous</t>
  </si>
  <si>
    <t>mm</t>
  </si>
  <si>
    <t>Resolution</t>
  </si>
  <si>
    <t>time</t>
  </si>
  <si>
    <t>SID*</t>
  </si>
  <si>
    <t>OFD**</t>
  </si>
  <si>
    <t>Magnification</t>
  </si>
  <si>
    <t>(lp/mm)</t>
  </si>
  <si>
    <t>New Values:</t>
  </si>
  <si>
    <t>* SID = Source to Image (film) Distance.</t>
  </si>
  <si>
    <t>** OFD = Object (resolution pattern) to Film Distance.</t>
  </si>
  <si>
    <t>No significant change in resolution since previous measurement.</t>
  </si>
  <si>
    <t>Generator Performance</t>
  </si>
  <si>
    <t>Y2</t>
  </si>
  <si>
    <t>O8</t>
  </si>
  <si>
    <t>V8</t>
  </si>
  <si>
    <t>P11</t>
  </si>
  <si>
    <t>P12</t>
  </si>
  <si>
    <t>P13</t>
  </si>
  <si>
    <t>P14</t>
  </si>
  <si>
    <t>P15</t>
  </si>
  <si>
    <t>P18</t>
  </si>
  <si>
    <t>P19</t>
  </si>
  <si>
    <t>P20</t>
  </si>
  <si>
    <t>P24</t>
  </si>
  <si>
    <t>P25</t>
  </si>
  <si>
    <t>P27</t>
  </si>
  <si>
    <t>P28</t>
  </si>
  <si>
    <t>P29</t>
  </si>
  <si>
    <t>P31</t>
  </si>
  <si>
    <t>P32</t>
  </si>
  <si>
    <t>P33</t>
  </si>
  <si>
    <t>T11</t>
  </si>
  <si>
    <t>T12</t>
  </si>
  <si>
    <t>T13</t>
  </si>
  <si>
    <t>T14</t>
  </si>
  <si>
    <t>T18</t>
  </si>
  <si>
    <t>T19</t>
  </si>
  <si>
    <t>T20</t>
  </si>
  <si>
    <t>T24</t>
  </si>
  <si>
    <t>T25</t>
  </si>
  <si>
    <t>T26</t>
  </si>
  <si>
    <t>T28</t>
  </si>
  <si>
    <t>T29</t>
  </si>
  <si>
    <t>T32</t>
  </si>
  <si>
    <t>T33</t>
  </si>
  <si>
    <t>U54</t>
  </si>
  <si>
    <t>V423</t>
  </si>
  <si>
    <t>U423</t>
  </si>
  <si>
    <t>P1397</t>
  </si>
  <si>
    <t>P1398</t>
  </si>
  <si>
    <t>P1399</t>
  </si>
  <si>
    <t>P1400</t>
  </si>
  <si>
    <t>P1401</t>
  </si>
  <si>
    <t>P1402</t>
  </si>
  <si>
    <t>P1403</t>
  </si>
  <si>
    <t>P1404</t>
  </si>
  <si>
    <t>R1397</t>
  </si>
  <si>
    <t>R1398</t>
  </si>
  <si>
    <t>R1399</t>
  </si>
  <si>
    <t>R1400</t>
  </si>
  <si>
    <t>R1401</t>
  </si>
  <si>
    <t>R1402</t>
  </si>
  <si>
    <t>R1403</t>
  </si>
  <si>
    <t>R1404</t>
  </si>
  <si>
    <t>P1414</t>
  </si>
  <si>
    <t>P1415</t>
  </si>
  <si>
    <t>P1416</t>
  </si>
  <si>
    <t>P1417</t>
  </si>
  <si>
    <t>P1418</t>
  </si>
  <si>
    <t>P1419</t>
  </si>
  <si>
    <t>R1414</t>
  </si>
  <si>
    <t>R1415</t>
  </si>
  <si>
    <t>R1416</t>
  </si>
  <si>
    <t>R1417</t>
  </si>
  <si>
    <t>R1418</t>
  </si>
  <si>
    <t>R1419</t>
  </si>
  <si>
    <t>O223</t>
  </si>
  <si>
    <t>O233</t>
  </si>
  <si>
    <t>O369</t>
  </si>
  <si>
    <t>U59</t>
  </si>
  <si>
    <t>U60</t>
  </si>
  <si>
    <t>U61</t>
  </si>
  <si>
    <t>U62</t>
  </si>
  <si>
    <t>U63</t>
  </si>
  <si>
    <t>U64</t>
  </si>
  <si>
    <t>U65</t>
  </si>
  <si>
    <t>V59</t>
  </si>
  <si>
    <t>V60</t>
  </si>
  <si>
    <t>V61</t>
  </si>
  <si>
    <t>V62</t>
  </si>
  <si>
    <t>V63</t>
  </si>
  <si>
    <t>V64</t>
  </si>
  <si>
    <t>V65</t>
  </si>
  <si>
    <t>(1) Go to last year's spreadsheet (see "**Note", below) and copy from ITS "THIS YEAR" range</t>
  </si>
  <si>
    <t>Cell AD6</t>
  </si>
  <si>
    <t>LASTYEAR (Data, starting with cell AB8)</t>
  </si>
  <si>
    <t>THISYEAR  (Data, starting with cell AD8)</t>
  </si>
  <si>
    <t>Contact/access Info.:</t>
  </si>
  <si>
    <t>T1</t>
  </si>
  <si>
    <t>T2</t>
  </si>
  <si>
    <t>T3</t>
  </si>
  <si>
    <t>T4</t>
  </si>
  <si>
    <t>T5</t>
  </si>
  <si>
    <t>T6</t>
  </si>
  <si>
    <t>Max</t>
  </si>
  <si>
    <t>Median</t>
  </si>
  <si>
    <t>Min.</t>
  </si>
  <si>
    <t>Combined Comments:</t>
  </si>
  <si>
    <t>pulse</t>
  </si>
  <si>
    <t>25-60 pulses</t>
  </si>
  <si>
    <t>&gt;60 pulses</t>
  </si>
  <si>
    <t>&lt; =4 pulses</t>
  </si>
  <si>
    <t>5-24 pulses</t>
  </si>
  <si>
    <t>Spot film exposure blocked when there is no cassette</t>
  </si>
  <si>
    <t>Spot film exposure blocked when serial exposures are completed</t>
  </si>
  <si>
    <t>Spot film device provides acceptable centering to the image receptor</t>
  </si>
  <si>
    <t>21CFR 1020.31(g)(4)</t>
  </si>
  <si>
    <t>Medical University of South Carolina</t>
  </si>
  <si>
    <t>Charleston, South Carolina</t>
  </si>
  <si>
    <t>Survey ID:</t>
  </si>
  <si>
    <t>Site:</t>
  </si>
  <si>
    <t>JCAHO</t>
  </si>
  <si>
    <t>HF</t>
  </si>
  <si>
    <t>Meets minimum HVL criteria:</t>
  </si>
  <si>
    <t>Meets min HVL:</t>
  </si>
  <si>
    <t>mGy</t>
  </si>
  <si>
    <t>mGy/mAs</t>
  </si>
  <si>
    <t>LN(mGy/mAs)</t>
  </si>
  <si>
    <t>mGy/mAs Output</t>
  </si>
  <si>
    <t>(mGy/mAs)adj1 - (mGy/mAs)adj2</t>
  </si>
  <si>
    <t>(mGy/mAs)adj1 + (mGy/mAs)adj2</t>
  </si>
  <si>
    <t>(mGy/mAs)max - (mGy/mAs)min</t>
  </si>
  <si>
    <t>(mGy/mAs)max + (mGy/mAs)min</t>
  </si>
  <si>
    <t>LFS Output Slope:</t>
  </si>
  <si>
    <t>SFS Output Slope:</t>
  </si>
  <si>
    <t>Overall Slope:</t>
  </si>
  <si>
    <t>Huttner Grating</t>
  </si>
  <si>
    <t>kVp and Exposure Reproducibility</t>
  </si>
  <si>
    <t>Large Focus kV, Exposure, Timer Reproducibility</t>
  </si>
  <si>
    <t>Small Focus kV, Exposure, Timer Reproducibility</t>
  </si>
  <si>
    <t>Software Version:</t>
  </si>
  <si>
    <t>LFS</t>
  </si>
  <si>
    <t>SFS</t>
  </si>
  <si>
    <t>Collimation table</t>
  </si>
  <si>
    <t>LFS Output</t>
  </si>
  <si>
    <t>SFS Output</t>
  </si>
  <si>
    <t>Gen Test</t>
  </si>
  <si>
    <t>Sheet</t>
  </si>
  <si>
    <t>RAD</t>
  </si>
  <si>
    <t>SurveyID</t>
  </si>
  <si>
    <t>Piranha CB2-17090320</t>
  </si>
  <si>
    <t>Calibration Date:</t>
  </si>
  <si>
    <t>kVp and exposure reproducibility coeff. of var. &lt; 5%.</t>
  </si>
  <si>
    <t>Calibration Due:</t>
  </si>
  <si>
    <t>Is this a new installation?</t>
  </si>
  <si>
    <t>New install?</t>
  </si>
  <si>
    <t>M52</t>
  </si>
  <si>
    <t>Radiation Oncology IGRT Compliance Inspection</t>
  </si>
  <si>
    <t xml:space="preserve">(cm) Table top to receptor </t>
  </si>
  <si>
    <t>IMAGE RECEPTOR</t>
  </si>
  <si>
    <t>P231</t>
  </si>
  <si>
    <t>P233</t>
  </si>
  <si>
    <t>Q233</t>
  </si>
  <si>
    <t>R233</t>
  </si>
  <si>
    <t>S233</t>
  </si>
  <si>
    <t>U233</t>
  </si>
  <si>
    <t>V233</t>
  </si>
  <si>
    <t>P236</t>
  </si>
  <si>
    <t>O238</t>
  </si>
  <si>
    <t>P238</t>
  </si>
  <si>
    <t>Q238</t>
  </si>
  <si>
    <t>R238</t>
  </si>
  <si>
    <t>S238</t>
  </si>
  <si>
    <t>U238</t>
  </si>
  <si>
    <t>V238</t>
  </si>
  <si>
    <t>O251</t>
  </si>
  <si>
    <t>N257</t>
  </si>
  <si>
    <t>N275</t>
  </si>
  <si>
    <t>M370</t>
  </si>
  <si>
    <t>COMMENTS PAGE 1</t>
  </si>
  <si>
    <t>Is this tube used with a table bucky or other horizontal type film  image receptor?</t>
  </si>
  <si>
    <t>Mag. Correction - Is beam alignment test being done with the film on the table top?</t>
  </si>
  <si>
    <t>P21</t>
  </si>
  <si>
    <t>Indicated field size</t>
  </si>
  <si>
    <t>Transverse 1</t>
  </si>
  <si>
    <t>Longitudinal 1</t>
  </si>
  <si>
    <t>Transverse 2</t>
  </si>
  <si>
    <t>Longitudinal 2</t>
  </si>
  <si>
    <t>M192</t>
  </si>
  <si>
    <t>N192</t>
  </si>
  <si>
    <t>M193</t>
  </si>
  <si>
    <t>N193</t>
  </si>
  <si>
    <t>A</t>
  </si>
  <si>
    <t>P543</t>
  </si>
  <si>
    <t>COMPUTED TOMOGRAPHY</t>
  </si>
  <si>
    <t>Measurement Protocols</t>
  </si>
  <si>
    <t>Abdomen</t>
  </si>
  <si>
    <t>Head</t>
  </si>
  <si>
    <t>Protocol name</t>
  </si>
  <si>
    <t>Eff mAs</t>
  </si>
  <si>
    <t>Time/rotation (s)</t>
  </si>
  <si>
    <t>Scan FOV (cm)</t>
  </si>
  <si>
    <t>Display FOV (cm)</t>
  </si>
  <si>
    <t>Reconstruction Algorithm</t>
  </si>
  <si>
    <t>Axial/Helical</t>
  </si>
  <si>
    <t>Z-Axis collimation</t>
  </si>
  <si>
    <t># of channels</t>
  </si>
  <si>
    <t>Table Increment/speed</t>
  </si>
  <si>
    <t>Pitch</t>
  </si>
  <si>
    <t>Recon scan width (mm)</t>
  </si>
  <si>
    <t>Recon scan interval (mm)</t>
  </si>
  <si>
    <t>Dose reduction techniques</t>
  </si>
  <si>
    <t>Indiated CTDIvol (mGy)</t>
  </si>
  <si>
    <t>Adult Abdomen</t>
  </si>
  <si>
    <t>Adult Chest</t>
  </si>
  <si>
    <t>Adult Head</t>
  </si>
  <si>
    <t>CT Protocols</t>
  </si>
  <si>
    <t>O577</t>
  </si>
  <si>
    <t>P577</t>
  </si>
  <si>
    <t>Q577</t>
  </si>
  <si>
    <t>CTDI Measurements</t>
  </si>
  <si>
    <t>Phantom size used (cm)</t>
  </si>
  <si>
    <t>Previous year:</t>
  </si>
  <si>
    <t>Variation from prev year:</t>
  </si>
  <si>
    <t>Variation from indicated:</t>
  </si>
  <si>
    <t>CTDIvol/100 mAs:</t>
  </si>
  <si>
    <t>Prev CTDIvol/100 mAs:</t>
  </si>
  <si>
    <t>CTDI is within 5% of previous year.</t>
  </si>
  <si>
    <t>Measured CTDI is within 20% of indicated CTDI</t>
  </si>
  <si>
    <t>CTDIvol/100 mAs</t>
  </si>
  <si>
    <t>Reference</t>
  </si>
  <si>
    <t>Pass/Fail</t>
  </si>
  <si>
    <t>(mGy)</t>
  </si>
  <si>
    <t>Adult Head:</t>
  </si>
  <si>
    <t>Ped Abd (16cm)</t>
  </si>
  <si>
    <t>Ped Abd (32cm)</t>
  </si>
  <si>
    <t>Pediatric Head:</t>
  </si>
  <si>
    <t>Top:</t>
  </si>
  <si>
    <t>Bottom:</t>
  </si>
  <si>
    <t>Right:</t>
  </si>
  <si>
    <t>Left:</t>
  </si>
  <si>
    <t>Indicated CTDIvol (mGy):</t>
  </si>
  <si>
    <t>Phantom size used (cm):</t>
  </si>
  <si>
    <t>Variation from previous year:</t>
  </si>
  <si>
    <t>Variation from indicated CTDI:</t>
  </si>
  <si>
    <t>Protocols</t>
  </si>
  <si>
    <t>Center (mGy)</t>
  </si>
  <si>
    <t>Periphery (mGy)</t>
  </si>
  <si>
    <t>Chamber length (mm):</t>
  </si>
  <si>
    <t>Chamber correction factor:</t>
  </si>
  <si>
    <t>Z-Axis collimation (T):</t>
  </si>
  <si>
    <t># of channels (N):</t>
  </si>
  <si>
    <t>Pitch (p):</t>
  </si>
  <si>
    <t>Protocol name:</t>
  </si>
  <si>
    <t>Rotation time (s):</t>
  </si>
  <si>
    <t>Scan FOV (cm):</t>
  </si>
  <si>
    <t>Display FOV (cm):</t>
  </si>
  <si>
    <t>Reconstruction algorithm:</t>
  </si>
  <si>
    <t>Axial (A)/Helical (H):</t>
  </si>
  <si>
    <t>Recon scan width (mm):</t>
  </si>
  <si>
    <t>Recon scan interval (mm):</t>
  </si>
  <si>
    <t>Dose reduction techniques:</t>
  </si>
  <si>
    <t>Indiated CTDIvol (mGy):</t>
  </si>
  <si>
    <t>Table Increment/speed (I):</t>
  </si>
  <si>
    <t>Center (mGy):</t>
  </si>
  <si>
    <t>Periphery (mGy):</t>
  </si>
  <si>
    <t>OPERATIONAL NOTES</t>
  </si>
  <si>
    <t>Isocenter is 100 cm from focal spot</t>
  </si>
  <si>
    <t>Collimator blade locations and field sizes are referenced to isocenter.</t>
  </si>
  <si>
    <t>Use 5x5cm field size for exposure/kV measurements.</t>
  </si>
  <si>
    <t>For generator check, align kV/exposure detectors at isocenter.</t>
  </si>
  <si>
    <t>mAs/pulse:</t>
  </si>
  <si>
    <t>Pelvis</t>
  </si>
  <si>
    <t>Center average (mGy):</t>
  </si>
  <si>
    <t>Periphery average (mGy):</t>
  </si>
  <si>
    <t>Planar average dose f(0):</t>
  </si>
  <si>
    <t>f(0)/100 mAs:</t>
  </si>
  <si>
    <t>FIRST,EXP_BLD,FS_KV,REPRO,LIN,HVL_IMGQUAL,OUTPUT,CTPG1</t>
  </si>
  <si>
    <t>Piranha 1</t>
  </si>
  <si>
    <t>Measurements</t>
  </si>
  <si>
    <t>Set kV_x000D_(kV)</t>
  </si>
  <si>
    <t>CT phantom type</t>
  </si>
  <si>
    <t>Set Added filtr._x000D_(mm Al)</t>
  </si>
  <si>
    <t>Exposure time_x000D_(ms)</t>
  </si>
  <si>
    <t>Exposure_x000D_(mGy)</t>
  </si>
  <si>
    <t>Exposure rate_x000D_(mGy/s)</t>
  </si>
  <si>
    <t>125 kV Half Fan</t>
  </si>
  <si>
    <t>125 kV Full fan</t>
  </si>
  <si>
    <t>140 kV Half fan</t>
  </si>
  <si>
    <t>100 kV full fan</t>
  </si>
  <si>
    <t>mAs/pulse</t>
  </si>
  <si>
    <t>Pulse mA</t>
  </si>
  <si>
    <t>Pulse ms</t>
  </si>
  <si>
    <t>Pulse rate</t>
  </si>
  <si>
    <t>X1</t>
  </si>
  <si>
    <t>X2</t>
  </si>
  <si>
    <t>Y1</t>
  </si>
  <si>
    <t>Center</t>
  </si>
  <si>
    <t>Top</t>
  </si>
  <si>
    <t>Bottom</t>
  </si>
  <si>
    <t>Left</t>
  </si>
  <si>
    <t>Right</t>
  </si>
  <si>
    <t>Piranha CB2-19020491</t>
  </si>
  <si>
    <t>DES RHB 2.5.1.1</t>
  </si>
  <si>
    <t>DES registration sticker is present, clearly visible and legible.</t>
  </si>
  <si>
    <t>DES RHB 10.2.1</t>
  </si>
  <si>
    <t>DES form SC-RHA-20 "Notice to Employees" posted or referenced.</t>
  </si>
  <si>
    <t>DES RHB 4.2.7</t>
  </si>
  <si>
    <t>DES RHB 4.3.1</t>
  </si>
  <si>
    <t>DES RHB 4.2.6</t>
  </si>
  <si>
    <t>DES RHB 4.3.9.1</t>
  </si>
  <si>
    <t>DES RHB 4.3.7</t>
  </si>
  <si>
    <t>DES RHB 4.3.9.3</t>
  </si>
  <si>
    <t>DES RHB 4.7.4.2.4</t>
  </si>
  <si>
    <t>DES RHB 4.7.7</t>
  </si>
  <si>
    <t>**The DES registration tag was not present on the system or was damaged and should be replaced.  Arrangements must be made with the Radiation Safety Office to obtain the required registration tag.</t>
  </si>
  <si>
    <t>DES RHB 4.7.5</t>
  </si>
  <si>
    <t>**A technique chart was not posted in the room.  A technique chart reflecting techniques currently used with the CR system must be provided (DES RHB 4.2.8).</t>
  </si>
  <si>
    <t>DES 4.7.4.2.7</t>
  </si>
  <si>
    <t>DES RHB 4.7.8</t>
  </si>
  <si>
    <t>DES RHB 4.7.4.2.1</t>
  </si>
  <si>
    <t>DES RHB 4.7.4.2.2</t>
  </si>
  <si>
    <t>DES RHB 4.7.4.2.5</t>
  </si>
  <si>
    <t>DES RHB 4.2.14.7</t>
  </si>
  <si>
    <t>DES RHB 4.2.12</t>
  </si>
  <si>
    <t>Change to DES Standards?</t>
  </si>
  <si>
    <t>(Type 1 to base acceptance on DES criteria)</t>
  </si>
  <si>
    <t>Set mA_x000D_(mA)</t>
  </si>
  <si>
    <t>Set mAs_x000D_(mAs)</t>
  </si>
  <si>
    <t>Set time_x000D_(s)</t>
  </si>
  <si>
    <t>Added Filt</t>
  </si>
  <si>
    <t>Focal spot</t>
  </si>
  <si>
    <t>Tube voltage_x000D_(kV)</t>
  </si>
  <si>
    <t>Exposure time_x000D_(s)</t>
  </si>
  <si>
    <t>Total filtr._x000D_(mm Al)</t>
  </si>
  <si>
    <t>HVL_x000D_(mm Al)</t>
  </si>
  <si>
    <t>Exposure (norm)_x000D_(mGy)</t>
  </si>
  <si>
    <t>Exposure rate (norm)_x000D_(mGy/s)</t>
  </si>
  <si>
    <t>Waveforms</t>
  </si>
  <si>
    <t>Avg kV</t>
  </si>
  <si>
    <t>O583</t>
  </si>
  <si>
    <t>P583</t>
  </si>
  <si>
    <t>Q583</t>
  </si>
  <si>
    <t>S464</t>
  </si>
  <si>
    <t>S465</t>
  </si>
  <si>
    <t>R520</t>
  </si>
  <si>
    <t>T520</t>
  </si>
  <si>
    <t>R521</t>
  </si>
  <si>
    <t>P542</t>
  </si>
  <si>
    <t>P544</t>
  </si>
  <si>
    <t>P545</t>
  </si>
  <si>
    <t>P546</t>
  </si>
  <si>
    <t>P547</t>
  </si>
  <si>
    <t>P548</t>
  </si>
  <si>
    <t>P549</t>
  </si>
  <si>
    <t>P550</t>
  </si>
  <si>
    <t>P551</t>
  </si>
  <si>
    <t>P552</t>
  </si>
  <si>
    <t>P553</t>
  </si>
  <si>
    <t>P554</t>
  </si>
  <si>
    <t>P555</t>
  </si>
  <si>
    <t>P556</t>
  </si>
  <si>
    <t>P557</t>
  </si>
  <si>
    <t>P558</t>
  </si>
  <si>
    <t>P559</t>
  </si>
  <si>
    <t>Q542</t>
  </si>
  <si>
    <t>Q543</t>
  </si>
  <si>
    <t>Q544</t>
  </si>
  <si>
    <t>Q545</t>
  </si>
  <si>
    <t>Q546</t>
  </si>
  <si>
    <t>Q547</t>
  </si>
  <si>
    <t>Q548</t>
  </si>
  <si>
    <t>Q549</t>
  </si>
  <si>
    <t>Q550</t>
  </si>
  <si>
    <t>Q551</t>
  </si>
  <si>
    <t>Q552</t>
  </si>
  <si>
    <t>Q553</t>
  </si>
  <si>
    <t>Q554</t>
  </si>
  <si>
    <t>Q555</t>
  </si>
  <si>
    <t>Q556</t>
  </si>
  <si>
    <t>Q557</t>
  </si>
  <si>
    <t>Q558</t>
  </si>
  <si>
    <t>Q559</t>
  </si>
  <si>
    <t>R542</t>
  </si>
  <si>
    <t>R543</t>
  </si>
  <si>
    <t>R544</t>
  </si>
  <si>
    <t>R545</t>
  </si>
  <si>
    <t>R546</t>
  </si>
  <si>
    <t>R547</t>
  </si>
  <si>
    <t>R548</t>
  </si>
  <si>
    <t>R549</t>
  </si>
  <si>
    <t>R550</t>
  </si>
  <si>
    <t>R551</t>
  </si>
  <si>
    <t>R552</t>
  </si>
  <si>
    <t>R553</t>
  </si>
  <si>
    <t>R554</t>
  </si>
  <si>
    <t>R555</t>
  </si>
  <si>
    <t>R556</t>
  </si>
  <si>
    <t>R557</t>
  </si>
  <si>
    <t>R558</t>
  </si>
  <si>
    <t>R559</t>
  </si>
  <si>
    <t>O79</t>
  </si>
  <si>
    <t>O81</t>
  </si>
  <si>
    <t>O83</t>
  </si>
  <si>
    <t>O85</t>
  </si>
  <si>
    <t>O87</t>
  </si>
  <si>
    <t>O89</t>
  </si>
  <si>
    <t>O91</t>
  </si>
  <si>
    <t>O93</t>
  </si>
  <si>
    <t>O95</t>
  </si>
  <si>
    <t>O114</t>
  </si>
  <si>
    <t>O116</t>
  </si>
  <si>
    <t>O118</t>
  </si>
  <si>
    <t>O120</t>
  </si>
  <si>
    <t>O122</t>
  </si>
  <si>
    <t>O124</t>
  </si>
  <si>
    <t>O126</t>
  </si>
  <si>
    <t>O128</t>
  </si>
  <si>
    <t>O130</t>
  </si>
  <si>
    <t>O132</t>
  </si>
  <si>
    <t>O134</t>
  </si>
  <si>
    <t>O136</t>
  </si>
  <si>
    <t>O138</t>
  </si>
  <si>
    <t>O140</t>
  </si>
  <si>
    <t>O142</t>
  </si>
  <si>
    <t>O144</t>
  </si>
  <si>
    <t>O146</t>
  </si>
  <si>
    <t>O148</t>
  </si>
  <si>
    <t>O150</t>
  </si>
  <si>
    <t>O243</t>
  </si>
  <si>
    <t>O259</t>
  </si>
  <si>
    <t>O291</t>
  </si>
  <si>
    <t>O293</t>
  </si>
  <si>
    <t>O310</t>
  </si>
  <si>
    <t>O312</t>
  </si>
  <si>
    <t>O350</t>
  </si>
  <si>
    <t>O395</t>
  </si>
  <si>
    <t>O410</t>
  </si>
  <si>
    <t>O460</t>
  </si>
  <si>
    <t>FIRST,COMPG1,COMPG2,EXP_BLD,FS_KV,TIM,REPRO,LIN,HVL_IMGQUAL,OUTPUT,CTPG1</t>
  </si>
  <si>
    <t>Revision 0.2-20260319  (Has 39 data records)</t>
  </si>
  <si>
    <t>RTI Piranha</t>
  </si>
  <si>
    <t>Piranha 1 CB2-17090320</t>
  </si>
  <si>
    <t>Piranha 2</t>
  </si>
  <si>
    <t>Piranha 2 CB2-19020491</t>
  </si>
  <si>
    <t>RTI DAP chamber</t>
  </si>
  <si>
    <t>DAP 1</t>
  </si>
  <si>
    <t>DAP 1 2501554</t>
  </si>
  <si>
    <t>DAP 2</t>
  </si>
  <si>
    <t>DAP 2 2501555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</si>
</sst>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164" formatCode="0.0000"/>
    <numFmt numFmtId="165" formatCode="0.000#"/>
    <numFmt numFmtId="166" formatCode="0.0"/>
    <numFmt numFmtId="167" formatCode="#,##0.0#"/>
    <numFmt numFmtId="168" formatCode="##0.0%"/>
    <numFmt numFmtId="169" formatCode="mmm\-yyyy"/>
    <numFmt numFmtId="170" formatCode="0.0#"/>
    <numFmt numFmtId="171" formatCode="0.##"/>
    <numFmt numFmtId="172" formatCode="#.##"/>
    <numFmt numFmtId="173" formatCode="0.000"/>
    <numFmt numFmtId="174" formatCode="#"/>
    <numFmt numFmtId="175" formatCode="#.00"/>
    <numFmt numFmtId="176" formatCode="#.0#"/>
    <numFmt numFmtId="177" formatCode="0.000000"/>
    <numFmt numFmtId="178" formatCode="0.0%"/>
    <numFmt numFmtId="179" formatCode="mmm\-d\-yy"/>
    <numFmt numFmtId="180" formatCode="#.#"/>
    <numFmt numFmtId="181" formatCode="[$-409]mmm/yy;@"/>
    <numFmt numFmtId="182" formatCode="[$-409]d/mmm/yyyy;@"/>
    <numFmt numFmtId="183" formatCode="[$-409]d\-mmm\-yyyy;@"/>
    <numFmt numFmtId="184" formatCode="#.0"/>
  </numFmts>
  <fonts count="54">
    <font>
      <sz val="12"/>
      <name val="Times New Roman"/>
      <family val="1"/>
    </font>
    <font>
      <sz val="10"/>
      <name val="MS Sans Serif"/>
      <family val="2"/>
    </font>
    <font>
      <b/>
      <sz val="9"/>
      <name val="Times New Roman"/>
      <family val="1"/>
    </font>
    <font>
      <sz val="9"/>
      <name val="Times New Roman"/>
      <family val="1"/>
    </font>
    <font>
      <u/>
      <sz val="9"/>
      <name val="Times New Roman"/>
      <family val="1"/>
    </font>
    <font>
      <sz val="12"/>
      <name val="Times New Roman"/>
      <family val="1"/>
    </font>
    <font>
      <b/>
      <i/>
      <sz val="14"/>
      <name val="Monotype Corsiva"/>
      <family val="4"/>
    </font>
    <font>
      <b/>
      <u/>
      <sz val="10"/>
      <name val="Times New Roman"/>
      <family val="1"/>
    </font>
    <font>
      <sz val="10"/>
      <name val="Times New Roman"/>
      <family val="1"/>
    </font>
    <font>
      <sz val="8"/>
      <name val="Times New Roman"/>
      <family val="1"/>
    </font>
    <font>
      <b/>
      <sz val="14"/>
      <name val="Times New Roman"/>
      <family val="1"/>
    </font>
    <font>
      <u/>
      <sz val="10"/>
      <name val="Times New Roman"/>
      <family val="1"/>
    </font>
    <font>
      <b/>
      <sz val="10"/>
      <name val="Times New Roman"/>
      <family val="1"/>
    </font>
    <font>
      <b/>
      <i/>
      <sz val="16"/>
      <name val="Monotype Corsiva"/>
      <family val="4"/>
    </font>
    <font>
      <b/>
      <sz val="12"/>
      <name val="Times New Roman"/>
      <family val="1"/>
    </font>
    <font>
      <sz val="18"/>
      <name val="Times New Roman"/>
      <family val="1"/>
    </font>
    <font>
      <b/>
      <u/>
      <sz val="12"/>
      <name val="Times New Roman"/>
      <family val="1"/>
    </font>
    <font>
      <b/>
      <sz val="8"/>
      <name val="Times New Roman"/>
      <family val="1"/>
    </font>
    <font>
      <sz val="8"/>
      <name val="Times New Roman"/>
      <family val="1"/>
    </font>
    <font>
      <u/>
      <sz val="10"/>
      <name val="Times New Roman"/>
      <family val="1"/>
    </font>
    <font>
      <b/>
      <u/>
      <sz val="10"/>
      <name val="Times New Roman"/>
      <family val="1"/>
    </font>
    <font>
      <sz val="10"/>
      <name val="Times New Roman"/>
      <family val="1"/>
    </font>
    <font>
      <b/>
      <sz val="10"/>
      <name val="Times New Roman"/>
      <family val="1"/>
    </font>
    <font>
      <b/>
      <i/>
      <sz val="10"/>
      <name val="Times New Roman"/>
      <family val="1"/>
    </font>
    <font>
      <sz val="9"/>
      <name val="Times New Roman"/>
      <family val="1"/>
    </font>
    <font>
      <b/>
      <sz val="10"/>
      <color indexed="10"/>
      <name val="Times New Roman"/>
      <family val="1"/>
    </font>
    <font>
      <sz val="10"/>
      <color indexed="10"/>
      <name val="Times New Roman"/>
      <family val="1"/>
    </font>
    <font>
      <sz val="11"/>
      <color indexed="10"/>
      <name val="Times New Roman"/>
      <family val="1"/>
    </font>
    <font>
      <sz val="10"/>
      <name val="TimesNewRomanPS"/>
      <family val="1"/>
    </font>
    <font>
      <sz val="10"/>
      <color indexed="10"/>
      <name val="TimesNewRomanPS"/>
      <family val="1"/>
    </font>
    <font>
      <b/>
      <sz val="10"/>
      <name val="TimesNewRomanPS"/>
      <family val="1"/>
    </font>
    <font>
      <b/>
      <sz val="10"/>
      <color indexed="39"/>
      <name val="Times New Roman"/>
      <family val="1"/>
    </font>
    <font>
      <sz val="10"/>
      <color indexed="39"/>
      <name val="TimesNewRomanPS"/>
      <family val="1"/>
    </font>
    <font>
      <b/>
      <sz val="8"/>
      <color indexed="10"/>
      <name val="Times New Roman"/>
      <family val="1"/>
    </font>
    <font>
      <b/>
      <sz val="12"/>
      <name val="Times New Roman"/>
      <family val="1"/>
    </font>
    <font>
      <sz val="8"/>
      <color indexed="81"/>
      <name val="Tahoma"/>
      <family val="2"/>
    </font>
    <font>
      <sz val="10"/>
      <color indexed="12"/>
      <name val="Times New Roman"/>
      <family val="1"/>
    </font>
    <font>
      <sz val="10"/>
      <color indexed="53"/>
      <name val="Times New Roman"/>
      <family val="1"/>
    </font>
    <font>
      <b/>
      <sz val="8"/>
      <color indexed="53"/>
      <name val="Times New Roman"/>
      <family val="1"/>
    </font>
    <font>
      <b/>
      <sz val="7"/>
      <color indexed="10"/>
      <name val="Times New Roman"/>
      <family val="1"/>
    </font>
    <font>
      <sz val="8"/>
      <color indexed="61"/>
      <name val="Times New Roman"/>
      <family val="1"/>
    </font>
    <font>
      <sz val="10"/>
      <color indexed="61"/>
      <name val="Times New Roman"/>
      <family val="1"/>
    </font>
    <font>
      <b/>
      <sz val="10"/>
      <color indexed="12"/>
      <name val="Times New Roman"/>
      <family val="1"/>
    </font>
    <font>
      <b/>
      <sz val="9"/>
      <name val="Times New Roman"/>
      <family val="1"/>
    </font>
    <font>
      <sz val="9"/>
      <color indexed="10"/>
      <name val="Times New Roman"/>
      <family val="1"/>
    </font>
    <font>
      <sz val="8"/>
      <color indexed="10"/>
      <name val="Times New Roman"/>
      <family val="1"/>
    </font>
    <font>
      <u/>
      <sz val="9"/>
      <name val="Times New Roman"/>
      <family val="1"/>
    </font>
    <font>
      <b/>
      <sz val="12"/>
      <color indexed="60"/>
      <name val="Times New Roman"/>
      <family val="1"/>
    </font>
    <font>
      <sz val="10"/>
      <color indexed="60"/>
      <name val="Times New Roman"/>
      <family val="1"/>
    </font>
    <font>
      <b/>
      <sz val="9"/>
      <color indexed="60"/>
      <name val="Times New Roman"/>
      <family val="1"/>
    </font>
    <font>
      <b/>
      <sz val="10"/>
      <color indexed="53"/>
      <name val="Times New Roman"/>
      <family val="1"/>
    </font>
    <font>
      <sz val="10"/>
      <color rgb="FF000000"/>
      <name val="Times New Roman"/>
      <family val="1"/>
    </font>
    <font>
      <sz val="12"/>
      <color theme="1"/>
      <name val="Calibri"/>
      <family val="2"/>
      <scheme val="minor"/>
    </font>
    <font>
      <b/>
      <sz val="12"/>
      <color rgb="FFFFFFFF"/>
      <name val="Times New Roman"/>
      <family val="1"/>
    </font>
  </fonts>
  <fills count="18">
    <fill>
      <patternFill patternType="none"/>
    </fill>
    <fill>
      <patternFill patternType="gray125"/>
    </fill>
    <fill>
      <patternFill patternType="mediumGray">
        <fgColor indexed="9"/>
        <bgColor indexed="13"/>
      </patternFill>
    </fill>
    <fill>
      <patternFill patternType="mediumGray"/>
    </fill>
    <fill>
      <patternFill patternType="solid">
        <fgColor indexed="22"/>
        <bgColor indexed="64"/>
      </patternFill>
    </fill>
    <fill>
      <patternFill patternType="mediumGray">
        <fgColor indexed="26"/>
        <bgColor indexed="26"/>
      </patternFill>
    </fill>
    <fill>
      <patternFill patternType="solid">
        <fgColor indexed="44"/>
        <bgColor indexed="64"/>
      </patternFill>
    </fill>
    <fill>
      <patternFill patternType="mediumGray">
        <fgColor indexed="9"/>
        <bgColor indexed="45"/>
      </patternFill>
    </fill>
    <fill>
      <patternFill patternType="solid">
        <fgColor indexed="44"/>
        <bgColor indexed="26"/>
      </patternFill>
    </fill>
    <fill>
      <patternFill patternType="solid">
        <fgColor indexed="44"/>
        <bgColor indexed="9"/>
      </patternFill>
    </fill>
    <fill>
      <patternFill patternType="solid">
        <fgColor indexed="9"/>
        <bgColor indexed="64"/>
      </patternFill>
    </fill>
    <fill>
      <patternFill patternType="solid">
        <fgColor indexed="15"/>
        <bgColor indexed="64"/>
      </patternFill>
    </fill>
    <fill>
      <patternFill patternType="mediumGray">
        <fgColor indexed="9"/>
        <bgColor indexed="27"/>
      </patternFill>
    </fill>
    <fill>
      <patternFill patternType="mediumGray">
        <fgColor indexed="9"/>
        <bgColor indexed="41"/>
      </patternFill>
    </fill>
    <fill>
      <patternFill patternType="mediumGray">
        <fgColor indexed="9"/>
        <bgColor indexed="22"/>
      </patternFill>
    </fill>
    <fill>
      <patternFill patternType="solid">
        <fgColor rgb="FF000000"/>
        <bgColor indexed="64"/>
      </patternFill>
    </fill>
    <fill>
      <patternFill patternType="solid">
        <fgColor theme="0" tint="-0.24994659260841701"/>
        <bgColor indexed="64"/>
      </patternFill>
    </fill>
    <fill>
      <patternFill patternType="solid">
        <fgColor theme="0" tint="-0.24994659260841701"/>
        <bgColor auto="1"/>
      </patternFill>
    </fill>
  </fills>
  <borders count="129">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top/>
      <bottom style="medium">
        <color indexed="64"/>
      </bottom>
      <diagonal/>
    </border>
    <border>
      <left style="thin">
        <color indexed="64"/>
      </left>
      <right/>
      <top/>
      <bottom style="medium">
        <color indexed="64"/>
      </bottom>
      <diagonal/>
    </border>
    <border>
      <left style="double">
        <color indexed="64"/>
      </left>
      <right/>
      <top/>
      <bottom style="medium">
        <color indexed="64"/>
      </bottom>
      <diagonal/>
    </border>
    <border>
      <left style="thin">
        <color indexed="64"/>
      </left>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medium">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double">
        <color indexed="64"/>
      </right>
      <top/>
      <bottom style="medium">
        <color indexed="64"/>
      </bottom>
      <diagonal/>
    </border>
    <border>
      <left style="double">
        <color indexed="64"/>
      </left>
      <right style="thin">
        <color indexed="64"/>
      </right>
      <top/>
      <bottom style="thin">
        <color indexed="64"/>
      </bottom>
      <diagonal/>
    </border>
    <border>
      <left style="thin">
        <color indexed="64"/>
      </left>
      <right style="thin">
        <color indexed="64"/>
      </right>
      <top/>
      <bottom style="medium">
        <color indexed="64"/>
      </bottom>
      <diagonal/>
    </border>
    <border>
      <left style="medium">
        <color indexed="64"/>
      </left>
      <right/>
      <top/>
      <bottom/>
      <diagonal/>
    </border>
    <border>
      <left style="double">
        <color indexed="64"/>
      </left>
      <right/>
      <top/>
      <bottom style="thin">
        <color indexed="64"/>
      </bottom>
      <diagonal/>
    </border>
    <border>
      <left/>
      <right style="double">
        <color indexed="64"/>
      </right>
      <top/>
      <bottom style="thin">
        <color indexed="64"/>
      </bottom>
      <diagonal/>
    </border>
    <border>
      <left style="thick">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bottom style="double">
        <color indexed="64"/>
      </bottom>
      <diagonal/>
    </border>
    <border>
      <left/>
      <right style="double">
        <color indexed="64"/>
      </right>
      <top/>
      <bottom/>
      <diagonal/>
    </border>
    <border>
      <left/>
      <right style="double">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top style="thin">
        <color indexed="64"/>
      </top>
      <bottom style="thin">
        <color indexed="64"/>
      </bottom>
      <diagonal/>
    </border>
    <border>
      <left style="double">
        <color indexed="64"/>
      </left>
      <right/>
      <top/>
      <bottom/>
      <diagonal/>
    </border>
    <border>
      <left style="double">
        <color indexed="64"/>
      </left>
      <right style="thin">
        <color indexed="64"/>
      </right>
      <top style="thin">
        <color indexed="64"/>
      </top>
      <bottom style="thin">
        <color indexed="64"/>
      </bottom>
      <diagonal/>
    </border>
    <border>
      <left/>
      <right/>
      <top style="double">
        <color indexed="64"/>
      </top>
      <bottom/>
      <diagonal/>
    </border>
    <border>
      <left/>
      <right/>
      <top style="thin">
        <color indexed="64"/>
      </top>
      <bottom/>
      <diagonal/>
    </border>
    <border>
      <left style="double">
        <color indexed="64"/>
      </left>
      <right/>
      <top style="double">
        <color indexed="64"/>
      </top>
      <bottom/>
      <diagonal/>
    </border>
    <border>
      <left/>
      <right style="double">
        <color indexed="64"/>
      </right>
      <top style="double">
        <color indexed="64"/>
      </top>
      <bottom/>
      <diagonal/>
    </border>
    <border>
      <left style="double">
        <color indexed="64"/>
      </left>
      <right/>
      <top style="thin">
        <color indexed="64"/>
      </top>
      <bottom/>
      <diagonal/>
    </border>
    <border>
      <left/>
      <right style="double">
        <color indexed="64"/>
      </right>
      <top style="thin">
        <color indexed="64"/>
      </top>
      <bottom/>
      <diagonal/>
    </border>
    <border>
      <left/>
      <right/>
      <top/>
      <bottom style="double">
        <color indexed="64"/>
      </bottom>
      <diagonal/>
    </border>
    <border>
      <left/>
      <right style="double">
        <color indexed="64"/>
      </right>
      <top/>
      <bottom style="double">
        <color indexed="64"/>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n">
        <color indexed="64"/>
      </left>
      <right style="double">
        <color indexed="64"/>
      </right>
      <top/>
      <bottom/>
      <diagonal/>
    </border>
    <border>
      <left style="double">
        <color indexed="64"/>
      </left>
      <right style="thin">
        <color indexed="64"/>
      </right>
      <top/>
      <bottom/>
      <diagonal/>
    </border>
    <border>
      <left style="thin">
        <color indexed="64"/>
      </left>
      <right style="double">
        <color indexed="64"/>
      </right>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bottom style="medium">
        <color indexed="64"/>
      </bottom>
      <diagonal/>
    </border>
    <border>
      <left style="double">
        <color indexed="64"/>
      </left>
      <right style="thin">
        <color indexed="64"/>
      </right>
      <top/>
      <bottom style="medium">
        <color indexed="64"/>
      </bottom>
      <diagonal/>
    </border>
    <border>
      <left/>
      <right style="medium">
        <color indexed="64"/>
      </right>
      <top/>
      <bottom/>
      <diagonal/>
    </border>
    <border>
      <left style="medium">
        <color indexed="64"/>
      </left>
      <right style="thin">
        <color indexed="64"/>
      </right>
      <top/>
      <bottom style="thin">
        <color indexed="64"/>
      </bottom>
      <diagonal/>
    </border>
    <border>
      <left style="thick">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ck">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top style="medium">
        <color indexed="64"/>
      </top>
      <bottom/>
      <diagonal/>
    </border>
    <border>
      <left style="medium">
        <color indexed="64"/>
      </left>
      <right/>
      <top style="medium">
        <color indexed="64"/>
      </top>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thin">
        <color indexed="64"/>
      </left>
      <right/>
      <top/>
      <bottom style="double">
        <color indexed="64"/>
      </bottom>
      <diagonal/>
    </border>
    <border>
      <left style="double">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double">
        <color indexed="64"/>
      </right>
      <top style="medium">
        <color indexed="64"/>
      </top>
      <bottom style="medium">
        <color indexed="64"/>
      </bottom>
      <diagonal/>
    </border>
    <border>
      <left style="medium">
        <color indexed="64"/>
      </left>
      <right style="double">
        <color indexed="64"/>
      </right>
      <top/>
      <bottom/>
      <diagonal/>
    </border>
    <border>
      <left style="medium">
        <color indexed="64"/>
      </left>
      <right style="double">
        <color indexed="64"/>
      </right>
      <top/>
      <bottom style="medium">
        <color indexed="64"/>
      </bottom>
      <diagonal/>
    </border>
    <border>
      <left style="medium">
        <color indexed="64"/>
      </left>
      <right style="double">
        <color indexed="64"/>
      </right>
      <top style="medium">
        <color indexed="64"/>
      </top>
      <bottom/>
      <diagonal/>
    </border>
    <border>
      <left style="thin">
        <color indexed="64"/>
      </left>
      <right style="double">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hair">
        <color indexed="64"/>
      </bottom>
      <diagonal/>
    </border>
    <border>
      <left style="thick">
        <color indexed="64"/>
      </left>
      <right/>
      <top/>
      <bottom style="thin">
        <color indexed="64"/>
      </bottom>
      <diagonal/>
    </border>
    <border>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double">
        <color indexed="64"/>
      </right>
      <top/>
      <bottom style="double">
        <color indexed="64"/>
      </bottom>
      <diagonal/>
    </border>
    <border>
      <left/>
      <right style="double">
        <color indexed="64"/>
      </right>
      <top/>
      <bottom style="medium">
        <color indexed="64"/>
      </bottom>
      <diagonal/>
    </border>
    <border>
      <left style="thin">
        <color indexed="64"/>
      </left>
      <right/>
      <top style="medium">
        <color indexed="64"/>
      </top>
      <bottom style="medium">
        <color indexed="64"/>
      </bottom>
      <diagonal/>
    </border>
    <border>
      <left style="double">
        <color indexed="64"/>
      </left>
      <right/>
      <top style="thin">
        <color indexed="64"/>
      </top>
      <bottom style="thin">
        <color indexed="64"/>
      </bottom>
      <diagonal/>
    </border>
    <border>
      <left style="thick">
        <color indexed="64"/>
      </left>
      <right/>
      <top style="thick">
        <color indexed="64"/>
      </top>
      <bottom/>
      <diagonal/>
    </border>
    <border>
      <left style="medium">
        <color indexed="64"/>
      </left>
      <right style="medium">
        <color indexed="64"/>
      </right>
      <top style="medium">
        <color indexed="64"/>
      </top>
      <bottom style="thin">
        <color indexed="64"/>
      </bottom>
      <diagonal/>
    </border>
    <border>
      <left style="medium">
        <color indexed="64"/>
      </left>
      <right style="double">
        <color indexed="64"/>
      </right>
      <top style="medium">
        <color indexed="64"/>
      </top>
      <bottom style="thin">
        <color indexed="64"/>
      </bottom>
      <diagonal/>
    </border>
    <border>
      <left/>
      <right/>
      <top style="hair">
        <color indexed="64"/>
      </top>
      <bottom style="double">
        <color indexed="64"/>
      </bottom>
      <diagonal/>
    </border>
    <border>
      <left style="thin">
        <color indexed="64"/>
      </left>
      <right style="medium">
        <color indexed="64"/>
      </right>
      <top/>
      <bottom style="double">
        <color indexed="64"/>
      </bottom>
      <diagonal/>
    </border>
    <border>
      <left style="medium">
        <color indexed="64"/>
      </left>
      <right/>
      <top/>
      <bottom style="double">
        <color indexed="64"/>
      </bottom>
      <diagonal/>
    </border>
    <border>
      <left/>
      <right style="double">
        <color indexed="64"/>
      </right>
      <top style="double">
        <color indexed="64"/>
      </top>
      <bottom style="thin">
        <color indexed="64"/>
      </bottom>
      <diagonal/>
    </border>
    <border>
      <left style="medium">
        <color indexed="64"/>
      </left>
      <right style="double">
        <color indexed="64"/>
      </right>
      <top style="thin">
        <color indexed="64"/>
      </top>
      <bottom style="thin">
        <color indexed="64"/>
      </bottom>
      <diagonal/>
    </border>
    <border>
      <left style="double">
        <color indexed="64"/>
      </left>
      <right/>
      <top style="thin">
        <color indexed="64"/>
      </top>
      <bottom style="double">
        <color indexed="64"/>
      </bottom>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style="thin">
        <color indexed="64"/>
      </left>
      <right style="thin">
        <color indexed="64"/>
      </right>
      <top style="thin">
        <color indexed="64"/>
      </top>
      <bottom/>
      <diagonal/>
    </border>
    <border>
      <left style="medium">
        <color indexed="64"/>
      </left>
      <right/>
      <top style="thin">
        <color indexed="64"/>
      </top>
      <bottom style="medium">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ck">
        <color indexed="64"/>
      </left>
      <right style="thick">
        <color indexed="64"/>
      </right>
      <top style="thick">
        <color indexed="64"/>
      </top>
      <bottom style="thick">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double">
        <color indexed="64"/>
      </left>
      <right/>
      <top style="double">
        <color indexed="64"/>
      </top>
      <bottom style="thin">
        <color indexed="64"/>
      </bottom>
      <diagonal/>
    </border>
    <border>
      <left style="double">
        <color indexed="64"/>
      </left>
      <right style="medium">
        <color indexed="64"/>
      </right>
      <top style="double">
        <color indexed="64"/>
      </top>
      <bottom style="thin">
        <color indexed="64"/>
      </bottom>
      <diagonal/>
    </border>
    <border>
      <left style="double">
        <color indexed="64"/>
      </left>
      <right style="medium">
        <color indexed="64"/>
      </right>
      <top style="thin">
        <color indexed="64"/>
      </top>
      <bottom style="thin">
        <color indexed="64"/>
      </bottom>
      <diagonal/>
    </border>
    <border>
      <left style="double">
        <color indexed="64"/>
      </left>
      <right style="medium">
        <color indexed="64"/>
      </right>
      <top style="thin">
        <color indexed="64"/>
      </top>
      <bottom style="double">
        <color indexed="64"/>
      </bottom>
      <diagonal/>
    </border>
    <border>
      <left/>
      <right style="double">
        <color indexed="64"/>
      </right>
      <top style="thin">
        <color indexed="64"/>
      </top>
      <bottom style="double">
        <color indexed="64"/>
      </bottom>
      <diagonal/>
    </border>
    <border>
      <left style="medium">
        <color indexed="64"/>
      </left>
      <right style="double">
        <color indexed="64"/>
      </right>
      <top style="thin">
        <color indexed="64"/>
      </top>
      <bottom style="medium">
        <color indexed="64"/>
      </bottom>
      <diagonal/>
    </border>
    <border>
      <left style="double">
        <color indexed="64"/>
      </left>
      <right style="medium">
        <color indexed="64"/>
      </right>
      <top style="thin">
        <color indexed="64"/>
      </top>
      <bottom style="medium">
        <color indexed="64"/>
      </bottom>
      <diagonal/>
    </border>
    <border>
      <left style="double">
        <color indexed="64"/>
      </left>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bottom/>
      <diagonal/>
    </border>
    <border>
      <left style="thin">
        <color auto="1"/>
      </left>
      <right style="medium">
        <color auto="1"/>
      </right>
      <top/>
      <bottom/>
      <diagonal/>
    </border>
    <border>
      <left/>
      <right style="double">
        <color auto="1"/>
      </right>
      <top style="medium">
        <color auto="1"/>
      </top>
      <bottom/>
      <diagonal/>
    </border>
    <border>
      <left style="thin">
        <color auto="1"/>
      </left>
      <right style="double">
        <color auto="1"/>
      </right>
      <top style="medium">
        <color auto="1"/>
      </top>
      <bottom style="thin">
        <color auto="1"/>
      </bottom>
      <diagonal/>
    </border>
    <border>
      <left style="thin">
        <color auto="1"/>
      </left>
      <right style="double">
        <color auto="1"/>
      </right>
      <top style="thin">
        <color auto="1"/>
      </top>
      <bottom style="medium">
        <color auto="1"/>
      </bottom>
      <diagonal/>
    </border>
  </borders>
  <cellStyleXfs count="6">
    <xf numFmtId="2" fontId="0" fillId="0" borderId="0">
      <alignment horizontal="center" vertical="center"/>
    </xf>
    <xf numFmtId="1" fontId="8" fillId="2" borderId="1">
      <alignment horizontal="left" vertical="center"/>
      <protection locked="0"/>
    </xf>
    <xf numFmtId="2" fontId="5" fillId="0" borderId="0">
      <alignment horizontal="center"/>
    </xf>
    <xf numFmtId="9" fontId="1" fillId="0" borderId="0" applyFont="0" applyFill="0" applyBorder="0" applyAlignment="0" applyProtection="0"/>
    <xf numFmtId="1" fontId="7" fillId="0" borderId="0">
      <alignment horizontal="left" vertical="center"/>
    </xf>
    <xf numFmtId="0" fontId="52" fillId="0" borderId="0"/>
  </cellStyleXfs>
  <cellXfs count="862">
    <xf numFmtId="2" fontId="0" fillId="0" borderId="0" xfId="0">
      <alignment horizontal="center" vertical="center"/>
    </xf>
    <xf numFmtId="2" fontId="3" fillId="0" borderId="0" xfId="0" applyFont="1">
      <alignment horizontal="center" vertical="center"/>
    </xf>
    <xf numFmtId="2" fontId="3" fillId="0" borderId="2" xfId="0" applyFont="1" applyBorder="1">
      <alignment horizontal="center" vertical="center"/>
    </xf>
    <xf numFmtId="2" fontId="3" fillId="0" borderId="0" xfId="0" applyFont="1" applyAlignment="1">
      <alignment horizontal="left" vertical="center"/>
    </xf>
    <xf numFmtId="2" fontId="3" fillId="0" borderId="3" xfId="0" applyFont="1" applyBorder="1">
      <alignment horizontal="center" vertical="center"/>
    </xf>
    <xf numFmtId="2" fontId="3" fillId="0" borderId="4" xfId="0" applyFont="1" applyBorder="1">
      <alignment horizontal="center" vertical="center"/>
    </xf>
    <xf numFmtId="2" fontId="3" fillId="0" borderId="5" xfId="0" applyFont="1" applyBorder="1">
      <alignment horizontal="center" vertical="center"/>
    </xf>
    <xf numFmtId="2" fontId="3" fillId="0" borderId="6" xfId="0" applyFont="1" applyBorder="1">
      <alignment horizontal="center" vertical="center"/>
    </xf>
    <xf numFmtId="2" fontId="3" fillId="0" borderId="7" xfId="0" applyFont="1" applyBorder="1">
      <alignment horizontal="center" vertical="center"/>
    </xf>
    <xf numFmtId="165" fontId="3" fillId="0" borderId="7" xfId="0" applyNumberFormat="1" applyFont="1" applyBorder="1">
      <alignment horizontal="center" vertical="center"/>
    </xf>
    <xf numFmtId="1" fontId="3" fillId="0" borderId="7" xfId="0" applyNumberFormat="1" applyFont="1" applyBorder="1">
      <alignment horizontal="center" vertical="center"/>
    </xf>
    <xf numFmtId="2" fontId="3" fillId="0" borderId="2" xfId="0" applyFont="1" applyBorder="1" applyAlignment="1">
      <alignment horizontal="left" vertical="center"/>
    </xf>
    <xf numFmtId="2" fontId="3" fillId="0" borderId="8" xfId="0" applyFont="1" applyBorder="1">
      <alignment horizontal="center" vertical="center"/>
    </xf>
    <xf numFmtId="2" fontId="3" fillId="0" borderId="9" xfId="0" applyFont="1" applyBorder="1">
      <alignment horizontal="center" vertical="center"/>
    </xf>
    <xf numFmtId="2" fontId="3" fillId="0" borderId="1" xfId="0" applyFont="1" applyBorder="1">
      <alignment horizontal="center" vertical="center"/>
    </xf>
    <xf numFmtId="2" fontId="3" fillId="0" borderId="10" xfId="0" applyFont="1" applyBorder="1">
      <alignment horizontal="center" vertical="center"/>
    </xf>
    <xf numFmtId="166" fontId="3" fillId="0" borderId="1" xfId="0" applyNumberFormat="1" applyFont="1" applyBorder="1">
      <alignment horizontal="center" vertical="center"/>
    </xf>
    <xf numFmtId="2" fontId="3" fillId="0" borderId="12" xfId="0" applyFont="1" applyBorder="1">
      <alignment horizontal="center" vertical="center"/>
    </xf>
    <xf numFmtId="165" fontId="3" fillId="0" borderId="10" xfId="0" applyNumberFormat="1" applyFont="1" applyBorder="1">
      <alignment horizontal="center" vertical="center"/>
    </xf>
    <xf numFmtId="165" fontId="3" fillId="0" borderId="1" xfId="0" applyNumberFormat="1" applyFont="1" applyBorder="1">
      <alignment horizontal="center" vertical="center"/>
    </xf>
    <xf numFmtId="2" fontId="3" fillId="0" borderId="13" xfId="0" applyFont="1" applyBorder="1">
      <alignment horizontal="center" vertical="center"/>
    </xf>
    <xf numFmtId="165" fontId="3" fillId="0" borderId="13" xfId="0" applyNumberFormat="1" applyFont="1" applyBorder="1">
      <alignment horizontal="center" vertical="center"/>
    </xf>
    <xf numFmtId="2" fontId="3" fillId="0" borderId="14" xfId="0" applyFont="1" applyBorder="1">
      <alignment horizontal="center" vertical="center"/>
    </xf>
    <xf numFmtId="2" fontId="3" fillId="0" borderId="16" xfId="0" applyFont="1" applyBorder="1">
      <alignment horizontal="center" vertical="center"/>
    </xf>
    <xf numFmtId="2" fontId="3" fillId="0" borderId="17" xfId="0" applyFont="1" applyBorder="1">
      <alignment horizontal="center" vertical="center"/>
    </xf>
    <xf numFmtId="2" fontId="3" fillId="0" borderId="19" xfId="0" applyFont="1" applyBorder="1">
      <alignment horizontal="center" vertical="center"/>
    </xf>
    <xf numFmtId="2" fontId="3" fillId="0" borderId="16" xfId="0" quotePrefix="1" applyFont="1" applyBorder="1">
      <alignment horizontal="center" vertical="center"/>
    </xf>
    <xf numFmtId="2" fontId="3" fillId="0" borderId="22" xfId="0" applyFont="1" applyBorder="1">
      <alignment horizontal="center" vertical="center"/>
    </xf>
    <xf numFmtId="1" fontId="3" fillId="0" borderId="2" xfId="0" applyNumberFormat="1" applyFont="1" applyBorder="1">
      <alignment horizontal="center" vertical="center"/>
    </xf>
    <xf numFmtId="165" fontId="3" fillId="0" borderId="2" xfId="0" applyNumberFormat="1" applyFont="1" applyBorder="1">
      <alignment horizontal="center" vertical="center"/>
    </xf>
    <xf numFmtId="2" fontId="3" fillId="0" borderId="0" xfId="0" applyFont="1" applyAlignment="1">
      <alignment horizontal="right" vertical="center"/>
    </xf>
    <xf numFmtId="166" fontId="3" fillId="0" borderId="2" xfId="0" applyNumberFormat="1" applyFont="1" applyBorder="1">
      <alignment horizontal="center" vertical="center"/>
    </xf>
    <xf numFmtId="2" fontId="3" fillId="0" borderId="23" xfId="0" applyFont="1" applyBorder="1">
      <alignment horizontal="center" vertical="center"/>
    </xf>
    <xf numFmtId="2" fontId="3" fillId="0" borderId="26" xfId="0" applyFont="1" applyBorder="1" applyAlignment="1">
      <alignment horizontal="right" vertical="center"/>
    </xf>
    <xf numFmtId="2" fontId="3" fillId="0" borderId="28" xfId="0" applyFont="1" applyBorder="1">
      <alignment horizontal="center" vertical="center"/>
    </xf>
    <xf numFmtId="2" fontId="3" fillId="0" borderId="29" xfId="0" applyFont="1" applyBorder="1">
      <alignment horizontal="center" vertical="center"/>
    </xf>
    <xf numFmtId="2" fontId="8" fillId="0" borderId="2" xfId="0" applyFont="1" applyBorder="1">
      <alignment horizontal="center" vertical="center"/>
    </xf>
    <xf numFmtId="2" fontId="8" fillId="0" borderId="0" xfId="0" applyFont="1">
      <alignment horizontal="center" vertical="center"/>
    </xf>
    <xf numFmtId="2" fontId="8" fillId="0" borderId="0" xfId="0" applyFont="1" applyAlignment="1">
      <alignment horizontal="left" vertical="center"/>
    </xf>
    <xf numFmtId="2" fontId="9" fillId="0" borderId="0" xfId="0" applyFont="1">
      <alignment horizontal="center" vertical="center"/>
    </xf>
    <xf numFmtId="2" fontId="9" fillId="0" borderId="0" xfId="0" applyFont="1" applyAlignment="1">
      <alignment horizontal="right" vertical="center"/>
    </xf>
    <xf numFmtId="2" fontId="0" fillId="0" borderId="0" xfId="0" applyAlignment="1">
      <alignment horizontal="centerContinuous"/>
    </xf>
    <xf numFmtId="2" fontId="8" fillId="0" borderId="0" xfId="0" applyFont="1" applyAlignment="1">
      <alignment horizontal="right" vertical="center"/>
    </xf>
    <xf numFmtId="2" fontId="7" fillId="0" borderId="0" xfId="0" applyFont="1">
      <alignment horizontal="center" vertical="center"/>
    </xf>
    <xf numFmtId="14" fontId="8" fillId="0" borderId="0" xfId="0" applyNumberFormat="1" applyFont="1">
      <alignment horizontal="center" vertical="center"/>
    </xf>
    <xf numFmtId="14" fontId="8" fillId="0" borderId="2" xfId="0" applyNumberFormat="1" applyFont="1" applyBorder="1" applyAlignment="1">
      <alignment horizontal="left" vertical="center"/>
    </xf>
    <xf numFmtId="14" fontId="8" fillId="0" borderId="0" xfId="0" applyNumberFormat="1" applyFont="1" applyAlignment="1">
      <alignment horizontal="left" vertical="center"/>
    </xf>
    <xf numFmtId="2" fontId="8" fillId="0" borderId="2" xfId="0" applyFont="1" applyBorder="1" applyAlignment="1">
      <alignment horizontal="left" vertical="center"/>
    </xf>
    <xf numFmtId="1" fontId="8" fillId="0" borderId="2" xfId="0" applyNumberFormat="1" applyFont="1" applyBorder="1" applyAlignment="1">
      <alignment horizontal="left" vertical="center"/>
    </xf>
    <xf numFmtId="1" fontId="8" fillId="0" borderId="2" xfId="0" applyNumberFormat="1" applyFont="1" applyBorder="1">
      <alignment horizontal="center" vertical="center"/>
    </xf>
    <xf numFmtId="2" fontId="0" fillId="0" borderId="30" xfId="0" applyBorder="1">
      <alignment horizontal="center" vertical="center"/>
    </xf>
    <xf numFmtId="2" fontId="0" fillId="0" borderId="31" xfId="0" applyBorder="1">
      <alignment horizontal="center" vertical="center"/>
    </xf>
    <xf numFmtId="2" fontId="8" fillId="0" borderId="32" xfId="0" applyFont="1" applyBorder="1">
      <alignment horizontal="center" vertical="center"/>
    </xf>
    <xf numFmtId="2" fontId="8" fillId="0" borderId="33" xfId="0" applyFont="1" applyBorder="1">
      <alignment horizontal="center" vertical="center"/>
    </xf>
    <xf numFmtId="2" fontId="8" fillId="0" borderId="28" xfId="0" applyFont="1" applyBorder="1">
      <alignment horizontal="center" vertical="center"/>
    </xf>
    <xf numFmtId="2" fontId="8" fillId="0" borderId="34" xfId="0" applyFont="1" applyBorder="1">
      <alignment horizontal="center" vertical="center"/>
    </xf>
    <xf numFmtId="2" fontId="8" fillId="0" borderId="35" xfId="0" applyFont="1" applyBorder="1">
      <alignment horizontal="center" vertical="center"/>
    </xf>
    <xf numFmtId="2" fontId="8" fillId="0" borderId="23" xfId="0" applyFont="1" applyBorder="1">
      <alignment horizontal="center" vertical="center"/>
    </xf>
    <xf numFmtId="2" fontId="8" fillId="0" borderId="23" xfId="0" applyFont="1" applyBorder="1" applyAlignment="1">
      <alignment horizontal="left" vertical="center"/>
    </xf>
    <xf numFmtId="2" fontId="0" fillId="0" borderId="23" xfId="0" applyBorder="1">
      <alignment horizontal="center" vertical="center"/>
    </xf>
    <xf numFmtId="2" fontId="8" fillId="0" borderId="22" xfId="0" applyFont="1" applyBorder="1">
      <alignment horizontal="center" vertical="center"/>
    </xf>
    <xf numFmtId="2" fontId="8" fillId="0" borderId="36" xfId="0" applyFont="1" applyBorder="1">
      <alignment horizontal="center" vertical="center"/>
    </xf>
    <xf numFmtId="2" fontId="8" fillId="0" borderId="37" xfId="0" applyFont="1" applyBorder="1">
      <alignment horizontal="center" vertical="center"/>
    </xf>
    <xf numFmtId="2" fontId="8" fillId="0" borderId="31" xfId="0" applyFont="1" applyBorder="1">
      <alignment horizontal="center" vertical="center"/>
    </xf>
    <xf numFmtId="2" fontId="8" fillId="0" borderId="31" xfId="0" applyFont="1" applyBorder="1" applyAlignment="1">
      <alignment horizontal="left" vertical="center"/>
    </xf>
    <xf numFmtId="2" fontId="8" fillId="0" borderId="35" xfId="0" applyFont="1" applyBorder="1" applyAlignment="1">
      <alignment horizontal="left" vertical="center"/>
    </xf>
    <xf numFmtId="2" fontId="8" fillId="0" borderId="31" xfId="0" applyFont="1" applyBorder="1" applyAlignment="1">
      <alignment horizontal="right" vertical="center"/>
    </xf>
    <xf numFmtId="2" fontId="0" fillId="0" borderId="32" xfId="0" applyBorder="1">
      <alignment horizontal="center" vertical="center"/>
    </xf>
    <xf numFmtId="2" fontId="0" fillId="0" borderId="33" xfId="0" applyBorder="1">
      <alignment horizontal="center" vertical="center"/>
    </xf>
    <xf numFmtId="2" fontId="6" fillId="0" borderId="0" xfId="0" applyFont="1">
      <alignment horizontal="center" vertical="center"/>
    </xf>
    <xf numFmtId="2" fontId="10" fillId="0" borderId="0" xfId="0" applyFont="1">
      <alignment horizontal="center" vertical="center"/>
    </xf>
    <xf numFmtId="2" fontId="0" fillId="0" borderId="36" xfId="0" applyBorder="1">
      <alignment horizontal="center" vertical="center"/>
    </xf>
    <xf numFmtId="2" fontId="0" fillId="0" borderId="38" xfId="0" applyBorder="1">
      <alignment horizontal="center" vertical="center"/>
    </xf>
    <xf numFmtId="2" fontId="8" fillId="0" borderId="28" xfId="0" applyFont="1" applyBorder="1" applyAlignment="1">
      <alignment horizontal="left" vertical="center"/>
    </xf>
    <xf numFmtId="2" fontId="0" fillId="0" borderId="37" xfId="0" applyBorder="1">
      <alignment horizontal="center" vertical="center"/>
    </xf>
    <xf numFmtId="2" fontId="4" fillId="0" borderId="0" xfId="0" applyFont="1">
      <alignment horizontal="center" vertical="center"/>
    </xf>
    <xf numFmtId="2" fontId="0" fillId="0" borderId="39" xfId="0" applyBorder="1">
      <alignment horizontal="center" vertical="center"/>
    </xf>
    <xf numFmtId="2" fontId="3" fillId="0" borderId="40" xfId="0" applyFont="1" applyBorder="1">
      <alignment horizontal="center" vertical="center"/>
    </xf>
    <xf numFmtId="2" fontId="0" fillId="0" borderId="41" xfId="0" applyBorder="1">
      <alignment horizontal="center" vertical="center"/>
    </xf>
    <xf numFmtId="2" fontId="0" fillId="0" borderId="40" xfId="0" applyBorder="1">
      <alignment horizontal="center" vertical="center"/>
    </xf>
    <xf numFmtId="2" fontId="3" fillId="0" borderId="41" xfId="0" applyFont="1" applyBorder="1">
      <alignment horizontal="center" vertical="center"/>
    </xf>
    <xf numFmtId="2" fontId="0" fillId="0" borderId="42" xfId="0" applyBorder="1">
      <alignment horizontal="center" vertical="center"/>
    </xf>
    <xf numFmtId="2" fontId="3" fillId="0" borderId="43" xfId="0" applyFont="1" applyBorder="1">
      <alignment horizontal="center" vertical="center"/>
    </xf>
    <xf numFmtId="2" fontId="0" fillId="0" borderId="43" xfId="0" applyBorder="1">
      <alignment horizontal="center" vertical="center"/>
    </xf>
    <xf numFmtId="2" fontId="3" fillId="0" borderId="44" xfId="0" applyFont="1" applyBorder="1">
      <alignment horizontal="center" vertical="center"/>
    </xf>
    <xf numFmtId="2" fontId="3" fillId="0" borderId="42" xfId="0" applyFont="1" applyBorder="1">
      <alignment horizontal="center" vertical="center"/>
    </xf>
    <xf numFmtId="2" fontId="0" fillId="0" borderId="22" xfId="0" applyBorder="1">
      <alignment horizontal="center" vertical="center"/>
    </xf>
    <xf numFmtId="2" fontId="12" fillId="0" borderId="0" xfId="0" applyFont="1">
      <alignment horizontal="center" vertical="center"/>
    </xf>
    <xf numFmtId="2" fontId="12" fillId="0" borderId="0" xfId="0" applyFont="1" applyAlignment="1">
      <alignment horizontal="left" vertical="center"/>
    </xf>
    <xf numFmtId="2" fontId="12" fillId="0" borderId="0" xfId="0" applyFont="1" applyAlignment="1">
      <alignment horizontal="center"/>
    </xf>
    <xf numFmtId="2" fontId="8" fillId="0" borderId="28" xfId="0" applyFont="1" applyBorder="1" applyAlignment="1">
      <alignment horizontal="right" vertical="center"/>
    </xf>
    <xf numFmtId="2" fontId="8" fillId="0" borderId="19" xfId="0" applyFont="1" applyBorder="1">
      <alignment horizontal="center" vertical="center"/>
    </xf>
    <xf numFmtId="2" fontId="8" fillId="0" borderId="18" xfId="0" applyFont="1" applyBorder="1" applyAlignment="1">
      <alignment horizontal="left" vertical="center"/>
    </xf>
    <xf numFmtId="2" fontId="8" fillId="0" borderId="18" xfId="0" applyFont="1" applyBorder="1">
      <alignment horizontal="center" vertical="center"/>
    </xf>
    <xf numFmtId="2" fontId="10" fillId="0" borderId="28" xfId="0" applyFont="1" applyBorder="1">
      <alignment horizontal="center" vertical="center"/>
    </xf>
    <xf numFmtId="2" fontId="12" fillId="0" borderId="28" xfId="0" applyFont="1" applyBorder="1" applyAlignment="1">
      <alignment horizontal="centerContinuous" vertical="center"/>
    </xf>
    <xf numFmtId="2" fontId="3" fillId="0" borderId="0" xfId="0" applyFont="1" applyAlignment="1">
      <alignment horizontal="centerContinuous" vertical="center"/>
    </xf>
    <xf numFmtId="2" fontId="8" fillId="0" borderId="28" xfId="0" applyFont="1" applyBorder="1" applyAlignment="1">
      <alignment horizontal="centerContinuous" vertical="center"/>
    </xf>
    <xf numFmtId="2" fontId="8" fillId="0" borderId="0" xfId="0" applyFont="1" applyAlignment="1">
      <alignment horizontal="centerContinuous"/>
    </xf>
    <xf numFmtId="2" fontId="12" fillId="0" borderId="30" xfId="0" applyFont="1" applyBorder="1" applyAlignment="1">
      <alignment horizontal="right" vertical="center"/>
    </xf>
    <xf numFmtId="2" fontId="8" fillId="0" borderId="30" xfId="0" applyFont="1" applyBorder="1">
      <alignment horizontal="center" vertical="center"/>
    </xf>
    <xf numFmtId="2" fontId="11" fillId="0" borderId="0" xfId="0" applyFont="1">
      <alignment horizontal="center" vertical="center"/>
    </xf>
    <xf numFmtId="14" fontId="9" fillId="0" borderId="0" xfId="0" applyNumberFormat="1" applyFont="1">
      <alignment horizontal="center" vertical="center"/>
    </xf>
    <xf numFmtId="2" fontId="8" fillId="0" borderId="9" xfId="0" applyFont="1" applyBorder="1">
      <alignment horizontal="center" vertical="center"/>
    </xf>
    <xf numFmtId="2" fontId="8" fillId="0" borderId="13" xfId="0" applyFont="1" applyBorder="1">
      <alignment horizontal="center" vertical="center"/>
    </xf>
    <xf numFmtId="2" fontId="8" fillId="0" borderId="1" xfId="0" applyFont="1" applyBorder="1">
      <alignment horizontal="center" vertical="center"/>
    </xf>
    <xf numFmtId="165" fontId="8" fillId="0" borderId="1" xfId="0" applyNumberFormat="1" applyFont="1" applyBorder="1">
      <alignment horizontal="center" vertical="center"/>
    </xf>
    <xf numFmtId="2" fontId="8" fillId="0" borderId="45" xfId="0" applyFont="1" applyBorder="1">
      <alignment horizontal="center" vertical="center"/>
    </xf>
    <xf numFmtId="2" fontId="8" fillId="0" borderId="46" xfId="0" applyFont="1" applyBorder="1">
      <alignment horizontal="center" vertical="center"/>
    </xf>
    <xf numFmtId="2" fontId="13" fillId="0" borderId="0" xfId="0" applyFont="1">
      <alignment horizontal="center" vertical="center"/>
    </xf>
    <xf numFmtId="2" fontId="0" fillId="0" borderId="28" xfId="0" applyBorder="1">
      <alignment horizontal="center" vertical="center"/>
    </xf>
    <xf numFmtId="2" fontId="8" fillId="0" borderId="0" xfId="0" applyFont="1" applyAlignment="1">
      <alignment horizontal="centerContinuous" vertical="center"/>
    </xf>
    <xf numFmtId="2" fontId="0" fillId="0" borderId="0" xfId="0" applyAlignment="1">
      <alignment horizontal="center"/>
    </xf>
    <xf numFmtId="2" fontId="12" fillId="0" borderId="32" xfId="0" applyFont="1" applyBorder="1" applyAlignment="1">
      <alignment horizontal="left" vertical="center"/>
    </xf>
    <xf numFmtId="2" fontId="13" fillId="0" borderId="0" xfId="0" applyFont="1" applyAlignment="1">
      <alignment horizontal="right" vertical="center"/>
    </xf>
    <xf numFmtId="2" fontId="12" fillId="0" borderId="0" xfId="0" applyFont="1" applyAlignment="1">
      <alignment horizontal="right" vertical="center"/>
    </xf>
    <xf numFmtId="2" fontId="7" fillId="0" borderId="36" xfId="0" applyFont="1" applyBorder="1" applyAlignment="1">
      <alignment horizontal="left" vertical="center"/>
    </xf>
    <xf numFmtId="2" fontId="7" fillId="0" borderId="36" xfId="0" applyFont="1" applyBorder="1">
      <alignment horizontal="center" vertical="center"/>
    </xf>
    <xf numFmtId="2" fontId="8" fillId="0" borderId="36" xfId="0" applyFont="1" applyBorder="1" applyAlignment="1">
      <alignment horizontal="left" vertical="center"/>
    </xf>
    <xf numFmtId="10" fontId="8" fillId="0" borderId="13" xfId="0" applyNumberFormat="1" applyFont="1" applyBorder="1">
      <alignment horizontal="center" vertical="center"/>
    </xf>
    <xf numFmtId="2" fontId="8" fillId="0" borderId="4" xfId="0" applyFont="1" applyBorder="1">
      <alignment horizontal="center" vertical="center"/>
    </xf>
    <xf numFmtId="2" fontId="8" fillId="0" borderId="5" xfId="0" applyFont="1" applyBorder="1">
      <alignment horizontal="center" vertical="center"/>
    </xf>
    <xf numFmtId="2" fontId="11" fillId="0" borderId="36" xfId="0" applyFont="1" applyBorder="1">
      <alignment horizontal="center" vertical="center"/>
    </xf>
    <xf numFmtId="2" fontId="8" fillId="0" borderId="26" xfId="0" applyFont="1" applyBorder="1" applyAlignment="1">
      <alignment horizontal="right" vertical="center"/>
    </xf>
    <xf numFmtId="2" fontId="8" fillId="0" borderId="49" xfId="0" applyFont="1" applyBorder="1">
      <alignment horizontal="center" vertical="center"/>
    </xf>
    <xf numFmtId="2" fontId="8" fillId="0" borderId="22" xfId="0" applyFont="1" applyBorder="1" applyAlignment="1">
      <alignment horizontal="left" vertical="center"/>
    </xf>
    <xf numFmtId="2" fontId="8" fillId="0" borderId="16" xfId="0" applyFont="1" applyBorder="1">
      <alignment horizontal="center" vertical="center"/>
    </xf>
    <xf numFmtId="2" fontId="8" fillId="0" borderId="3" xfId="0" applyFont="1" applyBorder="1" applyAlignment="1">
      <alignment horizontal="centerContinuous" vertical="center"/>
    </xf>
    <xf numFmtId="2" fontId="8" fillId="0" borderId="8" xfId="0" applyFont="1" applyBorder="1" applyAlignment="1">
      <alignment horizontal="centerContinuous" vertical="center"/>
    </xf>
    <xf numFmtId="165" fontId="8" fillId="0" borderId="2" xfId="0" applyNumberFormat="1" applyFont="1" applyBorder="1">
      <alignment horizontal="center" vertical="center"/>
    </xf>
    <xf numFmtId="10" fontId="8" fillId="0" borderId="0" xfId="0" applyNumberFormat="1" applyFont="1">
      <alignment horizontal="center" vertical="center"/>
    </xf>
    <xf numFmtId="2" fontId="0" fillId="0" borderId="0" xfId="0" applyAlignment="1">
      <alignment horizontal="centerContinuous" vertical="center"/>
    </xf>
    <xf numFmtId="2" fontId="3" fillId="0" borderId="28" xfId="0" applyFont="1" applyBorder="1" applyAlignment="1">
      <alignment horizontal="left" vertical="center"/>
    </xf>
    <xf numFmtId="2" fontId="3" fillId="0" borderId="28" xfId="0" applyFont="1" applyBorder="1" applyAlignment="1">
      <alignment horizontal="centerContinuous" vertical="center"/>
    </xf>
    <xf numFmtId="2" fontId="3" fillId="0" borderId="52" xfId="0" applyFont="1" applyBorder="1">
      <alignment horizontal="center" vertical="center"/>
    </xf>
    <xf numFmtId="2" fontId="8" fillId="0" borderId="53" xfId="0" applyFont="1" applyBorder="1" applyAlignment="1">
      <alignment horizontal="centerContinuous" vertical="center"/>
    </xf>
    <xf numFmtId="2" fontId="8" fillId="0" borderId="40" xfId="0" applyFont="1" applyBorder="1" applyAlignment="1">
      <alignment horizontal="centerContinuous" vertical="center"/>
    </xf>
    <xf numFmtId="2" fontId="8" fillId="0" borderId="17" xfId="0" applyFont="1" applyBorder="1" applyAlignment="1">
      <alignment horizontal="centerContinuous" vertical="center"/>
    </xf>
    <xf numFmtId="2" fontId="3" fillId="0" borderId="55" xfId="0" applyFont="1" applyBorder="1">
      <alignment horizontal="center" vertical="center"/>
    </xf>
    <xf numFmtId="2" fontId="3" fillId="0" borderId="56" xfId="0" applyFont="1" applyBorder="1">
      <alignment horizontal="center" vertical="center"/>
    </xf>
    <xf numFmtId="2" fontId="3" fillId="0" borderId="57" xfId="0" applyFont="1" applyBorder="1">
      <alignment horizontal="center" vertical="center"/>
    </xf>
    <xf numFmtId="2" fontId="3" fillId="0" borderId="17" xfId="0" applyFont="1" applyBorder="1" applyAlignment="1">
      <alignment horizontal="centerContinuous" vertical="center"/>
    </xf>
    <xf numFmtId="2" fontId="3" fillId="0" borderId="53" xfId="0" applyFont="1" applyBorder="1" applyAlignment="1">
      <alignment horizontal="centerContinuous" vertical="center"/>
    </xf>
    <xf numFmtId="168" fontId="8" fillId="0" borderId="58" xfId="0" applyNumberFormat="1" applyFont="1" applyBorder="1">
      <alignment horizontal="center" vertical="center"/>
    </xf>
    <xf numFmtId="168" fontId="8" fillId="0" borderId="59" xfId="0" applyNumberFormat="1" applyFont="1" applyBorder="1">
      <alignment horizontal="center" vertical="center"/>
    </xf>
    <xf numFmtId="2" fontId="8" fillId="0" borderId="54" xfId="0" applyFont="1" applyBorder="1">
      <alignment horizontal="center" vertical="center"/>
    </xf>
    <xf numFmtId="2" fontId="8" fillId="0" borderId="60" xfId="0" applyFont="1" applyBorder="1">
      <alignment horizontal="center" vertical="center"/>
    </xf>
    <xf numFmtId="2" fontId="8" fillId="0" borderId="61" xfId="0" applyFont="1" applyBorder="1" applyAlignment="1">
      <alignment horizontal="centerContinuous" vertical="center"/>
    </xf>
    <xf numFmtId="2" fontId="8" fillId="0" borderId="59" xfId="0" applyFont="1" applyBorder="1">
      <alignment horizontal="center" vertical="center"/>
    </xf>
    <xf numFmtId="2" fontId="8" fillId="0" borderId="63" xfId="0" applyFont="1" applyBorder="1">
      <alignment horizontal="center" vertical="center"/>
    </xf>
    <xf numFmtId="2" fontId="8" fillId="0" borderId="23" xfId="0" applyFont="1" applyBorder="1" applyAlignment="1">
      <alignment horizontal="centerContinuous" vertical="center"/>
    </xf>
    <xf numFmtId="2" fontId="14" fillId="0" borderId="0" xfId="0" applyFont="1">
      <alignment horizontal="center" vertical="center"/>
    </xf>
    <xf numFmtId="2" fontId="12" fillId="0" borderId="28" xfId="0" applyFont="1" applyBorder="1" applyAlignment="1">
      <alignment horizontal="right" vertical="center"/>
    </xf>
    <xf numFmtId="2" fontId="14" fillId="0" borderId="28" xfId="0" applyFont="1" applyBorder="1">
      <alignment horizontal="center" vertical="center"/>
    </xf>
    <xf numFmtId="2" fontId="12" fillId="0" borderId="28" xfId="0" applyFont="1" applyBorder="1" applyAlignment="1">
      <alignment horizontal="left" vertical="center"/>
    </xf>
    <xf numFmtId="1" fontId="8" fillId="0" borderId="28" xfId="0" applyNumberFormat="1" applyFont="1" applyBorder="1">
      <alignment horizontal="center" vertical="center"/>
    </xf>
    <xf numFmtId="2" fontId="3" fillId="0" borderId="28" xfId="0" applyFont="1" applyBorder="1" applyAlignment="1">
      <alignment horizontal="right" vertical="center"/>
    </xf>
    <xf numFmtId="2" fontId="3" fillId="0" borderId="19" xfId="0" applyFont="1" applyBorder="1" applyAlignment="1">
      <alignment horizontal="left" vertical="center"/>
    </xf>
    <xf numFmtId="2" fontId="15" fillId="0" borderId="0" xfId="0" applyFont="1">
      <alignment horizontal="center" vertical="center"/>
    </xf>
    <xf numFmtId="1" fontId="8" fillId="0" borderId="7" xfId="0" applyNumberFormat="1" applyFont="1" applyBorder="1">
      <alignment horizontal="center" vertical="center"/>
    </xf>
    <xf numFmtId="2" fontId="8" fillId="0" borderId="7" xfId="0" applyFont="1" applyBorder="1">
      <alignment horizontal="center" vertical="center"/>
    </xf>
    <xf numFmtId="2" fontId="8" fillId="0" borderId="3" xfId="0" applyFont="1" applyBorder="1">
      <alignment horizontal="center" vertical="center"/>
    </xf>
    <xf numFmtId="2" fontId="8" fillId="0" borderId="6" xfId="0" applyFont="1" applyBorder="1">
      <alignment horizontal="center" vertical="center"/>
    </xf>
    <xf numFmtId="166" fontId="8" fillId="0" borderId="7" xfId="0" applyNumberFormat="1" applyFont="1" applyBorder="1">
      <alignment horizontal="center" vertical="center"/>
    </xf>
    <xf numFmtId="165" fontId="8" fillId="0" borderId="7" xfId="0" applyNumberFormat="1" applyFont="1" applyBorder="1">
      <alignment horizontal="center" vertical="center"/>
    </xf>
    <xf numFmtId="166" fontId="8" fillId="0" borderId="2" xfId="0" applyNumberFormat="1" applyFont="1" applyBorder="1">
      <alignment horizontal="center" vertical="center"/>
    </xf>
    <xf numFmtId="2" fontId="8" fillId="0" borderId="14" xfId="0" applyFont="1" applyBorder="1">
      <alignment horizontal="center" vertical="center"/>
    </xf>
    <xf numFmtId="1" fontId="8" fillId="0" borderId="67" xfId="0" applyNumberFormat="1" applyFont="1" applyBorder="1">
      <alignment horizontal="center" vertical="center"/>
    </xf>
    <xf numFmtId="2" fontId="8" fillId="0" borderId="2" xfId="0" applyFont="1" applyBorder="1" applyAlignment="1">
      <alignment horizontal="right" vertical="center"/>
    </xf>
    <xf numFmtId="1" fontId="8" fillId="0" borderId="3" xfId="0" applyNumberFormat="1" applyFont="1" applyBorder="1">
      <alignment horizontal="center" vertical="center"/>
    </xf>
    <xf numFmtId="9" fontId="8" fillId="0" borderId="3" xfId="0" applyNumberFormat="1" applyFont="1" applyBorder="1">
      <alignment horizontal="center" vertical="center"/>
    </xf>
    <xf numFmtId="2" fontId="8" fillId="0" borderId="3" xfId="0" quotePrefix="1" applyFont="1" applyBorder="1">
      <alignment horizontal="center" vertical="center"/>
    </xf>
    <xf numFmtId="9" fontId="8" fillId="0" borderId="7" xfId="0" applyNumberFormat="1" applyFont="1" applyBorder="1">
      <alignment horizontal="center" vertical="center"/>
    </xf>
    <xf numFmtId="2" fontId="8" fillId="0" borderId="12" xfId="0" applyFont="1" applyBorder="1">
      <alignment horizontal="center" vertical="center"/>
    </xf>
    <xf numFmtId="9" fontId="8" fillId="0" borderId="12" xfId="0" applyNumberFormat="1" applyFont="1" applyBorder="1">
      <alignment horizontal="center" vertical="center"/>
    </xf>
    <xf numFmtId="2" fontId="8" fillId="0" borderId="16" xfId="0" quotePrefix="1" applyFont="1" applyBorder="1">
      <alignment horizontal="center" vertical="center"/>
    </xf>
    <xf numFmtId="166" fontId="8" fillId="0" borderId="13" xfId="0" applyNumberFormat="1" applyFont="1" applyBorder="1">
      <alignment horizontal="center" vertical="center"/>
    </xf>
    <xf numFmtId="165" fontId="8" fillId="0" borderId="47" xfId="0" applyNumberFormat="1" applyFont="1" applyBorder="1">
      <alignment horizontal="center" vertical="center"/>
    </xf>
    <xf numFmtId="2" fontId="8" fillId="0" borderId="29" xfId="0" applyFont="1" applyBorder="1">
      <alignment horizontal="center" vertical="center"/>
    </xf>
    <xf numFmtId="166" fontId="8" fillId="0" borderId="16" xfId="0" applyNumberFormat="1" applyFont="1" applyBorder="1">
      <alignment horizontal="center" vertical="center"/>
    </xf>
    <xf numFmtId="165" fontId="8" fillId="0" borderId="14" xfId="0" applyNumberFormat="1" applyFont="1" applyBorder="1">
      <alignment horizontal="center" vertical="center"/>
    </xf>
    <xf numFmtId="2" fontId="8" fillId="0" borderId="68" xfId="0" applyFont="1" applyBorder="1">
      <alignment horizontal="center" vertical="center"/>
    </xf>
    <xf numFmtId="2" fontId="8" fillId="0" borderId="69" xfId="0" applyFont="1" applyBorder="1">
      <alignment horizontal="center" vertical="center"/>
    </xf>
    <xf numFmtId="165" fontId="8" fillId="0" borderId="69" xfId="0" applyNumberFormat="1" applyFont="1" applyBorder="1">
      <alignment horizontal="center" vertical="center"/>
    </xf>
    <xf numFmtId="2" fontId="8" fillId="0" borderId="16" xfId="0" quotePrefix="1" applyFont="1" applyBorder="1" applyAlignment="1">
      <alignment horizontal="centerContinuous" vertical="center"/>
    </xf>
    <xf numFmtId="2" fontId="8" fillId="0" borderId="50" xfId="0" applyFont="1" applyBorder="1" applyAlignment="1">
      <alignment horizontal="right" vertical="center"/>
    </xf>
    <xf numFmtId="2" fontId="8" fillId="0" borderId="4" xfId="0" applyFont="1" applyBorder="1" applyAlignment="1">
      <alignment horizontal="centerContinuous" vertical="center"/>
    </xf>
    <xf numFmtId="2" fontId="9" fillId="0" borderId="52" xfId="0" applyFont="1" applyBorder="1">
      <alignment horizontal="center" vertical="center"/>
    </xf>
    <xf numFmtId="2" fontId="9" fillId="0" borderId="56" xfId="0" applyFont="1" applyBorder="1">
      <alignment horizontal="center" vertical="center"/>
    </xf>
    <xf numFmtId="2" fontId="9" fillId="0" borderId="57" xfId="0" applyFont="1" applyBorder="1">
      <alignment horizontal="center" vertical="center"/>
    </xf>
    <xf numFmtId="2" fontId="9" fillId="0" borderId="16" xfId="0" applyFont="1" applyBorder="1">
      <alignment horizontal="center" vertical="center"/>
    </xf>
    <xf numFmtId="2" fontId="16" fillId="0" borderId="0" xfId="0" applyFont="1">
      <alignment horizontal="center" vertical="center"/>
    </xf>
    <xf numFmtId="2" fontId="8" fillId="0" borderId="26" xfId="0" applyFont="1" applyBorder="1">
      <alignment horizontal="center" vertical="center"/>
    </xf>
    <xf numFmtId="2" fontId="8" fillId="0" borderId="52" xfId="0" applyFont="1" applyBorder="1">
      <alignment horizontal="center" vertical="center"/>
    </xf>
    <xf numFmtId="2" fontId="3" fillId="0" borderId="16" xfId="0" applyFont="1" applyBorder="1" applyAlignment="1">
      <alignment horizontal="left" vertical="center"/>
    </xf>
    <xf numFmtId="2" fontId="8" fillId="0" borderId="25" xfId="0" applyFont="1" applyBorder="1">
      <alignment horizontal="center" vertical="center"/>
    </xf>
    <xf numFmtId="2" fontId="12" fillId="0" borderId="0" xfId="0" applyFont="1" applyAlignment="1">
      <alignment horizontal="centerContinuous" vertical="center"/>
    </xf>
    <xf numFmtId="165" fontId="8" fillId="0" borderId="48" xfId="0" applyNumberFormat="1" applyFont="1" applyBorder="1">
      <alignment horizontal="center" vertical="center"/>
    </xf>
    <xf numFmtId="2" fontId="8" fillId="0" borderId="8" xfId="0" applyFont="1" applyBorder="1">
      <alignment horizontal="center" vertical="center"/>
    </xf>
    <xf numFmtId="165" fontId="8" fillId="0" borderId="13" xfId="0" applyNumberFormat="1" applyFont="1" applyBorder="1">
      <alignment horizontal="center" vertical="center"/>
    </xf>
    <xf numFmtId="2" fontId="11" fillId="0" borderId="28" xfId="0" applyFont="1" applyBorder="1" applyAlignment="1">
      <alignment horizontal="left" vertical="center"/>
    </xf>
    <xf numFmtId="2" fontId="5" fillId="0" borderId="0" xfId="0" applyFont="1">
      <alignment horizontal="center" vertical="center"/>
    </xf>
    <xf numFmtId="2" fontId="8" fillId="0" borderId="56" xfId="0" applyFont="1" applyBorder="1">
      <alignment horizontal="center" vertical="center"/>
    </xf>
    <xf numFmtId="2" fontId="8" fillId="0" borderId="17" xfId="0" applyFont="1" applyBorder="1">
      <alignment horizontal="center" vertical="center"/>
    </xf>
    <xf numFmtId="2" fontId="8" fillId="0" borderId="66" xfId="0" applyFont="1" applyBorder="1">
      <alignment horizontal="center" vertical="center"/>
    </xf>
    <xf numFmtId="2" fontId="5" fillId="0" borderId="0" xfId="0" applyFont="1" applyAlignment="1">
      <alignment horizontal="right" vertical="center"/>
    </xf>
    <xf numFmtId="1" fontId="5" fillId="0" borderId="0" xfId="0" applyNumberFormat="1" applyFont="1" applyAlignment="1">
      <alignment horizontal="right" vertical="center"/>
    </xf>
    <xf numFmtId="2" fontId="5" fillId="0" borderId="0" xfId="0" applyFont="1" applyAlignment="1">
      <alignment horizontal="left" vertical="center"/>
    </xf>
    <xf numFmtId="1" fontId="16" fillId="0" borderId="0" xfId="4" applyFont="1">
      <alignment horizontal="left" vertical="center"/>
    </xf>
    <xf numFmtId="1" fontId="16" fillId="0" borderId="0" xfId="4" applyFont="1" applyAlignment="1">
      <alignment horizontal="centerContinuous" vertical="center"/>
    </xf>
    <xf numFmtId="2" fontId="8" fillId="0" borderId="26" xfId="0" applyFont="1" applyBorder="1" applyAlignment="1">
      <alignment horizontal="left" vertical="center"/>
    </xf>
    <xf numFmtId="2" fontId="8" fillId="0" borderId="71" xfId="0" applyFont="1" applyBorder="1">
      <alignment horizontal="center" vertical="center"/>
    </xf>
    <xf numFmtId="2" fontId="11" fillId="0" borderId="72" xfId="0" applyFont="1" applyBorder="1">
      <alignment horizontal="center" vertical="center"/>
    </xf>
    <xf numFmtId="2" fontId="8" fillId="0" borderId="73" xfId="0" applyFont="1" applyBorder="1" applyAlignment="1">
      <alignment horizontal="right" vertical="center"/>
    </xf>
    <xf numFmtId="2" fontId="8" fillId="0" borderId="18" xfId="0" applyFont="1" applyBorder="1" applyAlignment="1">
      <alignment horizontal="center" vertical="center" wrapText="1"/>
    </xf>
    <xf numFmtId="2" fontId="11" fillId="0" borderId="74" xfId="0" applyFont="1" applyBorder="1">
      <alignment horizontal="center" vertical="center"/>
    </xf>
    <xf numFmtId="2" fontId="8" fillId="0" borderId="75" xfId="0" applyFont="1" applyBorder="1">
      <alignment horizontal="center" vertical="center"/>
    </xf>
    <xf numFmtId="2" fontId="8" fillId="0" borderId="74" xfId="0" applyFont="1" applyBorder="1">
      <alignment horizontal="center" vertical="center"/>
    </xf>
    <xf numFmtId="2" fontId="11" fillId="0" borderId="76" xfId="0" applyFont="1" applyBorder="1">
      <alignment horizontal="center" vertical="center"/>
    </xf>
    <xf numFmtId="2" fontId="8" fillId="0" borderId="76" xfId="0" applyFont="1" applyBorder="1">
      <alignment horizontal="center" vertical="center"/>
    </xf>
    <xf numFmtId="2" fontId="4" fillId="0" borderId="28" xfId="0" applyFont="1" applyBorder="1" applyAlignment="1">
      <alignment horizontal="left" vertical="center"/>
    </xf>
    <xf numFmtId="2" fontId="3" fillId="0" borderId="36" xfId="0" applyFont="1" applyBorder="1">
      <alignment horizontal="center" vertical="center"/>
    </xf>
    <xf numFmtId="2" fontId="3" fillId="0" borderId="37" xfId="0" applyFont="1" applyBorder="1">
      <alignment horizontal="center" vertical="center"/>
    </xf>
    <xf numFmtId="1" fontId="7" fillId="0" borderId="28" xfId="4" applyBorder="1">
      <alignment horizontal="left" vertical="center"/>
    </xf>
    <xf numFmtId="2" fontId="3" fillId="0" borderId="30" xfId="0" applyFont="1" applyBorder="1">
      <alignment horizontal="center" vertical="center"/>
    </xf>
    <xf numFmtId="2" fontId="3" fillId="0" borderId="66" xfId="0" applyFont="1" applyBorder="1">
      <alignment horizontal="center" vertical="center"/>
    </xf>
    <xf numFmtId="165" fontId="3" fillId="0" borderId="0" xfId="0" applyNumberFormat="1" applyFont="1">
      <alignment horizontal="center" vertical="center"/>
    </xf>
    <xf numFmtId="2" fontId="3" fillId="0" borderId="9" xfId="0" quotePrefix="1" applyFont="1" applyBorder="1">
      <alignment horizontal="center" vertical="center"/>
    </xf>
    <xf numFmtId="168" fontId="8" fillId="0" borderId="13" xfId="0" applyNumberFormat="1" applyFont="1" applyBorder="1">
      <alignment horizontal="center" vertical="center"/>
    </xf>
    <xf numFmtId="1" fontId="3" fillId="0" borderId="0" xfId="0" applyNumberFormat="1" applyFont="1">
      <alignment horizontal="center" vertical="center"/>
    </xf>
    <xf numFmtId="2" fontId="9" fillId="0" borderId="9" xfId="0" applyFont="1" applyBorder="1">
      <alignment horizontal="center" vertical="center"/>
    </xf>
    <xf numFmtId="2" fontId="9" fillId="0" borderId="9" xfId="0" quotePrefix="1" applyFont="1" applyBorder="1">
      <alignment horizontal="center" vertical="center"/>
    </xf>
    <xf numFmtId="2" fontId="9" fillId="0" borderId="16" xfId="0" quotePrefix="1" applyFont="1" applyBorder="1">
      <alignment horizontal="center" vertical="center"/>
    </xf>
    <xf numFmtId="2" fontId="3" fillId="0" borderId="0" xfId="0" quotePrefix="1" applyFont="1">
      <alignment horizontal="center" vertical="center"/>
    </xf>
    <xf numFmtId="2" fontId="3" fillId="0" borderId="53" xfId="0" applyFont="1" applyBorder="1">
      <alignment horizontal="center" vertical="center"/>
    </xf>
    <xf numFmtId="2" fontId="3" fillId="0" borderId="56" xfId="0" quotePrefix="1" applyFont="1" applyBorder="1">
      <alignment horizontal="center" vertical="center"/>
    </xf>
    <xf numFmtId="2" fontId="0" fillId="0" borderId="53" xfId="0" applyBorder="1" applyAlignment="1">
      <alignment horizontal="centerContinuous"/>
    </xf>
    <xf numFmtId="2" fontId="9" fillId="0" borderId="23" xfId="0" applyFont="1" applyBorder="1">
      <alignment horizontal="center" vertical="center"/>
    </xf>
    <xf numFmtId="2" fontId="9" fillId="0" borderId="45" xfId="0" applyFont="1" applyBorder="1">
      <alignment horizontal="center" vertical="center"/>
    </xf>
    <xf numFmtId="2" fontId="9" fillId="0" borderId="14" xfId="0" applyFont="1" applyBorder="1">
      <alignment horizontal="center" vertical="center"/>
    </xf>
    <xf numFmtId="165" fontId="8" fillId="0" borderId="77" xfId="0" applyNumberFormat="1" applyFont="1" applyBorder="1">
      <alignment horizontal="center" vertical="center"/>
    </xf>
    <xf numFmtId="2" fontId="2" fillId="0" borderId="9" xfId="0" applyFont="1" applyBorder="1">
      <alignment horizontal="center" vertical="center"/>
    </xf>
    <xf numFmtId="2" fontId="2" fillId="0" borderId="13" xfId="0" applyFont="1" applyBorder="1">
      <alignment horizontal="center" vertical="center"/>
    </xf>
    <xf numFmtId="2" fontId="2" fillId="0" borderId="13" xfId="0" applyFont="1" applyBorder="1" applyAlignment="1">
      <alignment horizontal="left" vertical="center"/>
    </xf>
    <xf numFmtId="166" fontId="2" fillId="0" borderId="9" xfId="0" applyNumberFormat="1" applyFont="1" applyBorder="1">
      <alignment horizontal="center" vertical="center"/>
    </xf>
    <xf numFmtId="2" fontId="2" fillId="0" borderId="0" xfId="0" applyFont="1">
      <alignment horizontal="center" vertical="center"/>
    </xf>
    <xf numFmtId="2" fontId="2" fillId="0" borderId="45" xfId="0" applyFont="1" applyBorder="1">
      <alignment horizontal="center" vertical="center"/>
    </xf>
    <xf numFmtId="2" fontId="2" fillId="0" borderId="11" xfId="0" applyFont="1" applyBorder="1">
      <alignment horizontal="center" vertical="center"/>
    </xf>
    <xf numFmtId="2" fontId="2" fillId="0" borderId="47" xfId="0" applyFont="1" applyBorder="1" applyAlignment="1">
      <alignment horizontal="left" vertical="center"/>
    </xf>
    <xf numFmtId="1" fontId="2" fillId="0" borderId="8" xfId="0" applyNumberFormat="1" applyFont="1" applyBorder="1">
      <alignment horizontal="center" vertical="center"/>
    </xf>
    <xf numFmtId="166" fontId="2" fillId="0" borderId="45" xfId="0" applyNumberFormat="1" applyFont="1" applyBorder="1">
      <alignment horizontal="center" vertical="center"/>
    </xf>
    <xf numFmtId="1" fontId="14" fillId="0" borderId="0" xfId="4" applyFont="1" applyAlignment="1">
      <alignment horizontal="center" vertical="center"/>
    </xf>
    <xf numFmtId="1" fontId="3" fillId="0" borderId="5" xfId="0" applyNumberFormat="1" applyFont="1" applyBorder="1">
      <alignment horizontal="center" vertical="center"/>
    </xf>
    <xf numFmtId="165" fontId="3" fillId="0" borderId="5" xfId="0" applyNumberFormat="1" applyFont="1" applyBorder="1">
      <alignment horizontal="center" vertical="center"/>
    </xf>
    <xf numFmtId="2" fontId="8" fillId="0" borderId="0" xfId="0" applyFont="1" applyAlignment="1">
      <alignment vertical="center"/>
    </xf>
    <xf numFmtId="2" fontId="14" fillId="0" borderId="28" xfId="0" applyFont="1" applyBorder="1" applyAlignment="1">
      <alignment horizontal="left" vertical="center"/>
    </xf>
    <xf numFmtId="2" fontId="11" fillId="0" borderId="0" xfId="0" applyFont="1" applyAlignment="1">
      <alignment horizontal="left" vertical="center"/>
    </xf>
    <xf numFmtId="2" fontId="11" fillId="0" borderId="23" xfId="0" applyFont="1" applyBorder="1">
      <alignment horizontal="center" vertical="center"/>
    </xf>
    <xf numFmtId="2" fontId="0" fillId="0" borderId="4" xfId="0" applyBorder="1">
      <alignment horizontal="center" vertical="center"/>
    </xf>
    <xf numFmtId="166" fontId="8" fillId="0" borderId="0" xfId="0" applyNumberFormat="1" applyFont="1">
      <alignment horizontal="center" vertical="center"/>
    </xf>
    <xf numFmtId="2" fontId="14" fillId="0" borderId="0" xfId="0" applyFont="1" applyAlignment="1">
      <alignment horizontal="left" vertical="center"/>
    </xf>
    <xf numFmtId="2" fontId="0" fillId="0" borderId="0" xfId="0" applyAlignment="1">
      <alignment horizontal="right" vertical="center"/>
    </xf>
    <xf numFmtId="170" fontId="8" fillId="0" borderId="2" xfId="0" applyNumberFormat="1" applyFont="1" applyBorder="1">
      <alignment horizontal="center" vertical="center"/>
    </xf>
    <xf numFmtId="170" fontId="8" fillId="0" borderId="7" xfId="0" applyNumberFormat="1" applyFont="1" applyBorder="1">
      <alignment horizontal="center" vertical="center"/>
    </xf>
    <xf numFmtId="170" fontId="8" fillId="0" borderId="67" xfId="0" applyNumberFormat="1" applyFont="1" applyBorder="1">
      <alignment horizontal="center" vertical="center"/>
    </xf>
    <xf numFmtId="170" fontId="3" fillId="0" borderId="5" xfId="0" applyNumberFormat="1" applyFont="1" applyBorder="1">
      <alignment horizontal="center" vertical="center"/>
    </xf>
    <xf numFmtId="170" fontId="3" fillId="0" borderId="7" xfId="0" applyNumberFormat="1" applyFont="1" applyBorder="1">
      <alignment horizontal="center" vertical="center"/>
    </xf>
    <xf numFmtId="2" fontId="3" fillId="0" borderId="23" xfId="0" applyFont="1" applyBorder="1" applyAlignment="1">
      <alignment horizontal="left" vertical="center"/>
    </xf>
    <xf numFmtId="2" fontId="3" fillId="0" borderId="5" xfId="0" quotePrefix="1" applyFont="1" applyBorder="1">
      <alignment horizontal="center" vertical="center"/>
    </xf>
    <xf numFmtId="166" fontId="8" fillId="0" borderId="11" xfId="0" applyNumberFormat="1" applyFont="1" applyBorder="1">
      <alignment horizontal="center" vertical="center"/>
    </xf>
    <xf numFmtId="2" fontId="9" fillId="1" borderId="1" xfId="0" applyFont="1" applyFill="1" applyBorder="1" applyAlignment="1">
      <alignment vertical="center"/>
    </xf>
    <xf numFmtId="1" fontId="9" fillId="0" borderId="2" xfId="0" applyNumberFormat="1" applyFont="1" applyBorder="1" applyAlignment="1">
      <alignment horizontal="left" vertical="center"/>
    </xf>
    <xf numFmtId="2" fontId="0" fillId="0" borderId="80" xfId="0" applyBorder="1">
      <alignment horizontal="center" vertical="center"/>
    </xf>
    <xf numFmtId="2" fontId="8" fillId="0" borderId="80" xfId="0" applyFont="1" applyBorder="1">
      <alignment horizontal="center" vertical="center"/>
    </xf>
    <xf numFmtId="170" fontId="8" fillId="0" borderId="54" xfId="0" applyNumberFormat="1" applyFont="1" applyBorder="1">
      <alignment horizontal="center" vertical="center"/>
    </xf>
    <xf numFmtId="170" fontId="8" fillId="0" borderId="59" xfId="0" applyNumberFormat="1" applyFont="1" applyBorder="1">
      <alignment horizontal="center" vertical="center"/>
    </xf>
    <xf numFmtId="170" fontId="8" fillId="0" borderId="15" xfId="0" applyNumberFormat="1" applyFont="1" applyBorder="1">
      <alignment horizontal="center" vertical="center"/>
    </xf>
    <xf numFmtId="2" fontId="11" fillId="0" borderId="0" xfId="0" applyFont="1" applyAlignment="1">
      <alignment horizontal="right" vertical="center"/>
    </xf>
    <xf numFmtId="2" fontId="8" fillId="0" borderId="23" xfId="0" applyFont="1" applyBorder="1" applyAlignment="1">
      <alignment horizontal="centerContinuous"/>
    </xf>
    <xf numFmtId="17" fontId="8" fillId="0" borderId="0" xfId="0" applyNumberFormat="1" applyFont="1" applyAlignment="1">
      <alignment horizontal="right" vertical="center"/>
    </xf>
    <xf numFmtId="14" fontId="8" fillId="0" borderId="0" xfId="0" applyNumberFormat="1" applyFont="1" applyAlignment="1">
      <alignment horizontal="right" vertical="center"/>
    </xf>
    <xf numFmtId="2" fontId="11" fillId="0" borderId="36" xfId="0" applyFont="1" applyBorder="1" applyAlignment="1">
      <alignment horizontal="right" vertical="center"/>
    </xf>
    <xf numFmtId="2" fontId="0" fillId="0" borderId="23" xfId="0" applyBorder="1" applyAlignment="1">
      <alignment horizontal="center"/>
    </xf>
    <xf numFmtId="1" fontId="11" fillId="0" borderId="23" xfId="0" applyNumberFormat="1" applyFont="1" applyBorder="1">
      <alignment horizontal="center" vertical="center"/>
    </xf>
    <xf numFmtId="2" fontId="11" fillId="0" borderId="37" xfId="0" applyFont="1" applyBorder="1">
      <alignment horizontal="center" vertical="center"/>
    </xf>
    <xf numFmtId="1" fontId="2" fillId="0" borderId="82" xfId="0" applyNumberFormat="1" applyFont="1" applyBorder="1">
      <alignment horizontal="center" vertical="center"/>
    </xf>
    <xf numFmtId="166" fontId="2" fillId="0" borderId="83" xfId="0" applyNumberFormat="1" applyFont="1" applyBorder="1">
      <alignment horizontal="center" vertical="center"/>
    </xf>
    <xf numFmtId="166" fontId="2" fillId="0" borderId="84" xfId="0" applyNumberFormat="1" applyFont="1" applyBorder="1">
      <alignment horizontal="center" vertical="center"/>
    </xf>
    <xf numFmtId="2" fontId="14" fillId="0" borderId="62" xfId="0" applyFont="1" applyBorder="1">
      <alignment horizontal="center" vertical="center"/>
    </xf>
    <xf numFmtId="2" fontId="7" fillId="0" borderId="61" xfId="0" applyFont="1" applyBorder="1" applyAlignment="1">
      <alignment horizontal="centerContinuous" vertical="center"/>
    </xf>
    <xf numFmtId="2" fontId="12" fillId="0" borderId="64" xfId="0" applyFont="1" applyBorder="1">
      <alignment horizontal="center" vertical="center"/>
    </xf>
    <xf numFmtId="2" fontId="14" fillId="0" borderId="17" xfId="0" applyFont="1" applyBorder="1">
      <alignment horizontal="center" vertical="center"/>
    </xf>
    <xf numFmtId="2" fontId="14" fillId="0" borderId="66" xfId="0" applyFont="1" applyBorder="1">
      <alignment horizontal="center" vertical="center"/>
    </xf>
    <xf numFmtId="2" fontId="3" fillId="0" borderId="64" xfId="0" applyFont="1" applyBorder="1" applyAlignment="1">
      <alignment horizontal="centerContinuous" vertical="center"/>
    </xf>
    <xf numFmtId="2" fontId="3" fillId="0" borderId="17" xfId="0" applyFont="1" applyBorder="1" applyAlignment="1">
      <alignment horizontal="right" vertical="center"/>
    </xf>
    <xf numFmtId="2" fontId="3" fillId="0" borderId="66" xfId="0" applyFont="1" applyBorder="1" applyAlignment="1">
      <alignment horizontal="right" vertical="center"/>
    </xf>
    <xf numFmtId="2" fontId="2" fillId="0" borderId="8" xfId="0" applyFont="1" applyBorder="1">
      <alignment horizontal="center" vertical="center"/>
    </xf>
    <xf numFmtId="2" fontId="2" fillId="0" borderId="3" xfId="0" applyFont="1" applyBorder="1">
      <alignment horizontal="center" vertical="center"/>
    </xf>
    <xf numFmtId="2" fontId="2" fillId="0" borderId="7" xfId="0" applyFont="1" applyBorder="1">
      <alignment horizontal="center" vertical="center"/>
    </xf>
    <xf numFmtId="166" fontId="2" fillId="0" borderId="3" xfId="0" applyNumberFormat="1" applyFont="1" applyBorder="1">
      <alignment horizontal="center" vertical="center"/>
    </xf>
    <xf numFmtId="165" fontId="8" fillId="0" borderId="16" xfId="0" applyNumberFormat="1" applyFont="1" applyBorder="1">
      <alignment horizontal="center" vertical="center"/>
    </xf>
    <xf numFmtId="2" fontId="12" fillId="0" borderId="53" xfId="0" applyFont="1" applyBorder="1">
      <alignment horizontal="center" vertical="center"/>
    </xf>
    <xf numFmtId="2" fontId="3" fillId="0" borderId="65" xfId="0" applyFont="1" applyBorder="1">
      <alignment horizontal="center" vertical="center"/>
    </xf>
    <xf numFmtId="14" fontId="9" fillId="0" borderId="2" xfId="0" applyNumberFormat="1" applyFont="1" applyBorder="1" applyAlignment="1">
      <alignment horizontal="left" vertical="center"/>
    </xf>
    <xf numFmtId="167" fontId="3" fillId="0" borderId="7" xfId="0" applyNumberFormat="1" applyFont="1" applyBorder="1">
      <alignment horizontal="center" vertical="center"/>
    </xf>
    <xf numFmtId="167" fontId="8" fillId="0" borderId="13" xfId="0" applyNumberFormat="1" applyFont="1" applyBorder="1">
      <alignment horizontal="center" vertical="center"/>
    </xf>
    <xf numFmtId="167" fontId="8" fillId="0" borderId="0" xfId="0" applyNumberFormat="1" applyFont="1">
      <alignment horizontal="center" vertical="center"/>
    </xf>
    <xf numFmtId="167" fontId="8" fillId="0" borderId="1" xfId="0" applyNumberFormat="1" applyFont="1" applyBorder="1">
      <alignment horizontal="center" vertical="center"/>
    </xf>
    <xf numFmtId="171" fontId="8" fillId="0" borderId="7" xfId="0" applyNumberFormat="1" applyFont="1" applyBorder="1">
      <alignment horizontal="center" vertical="center"/>
    </xf>
    <xf numFmtId="171" fontId="3" fillId="0" borderId="5" xfId="0" applyNumberFormat="1" applyFont="1" applyBorder="1">
      <alignment horizontal="center" vertical="center"/>
    </xf>
    <xf numFmtId="171" fontId="3" fillId="0" borderId="7" xfId="0" applyNumberFormat="1" applyFont="1" applyBorder="1">
      <alignment horizontal="center" vertical="center"/>
    </xf>
    <xf numFmtId="2" fontId="2" fillId="0" borderId="30" xfId="0" applyFont="1" applyBorder="1" applyAlignment="1">
      <alignment horizontal="left" vertical="center"/>
    </xf>
    <xf numFmtId="2" fontId="2" fillId="0" borderId="0" xfId="0" applyFont="1" applyAlignment="1">
      <alignment horizontal="centerContinuous" vertical="center"/>
    </xf>
    <xf numFmtId="166" fontId="12" fillId="0" borderId="0" xfId="0" applyNumberFormat="1" applyFont="1">
      <alignment horizontal="center" vertical="center"/>
    </xf>
    <xf numFmtId="2" fontId="2" fillId="0" borderId="0" xfId="0" applyFont="1" applyAlignment="1">
      <alignment horizontal="left"/>
    </xf>
    <xf numFmtId="2" fontId="2" fillId="0" borderId="0" xfId="0" applyFont="1" applyAlignment="1">
      <alignment horizontal="left" vertical="center"/>
    </xf>
    <xf numFmtId="2" fontId="3" fillId="0" borderId="30" xfId="0" applyFont="1" applyBorder="1" applyAlignment="1">
      <alignment horizontal="left" vertical="center"/>
    </xf>
    <xf numFmtId="2" fontId="18" fillId="0" borderId="30" xfId="0" applyFont="1" applyBorder="1" applyAlignment="1">
      <alignment horizontal="left" vertical="center"/>
    </xf>
    <xf numFmtId="2" fontId="18" fillId="0" borderId="2" xfId="0" applyFont="1" applyBorder="1" applyAlignment="1">
      <alignment horizontal="left" vertical="center"/>
    </xf>
    <xf numFmtId="2" fontId="18" fillId="0" borderId="36" xfId="0" applyFont="1" applyBorder="1" applyAlignment="1">
      <alignment horizontal="left" vertical="center"/>
    </xf>
    <xf numFmtId="2" fontId="18" fillId="0" borderId="0" xfId="0" applyFont="1" applyAlignment="1">
      <alignment horizontal="left" vertical="center"/>
    </xf>
    <xf numFmtId="167" fontId="8" fillId="0" borderId="47" xfId="0" applyNumberFormat="1" applyFont="1" applyBorder="1">
      <alignment horizontal="center" vertical="center"/>
    </xf>
    <xf numFmtId="167" fontId="3" fillId="0" borderId="47" xfId="0" applyNumberFormat="1" applyFont="1" applyBorder="1">
      <alignment horizontal="center" vertical="center"/>
    </xf>
    <xf numFmtId="167" fontId="3" fillId="0" borderId="14" xfId="0" applyNumberFormat="1" applyFont="1" applyBorder="1">
      <alignment horizontal="center" vertical="center"/>
    </xf>
    <xf numFmtId="2" fontId="8" fillId="0" borderId="30" xfId="0" applyFont="1" applyBorder="1" applyAlignment="1">
      <alignment horizontal="left" vertical="center"/>
    </xf>
    <xf numFmtId="2" fontId="3" fillId="0" borderId="45" xfId="0" applyFont="1" applyBorder="1">
      <alignment horizontal="center" vertical="center"/>
    </xf>
    <xf numFmtId="2" fontId="3" fillId="0" borderId="47" xfId="0" applyFont="1" applyBorder="1">
      <alignment horizontal="center" vertical="center"/>
    </xf>
    <xf numFmtId="2" fontId="0" fillId="0" borderId="17" xfId="0" applyBorder="1">
      <alignment horizontal="center" vertical="center"/>
    </xf>
    <xf numFmtId="2" fontId="10" fillId="0" borderId="36" xfId="0" applyFont="1" applyBorder="1">
      <alignment horizontal="center" vertical="center"/>
    </xf>
    <xf numFmtId="2" fontId="20" fillId="0" borderId="0" xfId="0" applyFont="1" applyAlignment="1">
      <alignment horizontal="left" vertical="center"/>
    </xf>
    <xf numFmtId="2" fontId="21" fillId="0" borderId="0" xfId="0" applyFont="1">
      <alignment horizontal="center" vertical="center"/>
    </xf>
    <xf numFmtId="2" fontId="8" fillId="0" borderId="11" xfId="0" applyFont="1" applyBorder="1">
      <alignment horizontal="center" vertical="center"/>
    </xf>
    <xf numFmtId="165" fontId="8" fillId="0" borderId="11" xfId="0" applyNumberFormat="1" applyFont="1" applyBorder="1">
      <alignment horizontal="center" vertical="center"/>
    </xf>
    <xf numFmtId="167" fontId="8" fillId="0" borderId="19" xfId="0" applyNumberFormat="1" applyFont="1" applyBorder="1">
      <alignment horizontal="center" vertical="center"/>
    </xf>
    <xf numFmtId="171" fontId="8" fillId="0" borderId="67" xfId="0" applyNumberFormat="1" applyFont="1" applyBorder="1">
      <alignment horizontal="center" vertical="center"/>
    </xf>
    <xf numFmtId="2" fontId="21" fillId="0" borderId="0" xfId="0" applyFont="1" applyAlignment="1">
      <alignment horizontal="right" vertical="center"/>
    </xf>
    <xf numFmtId="2" fontId="4" fillId="0" borderId="62" xfId="0" applyFont="1" applyBorder="1" applyAlignment="1">
      <alignment horizontal="centerContinuous" vertical="center"/>
    </xf>
    <xf numFmtId="2" fontId="8" fillId="0" borderId="53" xfId="0" applyFont="1" applyBorder="1">
      <alignment horizontal="center" vertical="center"/>
    </xf>
    <xf numFmtId="2" fontId="17" fillId="0" borderId="17" xfId="0" applyFont="1" applyBorder="1" applyAlignment="1">
      <alignment horizontal="right" vertical="center"/>
    </xf>
    <xf numFmtId="166" fontId="8" fillId="0" borderId="36" xfId="0" applyNumberFormat="1" applyFont="1" applyBorder="1">
      <alignment horizontal="center" vertical="center"/>
    </xf>
    <xf numFmtId="2" fontId="5" fillId="0" borderId="23" xfId="0" applyFont="1" applyBorder="1" applyAlignment="1">
      <alignment horizontal="centerContinuous"/>
    </xf>
    <xf numFmtId="10" fontId="8" fillId="0" borderId="47" xfId="0" applyNumberFormat="1" applyFont="1" applyBorder="1">
      <alignment horizontal="center" vertical="center"/>
    </xf>
    <xf numFmtId="2" fontId="8" fillId="0" borderId="24" xfId="0" applyFont="1" applyBorder="1">
      <alignment horizontal="center" vertical="center"/>
    </xf>
    <xf numFmtId="166" fontId="8" fillId="0" borderId="18" xfId="0" applyNumberFormat="1" applyFont="1" applyBorder="1">
      <alignment horizontal="center" vertical="center"/>
    </xf>
    <xf numFmtId="166" fontId="0" fillId="0" borderId="7" xfId="0" applyNumberFormat="1" applyBorder="1">
      <alignment horizontal="center" vertical="center"/>
    </xf>
    <xf numFmtId="166" fontId="21" fillId="0" borderId="7" xfId="0" applyNumberFormat="1" applyFont="1" applyBorder="1">
      <alignment horizontal="center" vertical="center"/>
    </xf>
    <xf numFmtId="2" fontId="21" fillId="0" borderId="28" xfId="0" applyFont="1" applyBorder="1" applyAlignment="1">
      <alignment horizontal="centerContinuous" vertical="center"/>
    </xf>
    <xf numFmtId="2" fontId="24" fillId="0" borderId="3" xfId="0" applyFont="1" applyBorder="1">
      <alignment horizontal="center" vertical="center"/>
    </xf>
    <xf numFmtId="2" fontId="24" fillId="0" borderId="5" xfId="0" applyFont="1" applyBorder="1">
      <alignment horizontal="center" vertical="center"/>
    </xf>
    <xf numFmtId="165" fontId="8" fillId="0" borderId="59" xfId="0" applyNumberFormat="1" applyFont="1" applyBorder="1">
      <alignment horizontal="center" vertical="center"/>
    </xf>
    <xf numFmtId="170" fontId="8" fillId="0" borderId="5" xfId="0" applyNumberFormat="1" applyFont="1" applyBorder="1">
      <alignment horizontal="center" vertical="center"/>
    </xf>
    <xf numFmtId="1" fontId="8" fillId="0" borderId="5" xfId="0" applyNumberFormat="1" applyFont="1" applyBorder="1">
      <alignment horizontal="center" vertical="center"/>
    </xf>
    <xf numFmtId="171" fontId="8" fillId="0" borderId="5" xfId="0" applyNumberFormat="1" applyFont="1" applyBorder="1">
      <alignment horizontal="center" vertical="center"/>
    </xf>
    <xf numFmtId="165" fontId="8" fillId="0" borderId="5" xfId="0" applyNumberFormat="1" applyFont="1" applyBorder="1">
      <alignment horizontal="center" vertical="center"/>
    </xf>
    <xf numFmtId="167" fontId="8" fillId="0" borderId="14" xfId="0" applyNumberFormat="1" applyFont="1" applyBorder="1">
      <alignment horizontal="center" vertical="center"/>
    </xf>
    <xf numFmtId="2" fontId="3" fillId="0" borderId="18" xfId="0" applyFont="1" applyBorder="1">
      <alignment horizontal="center" vertical="center"/>
    </xf>
    <xf numFmtId="2" fontId="17" fillId="0" borderId="0" xfId="0" applyFont="1" applyAlignment="1">
      <alignment horizontal="left" vertical="center"/>
    </xf>
    <xf numFmtId="2" fontId="18" fillId="3" borderId="0" xfId="0" applyFont="1" applyFill="1" applyAlignment="1">
      <alignment horizontal="left" vertical="center"/>
    </xf>
    <xf numFmtId="2" fontId="8" fillId="3" borderId="0" xfId="0" applyFont="1" applyFill="1">
      <alignment horizontal="center" vertical="center"/>
    </xf>
    <xf numFmtId="2" fontId="8" fillId="3" borderId="31" xfId="0" applyFont="1" applyFill="1" applyBorder="1" applyAlignment="1">
      <alignment horizontal="left" vertical="center"/>
    </xf>
    <xf numFmtId="2" fontId="8" fillId="3" borderId="2" xfId="0" applyFont="1" applyFill="1" applyBorder="1">
      <alignment horizontal="center" vertical="center"/>
    </xf>
    <xf numFmtId="2" fontId="18" fillId="3" borderId="2" xfId="0" applyFont="1" applyFill="1" applyBorder="1" applyAlignment="1">
      <alignment horizontal="left" vertical="center"/>
    </xf>
    <xf numFmtId="2" fontId="18" fillId="3" borderId="31" xfId="0" applyFont="1" applyFill="1" applyBorder="1" applyAlignment="1">
      <alignment horizontal="left" vertical="center"/>
    </xf>
    <xf numFmtId="1" fontId="8" fillId="0" borderId="15" xfId="0" applyNumberFormat="1" applyFont="1" applyBorder="1">
      <alignment horizontal="center" vertical="center"/>
    </xf>
    <xf numFmtId="1" fontId="8" fillId="0" borderId="18" xfId="0" applyNumberFormat="1" applyFont="1" applyBorder="1">
      <alignment horizontal="center" vertical="center"/>
    </xf>
    <xf numFmtId="1" fontId="21" fillId="0" borderId="23" xfId="0" applyNumberFormat="1" applyFont="1" applyBorder="1">
      <alignment horizontal="center" vertical="center"/>
    </xf>
    <xf numFmtId="1" fontId="21" fillId="0" borderId="36" xfId="0" applyNumberFormat="1" applyFont="1" applyBorder="1">
      <alignment horizontal="center" vertical="center"/>
    </xf>
    <xf numFmtId="1" fontId="21" fillId="0" borderId="37" xfId="0" applyNumberFormat="1" applyFont="1" applyBorder="1">
      <alignment horizontal="center" vertical="center"/>
    </xf>
    <xf numFmtId="2" fontId="17" fillId="0" borderId="0" xfId="0" applyFont="1" applyAlignment="1">
      <alignment horizontal="left"/>
    </xf>
    <xf numFmtId="2" fontId="12" fillId="0" borderId="4" xfId="0" applyFont="1" applyBorder="1">
      <alignment horizontal="center" vertical="center"/>
    </xf>
    <xf numFmtId="2" fontId="12" fillId="0" borderId="4" xfId="0" applyFont="1" applyBorder="1" applyAlignment="1">
      <alignment horizontal="right" vertical="center"/>
    </xf>
    <xf numFmtId="2" fontId="12" fillId="0" borderId="65" xfId="0" applyFont="1" applyBorder="1">
      <alignment horizontal="center" vertical="center"/>
    </xf>
    <xf numFmtId="9" fontId="19" fillId="0" borderId="7" xfId="0" quotePrefix="1" applyNumberFormat="1" applyFont="1" applyBorder="1">
      <alignment horizontal="center" vertical="center"/>
    </xf>
    <xf numFmtId="1" fontId="19" fillId="0" borderId="3" xfId="0" quotePrefix="1" applyNumberFormat="1" applyFont="1" applyBorder="1">
      <alignment horizontal="center" vertical="center"/>
    </xf>
    <xf numFmtId="2" fontId="2" fillId="0" borderId="7" xfId="0" applyFont="1" applyBorder="1" applyAlignment="1">
      <alignment horizontal="left" vertical="center"/>
    </xf>
    <xf numFmtId="2" fontId="25" fillId="0" borderId="0" xfId="0" applyFont="1">
      <alignment horizontal="center" vertical="center"/>
    </xf>
    <xf numFmtId="2" fontId="25" fillId="0" borderId="4" xfId="0" applyFont="1" applyBorder="1">
      <alignment horizontal="center" vertical="center"/>
    </xf>
    <xf numFmtId="2" fontId="26" fillId="0" borderId="0" xfId="0" applyFont="1">
      <alignment horizontal="center" vertical="center"/>
    </xf>
    <xf numFmtId="2" fontId="26" fillId="0" borderId="0" xfId="0" applyFont="1" applyAlignment="1">
      <alignment horizontal="right" vertical="center"/>
    </xf>
    <xf numFmtId="2" fontId="28" fillId="0" borderId="0" xfId="0" applyFont="1">
      <alignment horizontal="center" vertical="center"/>
    </xf>
    <xf numFmtId="2" fontId="28" fillId="0" borderId="0" xfId="0" applyFont="1" applyAlignment="1">
      <alignment horizontal="left" vertical="center"/>
    </xf>
    <xf numFmtId="1" fontId="28" fillId="0" borderId="0" xfId="0" applyNumberFormat="1" applyFont="1">
      <alignment horizontal="center" vertical="center"/>
    </xf>
    <xf numFmtId="2" fontId="30" fillId="0" borderId="0" xfId="0" applyFont="1" applyAlignment="1">
      <alignment horizontal="centerContinuous" vertical="center"/>
    </xf>
    <xf numFmtId="2" fontId="28" fillId="0" borderId="0" xfId="0" applyFont="1" applyAlignment="1">
      <alignment horizontal="centerContinuous" vertical="center"/>
    </xf>
    <xf numFmtId="2" fontId="30" fillId="0" borderId="0" xfId="0" applyFont="1">
      <alignment horizontal="center" vertical="center"/>
    </xf>
    <xf numFmtId="2" fontId="30" fillId="0" borderId="9" xfId="0" applyFont="1" applyBorder="1">
      <alignment horizontal="center" vertical="center"/>
    </xf>
    <xf numFmtId="2" fontId="30" fillId="0" borderId="3" xfId="0" applyFont="1" applyBorder="1">
      <alignment horizontal="center" vertical="center"/>
    </xf>
    <xf numFmtId="2" fontId="30" fillId="0" borderId="11" xfId="0" applyFont="1" applyBorder="1">
      <alignment horizontal="center" vertical="center"/>
    </xf>
    <xf numFmtId="2" fontId="30" fillId="0" borderId="13" xfId="0" applyFont="1" applyBorder="1" applyAlignment="1">
      <alignment horizontal="left" vertical="center"/>
    </xf>
    <xf numFmtId="2" fontId="30" fillId="0" borderId="7" xfId="0" applyFont="1" applyBorder="1" applyAlignment="1">
      <alignment horizontal="left" vertical="center"/>
    </xf>
    <xf numFmtId="1" fontId="30" fillId="0" borderId="8" xfId="0" applyNumberFormat="1" applyFont="1" applyBorder="1">
      <alignment horizontal="center" vertical="center"/>
    </xf>
    <xf numFmtId="166" fontId="30" fillId="0" borderId="9" xfId="0" applyNumberFormat="1" applyFont="1" applyBorder="1">
      <alignment horizontal="center" vertical="center"/>
    </xf>
    <xf numFmtId="166" fontId="30" fillId="0" borderId="3" xfId="0" applyNumberFormat="1" applyFont="1" applyBorder="1">
      <alignment horizontal="center" vertical="center"/>
    </xf>
    <xf numFmtId="1" fontId="30" fillId="0" borderId="51" xfId="0" applyNumberFormat="1" applyFont="1" applyBorder="1">
      <alignment horizontal="center" vertical="center"/>
    </xf>
    <xf numFmtId="166" fontId="30" fillId="0" borderId="16" xfId="0" applyNumberFormat="1" applyFont="1" applyBorder="1">
      <alignment horizontal="center" vertical="center"/>
    </xf>
    <xf numFmtId="166" fontId="30" fillId="0" borderId="5" xfId="0" applyNumberFormat="1" applyFont="1" applyBorder="1">
      <alignment horizontal="center" vertical="center"/>
    </xf>
    <xf numFmtId="166" fontId="30" fillId="0" borderId="0" xfId="0" applyNumberFormat="1" applyFont="1">
      <alignment horizontal="center" vertical="center"/>
    </xf>
    <xf numFmtId="49" fontId="28" fillId="0" borderId="0" xfId="0" applyNumberFormat="1" applyFont="1">
      <alignment horizontal="center" vertical="center"/>
    </xf>
    <xf numFmtId="174" fontId="21" fillId="0" borderId="0" xfId="0" applyNumberFormat="1" applyFont="1">
      <alignment horizontal="center" vertical="center"/>
    </xf>
    <xf numFmtId="174" fontId="21" fillId="0" borderId="0" xfId="0" applyNumberFormat="1" applyFont="1" applyAlignment="1">
      <alignment horizontal="left" vertical="center"/>
    </xf>
    <xf numFmtId="49" fontId="21" fillId="0" borderId="0" xfId="0" applyNumberFormat="1" applyFont="1">
      <alignment horizontal="center" vertical="center"/>
    </xf>
    <xf numFmtId="174" fontId="8" fillId="0" borderId="0" xfId="0" applyNumberFormat="1" applyFont="1" applyAlignment="1">
      <alignment horizontal="right" vertical="center"/>
    </xf>
    <xf numFmtId="174" fontId="0" fillId="0" borderId="0" xfId="0" applyNumberFormat="1">
      <alignment horizontal="center" vertical="center"/>
    </xf>
    <xf numFmtId="174" fontId="18" fillId="3" borderId="31" xfId="0" applyNumberFormat="1" applyFont="1" applyFill="1" applyBorder="1" applyAlignment="1">
      <alignment horizontal="left" vertical="center"/>
    </xf>
    <xf numFmtId="174" fontId="18" fillId="3" borderId="0" xfId="0" applyNumberFormat="1" applyFont="1" applyFill="1" applyAlignment="1">
      <alignment horizontal="left" vertical="center"/>
    </xf>
    <xf numFmtId="174" fontId="18" fillId="3" borderId="2" xfId="0" applyNumberFormat="1" applyFont="1" applyFill="1" applyBorder="1" applyAlignment="1">
      <alignment horizontal="left" vertical="center"/>
    </xf>
    <xf numFmtId="174" fontId="8" fillId="0" borderId="36" xfId="0" applyNumberFormat="1" applyFont="1" applyBorder="1">
      <alignment horizontal="center" vertical="center"/>
    </xf>
    <xf numFmtId="174" fontId="3" fillId="0" borderId="0" xfId="0" applyNumberFormat="1" applyFont="1">
      <alignment horizontal="center" vertical="center"/>
    </xf>
    <xf numFmtId="174" fontId="0" fillId="0" borderId="30" xfId="0" applyNumberFormat="1" applyBorder="1">
      <alignment horizontal="center" vertical="center"/>
    </xf>
    <xf numFmtId="2" fontId="31" fillId="0" borderId="0" xfId="0" applyFont="1" applyAlignment="1">
      <alignment horizontal="right" vertical="center"/>
    </xf>
    <xf numFmtId="2" fontId="32" fillId="0" borderId="0" xfId="0" applyFont="1" applyAlignment="1">
      <alignment horizontal="right" vertical="center"/>
    </xf>
    <xf numFmtId="2" fontId="32" fillId="0" borderId="0" xfId="0" applyFont="1" applyAlignment="1">
      <alignment horizontal="left" vertical="center"/>
    </xf>
    <xf numFmtId="2" fontId="8" fillId="0" borderId="32" xfId="0" applyFont="1" applyBorder="1" applyAlignment="1">
      <alignment horizontal="left" vertical="center"/>
    </xf>
    <xf numFmtId="168" fontId="8" fillId="0" borderId="89" xfId="0" applyNumberFormat="1" applyFont="1" applyBorder="1">
      <alignment horizontal="center" vertical="center"/>
    </xf>
    <xf numFmtId="168" fontId="8" fillId="0" borderId="71" xfId="0" applyNumberFormat="1" applyFont="1" applyBorder="1">
      <alignment horizontal="center" vertical="center"/>
    </xf>
    <xf numFmtId="179" fontId="9" fillId="0" borderId="88" xfId="0" applyNumberFormat="1" applyFont="1" applyBorder="1" applyAlignment="1">
      <alignment horizontal="left" vertical="center"/>
    </xf>
    <xf numFmtId="2" fontId="37" fillId="0" borderId="0" xfId="0" applyFont="1" applyAlignment="1">
      <alignment horizontal="right" vertical="center"/>
    </xf>
    <xf numFmtId="174" fontId="38" fillId="0" borderId="2" xfId="0" applyNumberFormat="1" applyFont="1" applyBorder="1">
      <alignment horizontal="center" vertical="center"/>
    </xf>
    <xf numFmtId="1" fontId="21" fillId="0" borderId="0" xfId="0" applyNumberFormat="1" applyFont="1" applyAlignment="1">
      <alignment horizontal="center"/>
    </xf>
    <xf numFmtId="1" fontId="8" fillId="0" borderId="28" xfId="0" applyNumberFormat="1" applyFont="1" applyBorder="1" applyAlignment="1">
      <alignment horizontal="right" vertical="center"/>
    </xf>
    <xf numFmtId="2" fontId="18" fillId="0" borderId="80" xfId="0" applyFont="1" applyBorder="1" applyAlignment="1">
      <alignment vertical="center"/>
    </xf>
    <xf numFmtId="2" fontId="18" fillId="0" borderId="91" xfId="0" applyFont="1" applyBorder="1" applyAlignment="1">
      <alignment vertical="center"/>
    </xf>
    <xf numFmtId="1" fontId="8" fillId="5" borderId="2" xfId="0" applyNumberFormat="1" applyFont="1" applyFill="1" applyBorder="1" applyProtection="1">
      <alignment horizontal="center" vertical="center"/>
      <protection locked="0"/>
    </xf>
    <xf numFmtId="1" fontId="8" fillId="5" borderId="18" xfId="0" applyNumberFormat="1" applyFont="1" applyFill="1" applyBorder="1" applyProtection="1">
      <alignment horizontal="center" vertical="center"/>
      <protection locked="0"/>
    </xf>
    <xf numFmtId="170" fontId="3" fillId="5" borderId="1" xfId="0" applyNumberFormat="1" applyFont="1" applyFill="1" applyBorder="1" applyProtection="1">
      <alignment horizontal="center" vertical="center"/>
      <protection locked="0"/>
    </xf>
    <xf numFmtId="2" fontId="8" fillId="5" borderId="5" xfId="0" applyFont="1" applyFill="1" applyBorder="1" applyProtection="1">
      <alignment horizontal="center" vertical="center"/>
      <protection locked="0"/>
    </xf>
    <xf numFmtId="1" fontId="8" fillId="5" borderId="7" xfId="0" applyNumberFormat="1" applyFont="1" applyFill="1" applyBorder="1" applyProtection="1">
      <alignment horizontal="center" vertical="center"/>
      <protection locked="0"/>
    </xf>
    <xf numFmtId="2" fontId="8" fillId="5" borderId="7" xfId="0" applyFont="1" applyFill="1" applyBorder="1" applyProtection="1">
      <alignment horizontal="center" vertical="center"/>
      <protection locked="0"/>
    </xf>
    <xf numFmtId="165" fontId="8" fillId="5" borderId="7" xfId="0" applyNumberFormat="1" applyFont="1" applyFill="1" applyBorder="1" applyProtection="1">
      <alignment horizontal="center" vertical="center"/>
      <protection locked="0"/>
    </xf>
    <xf numFmtId="167" fontId="8" fillId="5" borderId="47" xfId="0" applyNumberFormat="1" applyFont="1" applyFill="1" applyBorder="1" applyProtection="1">
      <alignment horizontal="center" vertical="center"/>
      <protection locked="0"/>
    </xf>
    <xf numFmtId="2" fontId="8" fillId="5" borderId="67" xfId="0" applyFont="1" applyFill="1" applyBorder="1" applyProtection="1">
      <alignment horizontal="center" vertical="center"/>
      <protection locked="0"/>
    </xf>
    <xf numFmtId="165" fontId="8" fillId="5" borderId="67" xfId="0" applyNumberFormat="1" applyFont="1" applyFill="1" applyBorder="1" applyProtection="1">
      <alignment horizontal="center" vertical="center"/>
      <protection locked="0"/>
    </xf>
    <xf numFmtId="167" fontId="8" fillId="5" borderId="84" xfId="0" applyNumberFormat="1" applyFont="1" applyFill="1" applyBorder="1" applyProtection="1">
      <alignment horizontal="center" vertical="center"/>
      <protection locked="0"/>
    </xf>
    <xf numFmtId="2" fontId="8" fillId="5" borderId="11" xfId="0" applyFont="1" applyFill="1" applyBorder="1" applyProtection="1">
      <alignment horizontal="center" vertical="center"/>
      <protection locked="0"/>
    </xf>
    <xf numFmtId="165" fontId="8" fillId="5" borderId="11" xfId="0" applyNumberFormat="1" applyFont="1" applyFill="1" applyBorder="1" applyProtection="1">
      <alignment horizontal="center" vertical="center"/>
      <protection locked="0"/>
    </xf>
    <xf numFmtId="167" fontId="8" fillId="5" borderId="19" xfId="0" applyNumberFormat="1" applyFont="1" applyFill="1" applyBorder="1" applyProtection="1">
      <alignment horizontal="center" vertical="center"/>
      <protection locked="0"/>
    </xf>
    <xf numFmtId="165" fontId="8" fillId="5" borderId="59" xfId="0" applyNumberFormat="1" applyFont="1" applyFill="1" applyBorder="1" applyProtection="1">
      <alignment horizontal="center" vertical="center"/>
      <protection locked="0"/>
    </xf>
    <xf numFmtId="165" fontId="8" fillId="5" borderId="92" xfId="0" applyNumberFormat="1" applyFont="1" applyFill="1" applyBorder="1" applyProtection="1">
      <alignment horizontal="center" vertical="center"/>
      <protection locked="0"/>
    </xf>
    <xf numFmtId="1" fontId="8" fillId="5" borderId="1" xfId="0" applyNumberFormat="1" applyFont="1" applyFill="1" applyBorder="1" applyProtection="1">
      <alignment horizontal="center" vertical="center"/>
      <protection locked="0"/>
    </xf>
    <xf numFmtId="2" fontId="3" fillId="5" borderId="18" xfId="0" applyFont="1" applyFill="1" applyBorder="1" applyProtection="1">
      <alignment horizontal="center" vertical="center"/>
      <protection locked="0"/>
    </xf>
    <xf numFmtId="2" fontId="3" fillId="5" borderId="7" xfId="0" applyFont="1" applyFill="1" applyBorder="1" applyProtection="1">
      <alignment horizontal="center" vertical="center"/>
      <protection locked="0"/>
    </xf>
    <xf numFmtId="165" fontId="3" fillId="5" borderId="7" xfId="0" applyNumberFormat="1" applyFont="1" applyFill="1" applyBorder="1" applyProtection="1">
      <alignment horizontal="center" vertical="center"/>
      <protection locked="0"/>
    </xf>
    <xf numFmtId="167" fontId="3" fillId="5" borderId="47" xfId="0" applyNumberFormat="1" applyFont="1" applyFill="1" applyBorder="1" applyProtection="1">
      <alignment horizontal="center" vertical="center"/>
      <protection locked="0"/>
    </xf>
    <xf numFmtId="2" fontId="3" fillId="5" borderId="5" xfId="0" applyFont="1" applyFill="1" applyBorder="1" applyProtection="1">
      <alignment horizontal="center" vertical="center"/>
      <protection locked="0"/>
    </xf>
    <xf numFmtId="165" fontId="3" fillId="5" borderId="5" xfId="0" applyNumberFormat="1" applyFont="1" applyFill="1" applyBorder="1" applyProtection="1">
      <alignment horizontal="center" vertical="center"/>
      <protection locked="0"/>
    </xf>
    <xf numFmtId="167" fontId="3" fillId="5" borderId="14" xfId="0" applyNumberFormat="1" applyFont="1" applyFill="1" applyBorder="1" applyProtection="1">
      <alignment horizontal="center" vertical="center"/>
      <protection locked="0"/>
    </xf>
    <xf numFmtId="49" fontId="8" fillId="5" borderId="2" xfId="0" applyNumberFormat="1" applyFont="1" applyFill="1" applyBorder="1" applyAlignment="1" applyProtection="1">
      <alignment horizontal="left" vertical="center"/>
      <protection locked="0"/>
    </xf>
    <xf numFmtId="2" fontId="11" fillId="0" borderId="37" xfId="0" applyFont="1" applyBorder="1" applyAlignment="1">
      <alignment horizontal="left" vertical="center"/>
    </xf>
    <xf numFmtId="2" fontId="0" fillId="0" borderId="28" xfId="0" applyBorder="1" applyAlignment="1">
      <alignment horizontal="left" vertical="center"/>
    </xf>
    <xf numFmtId="2" fontId="0" fillId="0" borderId="0" xfId="0" applyAlignment="1">
      <alignment horizontal="left" vertical="center"/>
    </xf>
    <xf numFmtId="2" fontId="8" fillId="0" borderId="27" xfId="0" applyFont="1" applyBorder="1">
      <alignment horizontal="center" vertical="center"/>
    </xf>
    <xf numFmtId="2" fontId="21" fillId="0" borderId="0" xfId="0" applyFont="1" applyAlignment="1">
      <alignment horizontal="centerContinuous"/>
    </xf>
    <xf numFmtId="2" fontId="28" fillId="0" borderId="1" xfId="0" applyFont="1" applyBorder="1">
      <alignment horizontal="center" vertical="center"/>
    </xf>
    <xf numFmtId="2" fontId="0" fillId="0" borderId="1" xfId="0" applyBorder="1">
      <alignment horizontal="center" vertical="center"/>
    </xf>
    <xf numFmtId="49" fontId="18" fillId="0" borderId="0" xfId="0" applyNumberFormat="1" applyFont="1">
      <alignment horizontal="center" vertical="center"/>
    </xf>
    <xf numFmtId="2" fontId="0" fillId="0" borderId="0" xfId="0" quotePrefix="1">
      <alignment horizontal="center" vertical="center"/>
    </xf>
    <xf numFmtId="2" fontId="27" fillId="0" borderId="0" xfId="0" applyFont="1" applyAlignment="1">
      <alignment horizontal="left" vertical="center"/>
    </xf>
    <xf numFmtId="14" fontId="28" fillId="0" borderId="0" xfId="0" applyNumberFormat="1" applyFont="1">
      <alignment horizontal="center" vertical="center"/>
    </xf>
    <xf numFmtId="14" fontId="28" fillId="0" borderId="0" xfId="0" applyNumberFormat="1" applyFont="1" applyAlignment="1">
      <alignment horizontal="left" vertical="center"/>
    </xf>
    <xf numFmtId="14" fontId="29" fillId="0" borderId="0" xfId="0" applyNumberFormat="1" applyFont="1" applyAlignment="1">
      <alignment horizontal="left" vertical="center"/>
    </xf>
    <xf numFmtId="14" fontId="28" fillId="0" borderId="0" xfId="0" applyNumberFormat="1" applyFont="1" applyAlignment="1">
      <alignment horizontal="right" vertical="center"/>
    </xf>
    <xf numFmtId="1" fontId="28" fillId="0" borderId="0" xfId="0" quotePrefix="1" applyNumberFormat="1" applyFont="1">
      <alignment horizontal="center" vertical="center"/>
    </xf>
    <xf numFmtId="2" fontId="21" fillId="0" borderId="0" xfId="0" quotePrefix="1" applyFont="1">
      <alignment horizontal="center" vertical="center"/>
    </xf>
    <xf numFmtId="2" fontId="21" fillId="4" borderId="48" xfId="0" applyFont="1" applyFill="1" applyBorder="1" applyAlignment="1">
      <alignment horizontal="right" vertical="center"/>
    </xf>
    <xf numFmtId="2" fontId="22" fillId="0" borderId="0" xfId="0" applyFont="1" applyAlignment="1">
      <alignment horizontal="right" vertical="center"/>
    </xf>
    <xf numFmtId="2" fontId="0" fillId="0" borderId="0" xfId="0" quotePrefix="1" applyAlignment="1">
      <alignment horizontal="left" vertical="center"/>
    </xf>
    <xf numFmtId="2" fontId="36" fillId="0" borderId="81" xfId="0" applyFont="1" applyBorder="1" applyAlignment="1">
      <alignment horizontal="left" vertical="center"/>
    </xf>
    <xf numFmtId="174" fontId="38" fillId="0" borderId="20" xfId="0" applyNumberFormat="1" applyFont="1" applyBorder="1">
      <alignment horizontal="center" vertical="center"/>
    </xf>
    <xf numFmtId="2" fontId="40" fillId="0" borderId="2" xfId="0" applyFont="1" applyBorder="1" applyAlignment="1">
      <alignment horizontal="left" vertical="center"/>
    </xf>
    <xf numFmtId="2" fontId="41" fillId="0" borderId="2" xfId="0" applyFont="1" applyBorder="1">
      <alignment horizontal="center" vertical="center"/>
    </xf>
    <xf numFmtId="174" fontId="38" fillId="0" borderId="27" xfId="0" applyNumberFormat="1" applyFont="1" applyBorder="1">
      <alignment horizontal="center" vertical="center"/>
    </xf>
    <xf numFmtId="2" fontId="42" fillId="0" borderId="30" xfId="0" applyFont="1" applyBorder="1" applyAlignment="1">
      <alignment horizontal="left" vertical="center"/>
    </xf>
    <xf numFmtId="2" fontId="22" fillId="0" borderId="0" xfId="0" applyFont="1" applyAlignment="1">
      <alignment horizontal="left" vertical="center"/>
    </xf>
    <xf numFmtId="170" fontId="8" fillId="7" borderId="2" xfId="0" applyNumberFormat="1" applyFont="1" applyFill="1" applyBorder="1">
      <alignment horizontal="center" vertical="center"/>
    </xf>
    <xf numFmtId="174" fontId="8" fillId="7" borderId="2" xfId="0" applyNumberFormat="1" applyFont="1" applyFill="1" applyBorder="1" applyAlignment="1">
      <alignment horizontal="left" vertical="center"/>
    </xf>
    <xf numFmtId="174" fontId="8" fillId="7" borderId="2" xfId="0" applyNumberFormat="1" applyFont="1" applyFill="1" applyBorder="1">
      <alignment horizontal="center" vertical="center"/>
    </xf>
    <xf numFmtId="170" fontId="8" fillId="7" borderId="2" xfId="0" applyNumberFormat="1" applyFont="1" applyFill="1" applyBorder="1" applyAlignment="1">
      <alignment horizontal="left" vertical="center"/>
    </xf>
    <xf numFmtId="174" fontId="21" fillId="8" borderId="1" xfId="1" applyNumberFormat="1" applyFont="1" applyFill="1" applyAlignment="1">
      <alignment horizontal="center" vertical="center"/>
      <protection locked="0"/>
    </xf>
    <xf numFmtId="165" fontId="21" fillId="8" borderId="1" xfId="1" applyNumberFormat="1" applyFont="1" applyFill="1" applyAlignment="1">
      <alignment horizontal="center" vertical="center"/>
      <protection locked="0"/>
    </xf>
    <xf numFmtId="170" fontId="21" fillId="8" borderId="1" xfId="1" applyNumberFormat="1" applyFont="1" applyFill="1" applyAlignment="1">
      <alignment horizontal="center" vertical="center"/>
      <protection locked="0"/>
    </xf>
    <xf numFmtId="1" fontId="8" fillId="9" borderId="1" xfId="0" applyNumberFormat="1" applyFont="1" applyFill="1" applyBorder="1" applyProtection="1">
      <alignment horizontal="center" vertical="center"/>
      <protection locked="0"/>
    </xf>
    <xf numFmtId="1" fontId="21" fillId="8" borderId="87" xfId="0" applyNumberFormat="1" applyFont="1" applyFill="1" applyBorder="1" applyProtection="1">
      <alignment horizontal="center" vertical="center"/>
      <protection locked="0"/>
    </xf>
    <xf numFmtId="1" fontId="21" fillId="8" borderId="95" xfId="0" applyNumberFormat="1" applyFont="1" applyFill="1" applyBorder="1" applyProtection="1">
      <alignment horizontal="center" vertical="center"/>
      <protection locked="0"/>
    </xf>
    <xf numFmtId="1" fontId="21" fillId="8" borderId="96" xfId="0" applyNumberFormat="1" applyFont="1" applyFill="1" applyBorder="1" applyProtection="1">
      <alignment horizontal="center" vertical="center"/>
      <protection locked="0"/>
    </xf>
    <xf numFmtId="1" fontId="21" fillId="8" borderId="97" xfId="0" applyNumberFormat="1" applyFont="1" applyFill="1" applyBorder="1" applyProtection="1">
      <alignment horizontal="center" vertical="center"/>
      <protection locked="0"/>
    </xf>
    <xf numFmtId="1" fontId="21" fillId="8" borderId="18" xfId="0" applyNumberFormat="1" applyFont="1" applyFill="1" applyBorder="1" applyProtection="1">
      <alignment horizontal="center" vertical="center"/>
      <protection locked="0"/>
    </xf>
    <xf numFmtId="1" fontId="21" fillId="8" borderId="98" xfId="0" applyNumberFormat="1" applyFont="1" applyFill="1" applyBorder="1" applyProtection="1">
      <alignment horizontal="center" vertical="center"/>
      <protection locked="0"/>
    </xf>
    <xf numFmtId="2" fontId="12" fillId="7" borderId="50" xfId="0" applyFont="1" applyFill="1" applyBorder="1" applyAlignment="1">
      <alignment horizontal="right" vertical="center"/>
    </xf>
    <xf numFmtId="174" fontId="12" fillId="7" borderId="48" xfId="0" applyNumberFormat="1" applyFont="1" applyFill="1" applyBorder="1" applyAlignment="1">
      <alignment horizontal="left" vertical="center"/>
    </xf>
    <xf numFmtId="2" fontId="22" fillId="6" borderId="48" xfId="0" applyFont="1" applyFill="1" applyBorder="1" applyAlignment="1">
      <alignment horizontal="right" vertical="center"/>
    </xf>
    <xf numFmtId="2" fontId="9" fillId="0" borderId="69" xfId="0" applyFont="1" applyBorder="1">
      <alignment horizontal="center" vertical="center"/>
    </xf>
    <xf numFmtId="2" fontId="3" fillId="6" borderId="87" xfId="0" applyFont="1" applyFill="1" applyBorder="1">
      <alignment horizontal="center" vertical="center"/>
    </xf>
    <xf numFmtId="2" fontId="9" fillId="1" borderId="99" xfId="0" applyFont="1" applyFill="1" applyBorder="1" applyAlignment="1">
      <alignment vertical="center"/>
    </xf>
    <xf numFmtId="175" fontId="12" fillId="7" borderId="1" xfId="0" applyNumberFormat="1" applyFont="1" applyFill="1" applyBorder="1">
      <alignment horizontal="center" vertical="center"/>
    </xf>
    <xf numFmtId="1" fontId="8" fillId="9" borderId="13" xfId="0" applyNumberFormat="1" applyFont="1" applyFill="1" applyBorder="1" applyProtection="1">
      <alignment horizontal="center" vertical="center"/>
      <protection locked="0"/>
    </xf>
    <xf numFmtId="2" fontId="22" fillId="6" borderId="69" xfId="0" applyFont="1" applyFill="1" applyBorder="1">
      <alignment horizontal="center" vertical="center"/>
    </xf>
    <xf numFmtId="2" fontId="8" fillId="10" borderId="0" xfId="0" applyFont="1" applyFill="1" applyAlignment="1">
      <alignment horizontal="right" vertical="center"/>
    </xf>
    <xf numFmtId="2" fontId="8" fillId="11" borderId="49" xfId="0" applyFont="1" applyFill="1" applyBorder="1">
      <alignment horizontal="center" vertical="center"/>
    </xf>
    <xf numFmtId="2" fontId="9" fillId="0" borderId="23" xfId="0" applyFont="1" applyBorder="1" applyAlignment="1">
      <alignment horizontal="centerContinuous"/>
    </xf>
    <xf numFmtId="1" fontId="8" fillId="6" borderId="1" xfId="0" applyNumberFormat="1" applyFont="1" applyFill="1" applyBorder="1" applyProtection="1">
      <alignment horizontal="center" vertical="center"/>
      <protection locked="0"/>
    </xf>
    <xf numFmtId="174" fontId="21" fillId="7" borderId="0" xfId="0" applyNumberFormat="1" applyFont="1" applyFill="1" applyAlignment="1">
      <alignment horizontal="left" vertical="center"/>
    </xf>
    <xf numFmtId="2" fontId="22" fillId="6" borderId="101" xfId="0" applyFont="1" applyFill="1" applyBorder="1" applyAlignment="1">
      <alignment horizontal="left" vertical="center"/>
    </xf>
    <xf numFmtId="2" fontId="8" fillId="6" borderId="102" xfId="0" applyFont="1" applyFill="1" applyBorder="1">
      <alignment horizontal="center" vertical="center"/>
    </xf>
    <xf numFmtId="2" fontId="3" fillId="8" borderId="1" xfId="0" applyFont="1" applyFill="1" applyBorder="1" applyAlignment="1" applyProtection="1">
      <alignment horizontal="left" vertical="center"/>
      <protection locked="0"/>
    </xf>
    <xf numFmtId="174" fontId="8" fillId="8" borderId="1" xfId="0" quotePrefix="1" applyNumberFormat="1" applyFont="1" applyFill="1" applyBorder="1" applyAlignment="1" applyProtection="1">
      <alignment horizontal="left" vertical="center"/>
      <protection locked="0"/>
    </xf>
    <xf numFmtId="174" fontId="8" fillId="6" borderId="13" xfId="0" quotePrefix="1" applyNumberFormat="1" applyFont="1" applyFill="1" applyBorder="1" applyAlignment="1" applyProtection="1">
      <alignment horizontal="left" vertical="center"/>
      <protection locked="0"/>
    </xf>
    <xf numFmtId="174" fontId="8" fillId="6" borderId="1" xfId="0" quotePrefix="1" applyNumberFormat="1" applyFont="1" applyFill="1" applyBorder="1" applyAlignment="1" applyProtection="1">
      <alignment horizontal="left" vertical="center"/>
      <protection locked="0"/>
    </xf>
    <xf numFmtId="174" fontId="8" fillId="6" borderId="13" xfId="0" quotePrefix="1" applyNumberFormat="1" applyFont="1" applyFill="1" applyBorder="1" applyProtection="1">
      <alignment horizontal="center" vertical="center"/>
      <protection locked="0"/>
    </xf>
    <xf numFmtId="170" fontId="8" fillId="6" borderId="1" xfId="0" quotePrefix="1" applyNumberFormat="1" applyFont="1" applyFill="1" applyBorder="1" applyProtection="1">
      <alignment horizontal="center" vertical="center"/>
      <protection locked="0"/>
    </xf>
    <xf numFmtId="170" fontId="8" fillId="6" borderId="13" xfId="0" quotePrefix="1" applyNumberFormat="1" applyFont="1" applyFill="1" applyBorder="1" applyProtection="1">
      <alignment horizontal="center" vertical="center"/>
      <protection locked="0"/>
    </xf>
    <xf numFmtId="2" fontId="8" fillId="0" borderId="13" xfId="3" applyNumberFormat="1" applyFont="1" applyBorder="1" applyAlignment="1">
      <alignment horizontal="center" vertical="center"/>
    </xf>
    <xf numFmtId="177" fontId="3" fillId="0" borderId="103" xfId="0" applyNumberFormat="1" applyFont="1" applyBorder="1">
      <alignment horizontal="center" vertical="center"/>
    </xf>
    <xf numFmtId="2" fontId="3" fillId="12" borderId="2" xfId="0" applyFont="1" applyFill="1" applyBorder="1">
      <alignment horizontal="center" vertical="center"/>
    </xf>
    <xf numFmtId="165" fontId="3" fillId="12" borderId="13" xfId="0" applyNumberFormat="1" applyFont="1" applyFill="1" applyBorder="1">
      <alignment horizontal="center" vertical="center"/>
    </xf>
    <xf numFmtId="2" fontId="8" fillId="12" borderId="0" xfId="0" applyFont="1" applyFill="1" applyAlignment="1">
      <alignment horizontal="left" vertical="center"/>
    </xf>
    <xf numFmtId="2" fontId="8" fillId="13" borderId="105" xfId="0" applyFont="1" applyFill="1" applyBorder="1">
      <alignment horizontal="center" vertical="center"/>
    </xf>
    <xf numFmtId="2" fontId="8" fillId="13" borderId="1" xfId="0" applyFont="1" applyFill="1" applyBorder="1">
      <alignment horizontal="center" vertical="center"/>
    </xf>
    <xf numFmtId="2" fontId="8" fillId="13" borderId="13" xfId="0" applyFont="1" applyFill="1" applyBorder="1">
      <alignment horizontal="center" vertical="center"/>
    </xf>
    <xf numFmtId="165" fontId="8" fillId="13" borderId="13" xfId="0" applyNumberFormat="1" applyFont="1" applyFill="1" applyBorder="1">
      <alignment horizontal="center" vertical="center"/>
    </xf>
    <xf numFmtId="2" fontId="8" fillId="13" borderId="79" xfId="0" applyFont="1" applyFill="1" applyBorder="1">
      <alignment horizontal="center" vertical="center"/>
    </xf>
    <xf numFmtId="164" fontId="8" fillId="13" borderId="13" xfId="0" applyNumberFormat="1" applyFont="1" applyFill="1" applyBorder="1">
      <alignment horizontal="center" vertical="center"/>
    </xf>
    <xf numFmtId="164" fontId="8" fillId="13" borderId="1" xfId="0" applyNumberFormat="1" applyFont="1" applyFill="1" applyBorder="1">
      <alignment horizontal="center" vertical="center"/>
    </xf>
    <xf numFmtId="165" fontId="8" fillId="13" borderId="77" xfId="0" applyNumberFormat="1" applyFont="1" applyFill="1" applyBorder="1">
      <alignment horizontal="center" vertical="center"/>
    </xf>
    <xf numFmtId="164" fontId="8" fillId="13" borderId="77" xfId="0" applyNumberFormat="1" applyFont="1" applyFill="1" applyBorder="1">
      <alignment horizontal="center" vertical="center"/>
    </xf>
    <xf numFmtId="2" fontId="9" fillId="0" borderId="99" xfId="0" applyFont="1" applyBorder="1">
      <alignment horizontal="center" vertical="center"/>
    </xf>
    <xf numFmtId="2" fontId="3" fillId="13" borderId="1" xfId="0" applyFont="1" applyFill="1" applyBorder="1">
      <alignment horizontal="center" vertical="center"/>
    </xf>
    <xf numFmtId="1" fontId="22" fillId="7" borderId="1" xfId="0" applyNumberFormat="1" applyFont="1" applyFill="1" applyBorder="1">
      <alignment horizontal="center" vertical="center"/>
    </xf>
    <xf numFmtId="1" fontId="43" fillId="7" borderId="13" xfId="0" applyNumberFormat="1" applyFont="1" applyFill="1" applyBorder="1">
      <alignment horizontal="center" vertical="center"/>
    </xf>
    <xf numFmtId="165" fontId="43" fillId="7" borderId="13" xfId="0" applyNumberFormat="1" applyFont="1" applyFill="1" applyBorder="1">
      <alignment horizontal="center" vertical="center"/>
    </xf>
    <xf numFmtId="2" fontId="43" fillId="7" borderId="13" xfId="0" applyFont="1" applyFill="1" applyBorder="1">
      <alignment horizontal="center" vertical="center"/>
    </xf>
    <xf numFmtId="170" fontId="43" fillId="7" borderId="50" xfId="0" applyNumberFormat="1" applyFont="1" applyFill="1" applyBorder="1">
      <alignment horizontal="center" vertical="center"/>
    </xf>
    <xf numFmtId="170" fontId="43" fillId="7" borderId="77" xfId="0" applyNumberFormat="1" applyFont="1" applyFill="1" applyBorder="1">
      <alignment horizontal="center" vertical="center"/>
    </xf>
    <xf numFmtId="170" fontId="22" fillId="7" borderId="1" xfId="0" applyNumberFormat="1" applyFont="1" applyFill="1" applyBorder="1">
      <alignment horizontal="center" vertical="center"/>
    </xf>
    <xf numFmtId="2" fontId="22" fillId="7" borderId="15" xfId="0" applyFont="1" applyFill="1" applyBorder="1">
      <alignment horizontal="center" vertical="center"/>
    </xf>
    <xf numFmtId="2" fontId="21" fillId="7" borderId="2" xfId="0" applyFont="1" applyFill="1" applyBorder="1" applyAlignment="1">
      <alignment horizontal="right" vertical="center"/>
    </xf>
    <xf numFmtId="2" fontId="21" fillId="7" borderId="0" xfId="0" applyFont="1" applyFill="1" applyAlignment="1">
      <alignment horizontal="right" vertical="center"/>
    </xf>
    <xf numFmtId="174" fontId="22" fillId="7" borderId="87" xfId="0" applyNumberFormat="1" applyFont="1" applyFill="1" applyBorder="1">
      <alignment horizontal="center" vertical="center"/>
    </xf>
    <xf numFmtId="174" fontId="22" fillId="7" borderId="27" xfId="0" applyNumberFormat="1" applyFont="1" applyFill="1" applyBorder="1">
      <alignment horizontal="center" vertical="center"/>
    </xf>
    <xf numFmtId="1" fontId="22" fillId="7" borderId="108" xfId="0" applyNumberFormat="1" applyFont="1" applyFill="1" applyBorder="1">
      <alignment horizontal="center" vertical="center"/>
    </xf>
    <xf numFmtId="1" fontId="22" fillId="7" borderId="94" xfId="0" applyNumberFormat="1" applyFont="1" applyFill="1" applyBorder="1">
      <alignment horizontal="center" vertical="center"/>
    </xf>
    <xf numFmtId="1" fontId="22" fillId="7" borderId="109" xfId="0" applyNumberFormat="1" applyFont="1" applyFill="1" applyBorder="1">
      <alignment horizontal="center" vertical="center"/>
    </xf>
    <xf numFmtId="1" fontId="22" fillId="7" borderId="21" xfId="0" applyNumberFormat="1" applyFont="1" applyFill="1" applyBorder="1">
      <alignment horizontal="center" vertical="center"/>
    </xf>
    <xf numFmtId="1" fontId="22" fillId="7" borderId="110" xfId="0" applyNumberFormat="1" applyFont="1" applyFill="1" applyBorder="1">
      <alignment horizontal="center" vertical="center"/>
    </xf>
    <xf numFmtId="1" fontId="22" fillId="7" borderId="111" xfId="0" applyNumberFormat="1" applyFont="1" applyFill="1" applyBorder="1">
      <alignment horizontal="center" vertical="center"/>
    </xf>
    <xf numFmtId="2" fontId="14" fillId="0" borderId="0" xfId="0" applyFont="1" applyAlignment="1">
      <alignment horizontal="right" vertical="center"/>
    </xf>
    <xf numFmtId="2" fontId="33" fillId="0" borderId="0" xfId="0" applyFont="1" applyAlignment="1">
      <alignment horizontal="left" vertical="center"/>
    </xf>
    <xf numFmtId="2" fontId="39" fillId="0" borderId="0" xfId="0" applyFont="1" applyAlignment="1">
      <alignment horizontal="right" vertical="center"/>
    </xf>
    <xf numFmtId="2" fontId="25" fillId="0" borderId="0" xfId="0" applyFont="1" applyAlignment="1">
      <alignment horizontal="left" vertical="center"/>
    </xf>
    <xf numFmtId="2" fontId="13" fillId="0" borderId="33" xfId="0" applyFont="1" applyBorder="1" applyAlignment="1">
      <alignment horizontal="right" vertical="center"/>
    </xf>
    <xf numFmtId="2" fontId="3" fillId="13" borderId="29" xfId="0" applyFont="1" applyFill="1" applyBorder="1">
      <alignment horizontal="center" vertical="center"/>
    </xf>
    <xf numFmtId="2" fontId="3" fillId="0" borderId="26" xfId="0" applyFont="1" applyBorder="1">
      <alignment horizontal="center" vertical="center"/>
    </xf>
    <xf numFmtId="2" fontId="3" fillId="0" borderId="49" xfId="0" applyFont="1" applyBorder="1">
      <alignment horizontal="center" vertical="center"/>
    </xf>
    <xf numFmtId="2" fontId="3" fillId="0" borderId="90" xfId="0" applyFont="1" applyBorder="1">
      <alignment horizontal="center" vertical="center"/>
    </xf>
    <xf numFmtId="2" fontId="3" fillId="0" borderId="109" xfId="0" applyFont="1" applyBorder="1">
      <alignment horizontal="center" vertical="center"/>
    </xf>
    <xf numFmtId="2" fontId="3" fillId="0" borderId="95" xfId="0" applyFont="1" applyBorder="1">
      <alignment horizontal="center" vertical="center"/>
    </xf>
    <xf numFmtId="2" fontId="3" fillId="0" borderId="112" xfId="0" applyFont="1" applyBorder="1">
      <alignment horizontal="center" vertical="center"/>
    </xf>
    <xf numFmtId="2" fontId="3" fillId="0" borderId="113" xfId="0" applyFont="1" applyBorder="1">
      <alignment horizontal="center" vertical="center"/>
    </xf>
    <xf numFmtId="2" fontId="43" fillId="0" borderId="0" xfId="0" applyFont="1">
      <alignment horizontal="center" vertical="center"/>
    </xf>
    <xf numFmtId="1" fontId="37" fillId="0" borderId="0" xfId="0" applyNumberFormat="1" applyFont="1">
      <alignment horizontal="center" vertical="center"/>
    </xf>
    <xf numFmtId="1" fontId="37" fillId="0" borderId="27" xfId="0" applyNumberFormat="1" applyFont="1" applyBorder="1">
      <alignment horizontal="center" vertical="center"/>
    </xf>
    <xf numFmtId="2" fontId="18" fillId="0" borderId="2" xfId="0" applyFont="1" applyBorder="1" applyAlignment="1">
      <alignment vertical="center"/>
    </xf>
    <xf numFmtId="2" fontId="18" fillId="0" borderId="27" xfId="0" applyFont="1" applyBorder="1" applyAlignment="1">
      <alignment vertical="center"/>
    </xf>
    <xf numFmtId="2" fontId="3" fillId="0" borderId="61" xfId="0" applyFont="1" applyBorder="1">
      <alignment horizontal="center" vertical="center"/>
    </xf>
    <xf numFmtId="2" fontId="8" fillId="0" borderId="64" xfId="0" applyFont="1" applyBorder="1" applyAlignment="1">
      <alignment horizontal="centerContinuous" vertical="center"/>
    </xf>
    <xf numFmtId="2" fontId="3" fillId="0" borderId="114" xfId="0" applyFont="1" applyBorder="1" applyAlignment="1">
      <alignment horizontal="centerContinuous" vertical="center"/>
    </xf>
    <xf numFmtId="2" fontId="3" fillId="0" borderId="62" xfId="0" applyFont="1" applyBorder="1" applyAlignment="1">
      <alignment horizontal="centerContinuous" vertical="center"/>
    </xf>
    <xf numFmtId="2" fontId="44" fillId="0" borderId="38" xfId="0" applyFont="1" applyBorder="1" applyAlignment="1">
      <alignment horizontal="left" vertical="center"/>
    </xf>
    <xf numFmtId="2" fontId="44" fillId="0" borderId="0" xfId="0" applyFont="1" applyAlignment="1">
      <alignment horizontal="left" vertical="center"/>
    </xf>
    <xf numFmtId="2" fontId="44" fillId="0" borderId="43" xfId="0" applyFont="1" applyBorder="1" applyAlignment="1">
      <alignment horizontal="left" vertical="center"/>
    </xf>
    <xf numFmtId="1" fontId="7" fillId="0" borderId="32" xfId="4" applyBorder="1">
      <alignment horizontal="left" vertical="center"/>
    </xf>
    <xf numFmtId="169" fontId="21" fillId="7" borderId="2" xfId="0" applyNumberFormat="1" applyFont="1" applyFill="1" applyBorder="1" applyAlignment="1">
      <alignment horizontal="left" vertical="center"/>
    </xf>
    <xf numFmtId="174" fontId="9" fillId="12" borderId="1" xfId="1" applyNumberFormat="1" applyFont="1" applyFill="1" applyProtection="1">
      <alignment horizontal="left" vertical="center"/>
    </xf>
    <xf numFmtId="2" fontId="45" fillId="0" borderId="38" xfId="0" applyFont="1" applyBorder="1" applyAlignment="1">
      <alignment horizontal="left" vertical="center"/>
    </xf>
    <xf numFmtId="2" fontId="45" fillId="0" borderId="39" xfId="0" applyFont="1" applyBorder="1" applyAlignment="1">
      <alignment horizontal="left" vertical="center"/>
    </xf>
    <xf numFmtId="2" fontId="18" fillId="0" borderId="0" xfId="0" applyFont="1">
      <alignment horizontal="center" vertical="center"/>
    </xf>
    <xf numFmtId="2" fontId="45" fillId="0" borderId="0" xfId="0" applyFont="1" applyAlignment="1">
      <alignment horizontal="left" vertical="center"/>
    </xf>
    <xf numFmtId="2" fontId="45" fillId="0" borderId="41" xfId="0" applyFont="1" applyBorder="1" applyAlignment="1">
      <alignment horizontal="left" vertical="center"/>
    </xf>
    <xf numFmtId="2" fontId="45" fillId="0" borderId="43" xfId="0" applyFont="1" applyBorder="1" applyAlignment="1">
      <alignment horizontal="left" vertical="center"/>
    </xf>
    <xf numFmtId="2" fontId="45" fillId="0" borderId="44" xfId="0" applyFont="1" applyBorder="1" applyAlignment="1">
      <alignment horizontal="left" vertical="center"/>
    </xf>
    <xf numFmtId="2" fontId="22" fillId="0" borderId="0" xfId="0" applyFont="1">
      <alignment horizontal="center" vertical="center"/>
    </xf>
    <xf numFmtId="1" fontId="21" fillId="7" borderId="1" xfId="0" applyNumberFormat="1" applyFont="1" applyFill="1" applyBorder="1">
      <alignment horizontal="center" vertical="center"/>
    </xf>
    <xf numFmtId="166" fontId="12" fillId="7" borderId="1" xfId="0" applyNumberFormat="1" applyFont="1" applyFill="1" applyBorder="1">
      <alignment horizontal="center" vertical="center"/>
    </xf>
    <xf numFmtId="2" fontId="23" fillId="0" borderId="0" xfId="0" applyFont="1" applyAlignment="1">
      <alignment horizontal="left" vertical="center"/>
    </xf>
    <xf numFmtId="2" fontId="8" fillId="0" borderId="50" xfId="0" applyFont="1" applyBorder="1">
      <alignment horizontal="center" vertical="center"/>
    </xf>
    <xf numFmtId="2" fontId="20" fillId="0" borderId="0" xfId="0" applyFont="1" applyAlignment="1">
      <alignment horizontal="right" vertical="center"/>
    </xf>
    <xf numFmtId="2" fontId="34" fillId="0" borderId="23" xfId="0" applyFont="1" applyBorder="1" applyAlignment="1">
      <alignment horizontal="right" vertical="center"/>
    </xf>
    <xf numFmtId="2" fontId="47" fillId="0" borderId="0" xfId="0" applyFont="1" applyAlignment="1" applyProtection="1">
      <alignment horizontal="left" vertical="center"/>
      <protection locked="0"/>
    </xf>
    <xf numFmtId="2" fontId="8" fillId="13" borderId="99" xfId="0" applyFont="1" applyFill="1" applyBorder="1">
      <alignment horizontal="center" vertical="center"/>
    </xf>
    <xf numFmtId="2" fontId="8" fillId="13" borderId="9" xfId="0" applyFont="1" applyFill="1" applyBorder="1">
      <alignment horizontal="center" vertical="center"/>
    </xf>
    <xf numFmtId="2" fontId="9" fillId="1" borderId="50" xfId="0" applyFont="1" applyFill="1" applyBorder="1" applyAlignment="1">
      <alignment vertical="center"/>
    </xf>
    <xf numFmtId="164" fontId="8" fillId="13" borderId="9" xfId="0" applyNumberFormat="1" applyFont="1" applyFill="1" applyBorder="1">
      <alignment horizontal="center" vertical="center"/>
    </xf>
    <xf numFmtId="2" fontId="22" fillId="7" borderId="68" xfId="0" applyFont="1" applyFill="1" applyBorder="1">
      <alignment horizontal="center" vertical="center"/>
    </xf>
    <xf numFmtId="2" fontId="8" fillId="13" borderId="100" xfId="0" applyFont="1" applyFill="1" applyBorder="1">
      <alignment horizontal="center" vertical="center"/>
    </xf>
    <xf numFmtId="2" fontId="8" fillId="13" borderId="69" xfId="0" applyFont="1" applyFill="1" applyBorder="1">
      <alignment horizontal="center" vertical="center"/>
    </xf>
    <xf numFmtId="165" fontId="8" fillId="13" borderId="69" xfId="0" applyNumberFormat="1" applyFont="1" applyFill="1" applyBorder="1">
      <alignment horizontal="center" vertical="center"/>
    </xf>
    <xf numFmtId="2" fontId="43" fillId="0" borderId="26" xfId="0" applyFont="1" applyBorder="1">
      <alignment horizontal="center" vertical="center"/>
    </xf>
    <xf numFmtId="178" fontId="8" fillId="7" borderId="25" xfId="0" applyNumberFormat="1" applyFont="1" applyFill="1" applyBorder="1">
      <alignment horizontal="center" vertical="center"/>
    </xf>
    <xf numFmtId="168" fontId="48" fillId="0" borderId="66" xfId="0" applyNumberFormat="1" applyFont="1" applyBorder="1">
      <alignment horizontal="center" vertical="center"/>
    </xf>
    <xf numFmtId="168" fontId="48" fillId="0" borderId="5" xfId="0" applyNumberFormat="1" applyFont="1" applyBorder="1">
      <alignment horizontal="center" vertical="center"/>
    </xf>
    <xf numFmtId="178" fontId="8" fillId="7" borderId="86" xfId="0" applyNumberFormat="1" applyFont="1" applyFill="1" applyBorder="1">
      <alignment horizontal="center" vertical="center"/>
    </xf>
    <xf numFmtId="168" fontId="48" fillId="0" borderId="56" xfId="0" applyNumberFormat="1" applyFont="1" applyBorder="1">
      <alignment horizontal="center" vertical="center"/>
    </xf>
    <xf numFmtId="178" fontId="8" fillId="7" borderId="78" xfId="0" applyNumberFormat="1" applyFont="1" applyFill="1" applyBorder="1">
      <alignment horizontal="center" vertical="center"/>
    </xf>
    <xf numFmtId="2" fontId="49" fillId="0" borderId="62" xfId="0" applyFont="1" applyBorder="1">
      <alignment horizontal="center" vertical="center"/>
    </xf>
    <xf numFmtId="2" fontId="49" fillId="0" borderId="115" xfId="0" applyFont="1" applyBorder="1">
      <alignment horizontal="center" vertical="center"/>
    </xf>
    <xf numFmtId="2" fontId="49" fillId="0" borderId="116" xfId="0" applyFont="1" applyBorder="1">
      <alignment horizontal="center" vertical="center"/>
    </xf>
    <xf numFmtId="2" fontId="12" fillId="0" borderId="8" xfId="0" applyFont="1" applyBorder="1" applyAlignment="1">
      <alignment horizontal="right" vertical="center"/>
    </xf>
    <xf numFmtId="174" fontId="12" fillId="7" borderId="1" xfId="0" applyNumberFormat="1" applyFont="1" applyFill="1" applyBorder="1" applyAlignment="1">
      <alignment horizontal="left" vertical="center"/>
    </xf>
    <xf numFmtId="170" fontId="8" fillId="8" borderId="13" xfId="0" applyNumberFormat="1" applyFont="1" applyFill="1" applyBorder="1" applyAlignment="1" applyProtection="1">
      <alignment horizontal="left" vertical="center"/>
      <protection locked="0"/>
    </xf>
    <xf numFmtId="2" fontId="8" fillId="0" borderId="21" xfId="0" applyFont="1" applyBorder="1">
      <alignment horizontal="center" vertical="center"/>
    </xf>
    <xf numFmtId="2" fontId="34" fillId="0" borderId="0" xfId="0" applyFont="1" applyAlignment="1">
      <alignment horizontal="left" vertical="center"/>
    </xf>
    <xf numFmtId="2" fontId="0" fillId="0" borderId="7" xfId="0" applyBorder="1">
      <alignment horizontal="center" vertical="center"/>
    </xf>
    <xf numFmtId="1" fontId="21" fillId="7" borderId="29" xfId="0" applyNumberFormat="1" applyFont="1" applyFill="1" applyBorder="1">
      <alignment horizontal="center" vertical="center"/>
    </xf>
    <xf numFmtId="49" fontId="21" fillId="14" borderId="2" xfId="0" applyNumberFormat="1" applyFont="1" applyFill="1" applyBorder="1" applyAlignment="1">
      <alignment horizontal="left" vertical="center"/>
    </xf>
    <xf numFmtId="174" fontId="8" fillId="6" borderId="1" xfId="0" applyNumberFormat="1" applyFont="1" applyFill="1" applyBorder="1" applyAlignment="1" applyProtection="1">
      <alignment horizontal="left" vertical="center"/>
      <protection locked="0"/>
    </xf>
    <xf numFmtId="0" fontId="8" fillId="0" borderId="2" xfId="0" applyNumberFormat="1" applyFont="1" applyBorder="1" applyAlignment="1">
      <alignment horizontal="left" vertical="center"/>
    </xf>
    <xf numFmtId="0" fontId="18" fillId="0" borderId="2" xfId="0" applyNumberFormat="1" applyFont="1" applyBorder="1">
      <alignment horizontal="center" vertical="center"/>
    </xf>
    <xf numFmtId="14" fontId="18" fillId="0" borderId="2" xfId="0" applyNumberFormat="1" applyFont="1" applyBorder="1" applyAlignment="1">
      <alignment horizontal="left" vertical="center"/>
    </xf>
    <xf numFmtId="0" fontId="21" fillId="7" borderId="2" xfId="0" applyNumberFormat="1" applyFont="1" applyFill="1" applyBorder="1" applyAlignment="1">
      <alignment horizontal="left" vertical="center"/>
    </xf>
    <xf numFmtId="0" fontId="21" fillId="7" borderId="2" xfId="0" applyNumberFormat="1" applyFont="1" applyFill="1" applyBorder="1">
      <alignment horizontal="center" vertical="center"/>
    </xf>
    <xf numFmtId="166" fontId="21" fillId="7" borderId="2" xfId="0" applyNumberFormat="1" applyFont="1" applyFill="1" applyBorder="1">
      <alignment horizontal="center" vertical="center"/>
    </xf>
    <xf numFmtId="173" fontId="21" fillId="7" borderId="2" xfId="0" applyNumberFormat="1" applyFont="1" applyFill="1" applyBorder="1">
      <alignment horizontal="center" vertical="center"/>
    </xf>
    <xf numFmtId="2" fontId="21" fillId="7" borderId="2" xfId="0" applyFont="1" applyFill="1" applyBorder="1">
      <alignment horizontal="center" vertical="center"/>
    </xf>
    <xf numFmtId="174" fontId="21" fillId="7" borderId="2" xfId="1" applyNumberFormat="1" applyFont="1" applyFill="1" applyBorder="1" applyProtection="1">
      <alignment horizontal="left" vertical="center"/>
    </xf>
    <xf numFmtId="174" fontId="21" fillId="7" borderId="27" xfId="1" applyNumberFormat="1" applyFont="1" applyFill="1" applyBorder="1" applyProtection="1">
      <alignment horizontal="left" vertical="center"/>
    </xf>
    <xf numFmtId="2" fontId="21" fillId="7" borderId="2" xfId="3" applyNumberFormat="1" applyFont="1" applyFill="1" applyBorder="1" applyAlignment="1" applyProtection="1">
      <alignment horizontal="left" vertical="center"/>
    </xf>
    <xf numFmtId="2" fontId="21" fillId="7" borderId="27" xfId="3" applyNumberFormat="1" applyFont="1" applyFill="1" applyBorder="1" applyAlignment="1" applyProtection="1">
      <alignment horizontal="left" vertical="center"/>
    </xf>
    <xf numFmtId="1" fontId="21" fillId="7" borderId="2" xfId="3" applyNumberFormat="1" applyFont="1" applyFill="1" applyBorder="1" applyAlignment="1" applyProtection="1">
      <alignment horizontal="center" vertical="center"/>
    </xf>
    <xf numFmtId="1" fontId="21" fillId="7" borderId="27" xfId="3" applyNumberFormat="1" applyFont="1" applyFill="1" applyBorder="1" applyAlignment="1" applyProtection="1">
      <alignment horizontal="center" vertical="center"/>
    </xf>
    <xf numFmtId="1" fontId="21" fillId="7" borderId="2" xfId="3" applyNumberFormat="1" applyFont="1" applyFill="1" applyBorder="1" applyAlignment="1" applyProtection="1">
      <alignment horizontal="left" vertical="center"/>
    </xf>
    <xf numFmtId="14" fontId="21" fillId="14" borderId="2" xfId="0" applyNumberFormat="1" applyFont="1" applyFill="1" applyBorder="1" applyAlignment="1">
      <alignment horizontal="left" vertical="center"/>
    </xf>
    <xf numFmtId="49" fontId="21" fillId="14" borderId="2" xfId="0" applyNumberFormat="1" applyFont="1" applyFill="1" applyBorder="1">
      <alignment horizontal="center" vertical="center"/>
    </xf>
    <xf numFmtId="1" fontId="21" fillId="14" borderId="2" xfId="0" applyNumberFormat="1" applyFont="1" applyFill="1" applyBorder="1">
      <alignment horizontal="center" vertical="center"/>
    </xf>
    <xf numFmtId="2" fontId="21" fillId="14" borderId="2" xfId="0" applyFont="1" applyFill="1" applyBorder="1">
      <alignment horizontal="center" vertical="center"/>
    </xf>
    <xf numFmtId="166" fontId="21" fillId="14" borderId="2" xfId="0" applyNumberFormat="1" applyFont="1" applyFill="1" applyBorder="1">
      <alignment horizontal="center" vertical="center"/>
    </xf>
    <xf numFmtId="174" fontId="21" fillId="14" borderId="2" xfId="0" applyNumberFormat="1" applyFont="1" applyFill="1" applyBorder="1">
      <alignment horizontal="center" vertical="center"/>
    </xf>
    <xf numFmtId="172" fontId="21" fillId="14" borderId="2" xfId="0" applyNumberFormat="1" applyFont="1" applyFill="1" applyBorder="1">
      <alignment horizontal="center" vertical="center"/>
    </xf>
    <xf numFmtId="165" fontId="21" fillId="14" borderId="2" xfId="0" applyNumberFormat="1" applyFont="1" applyFill="1" applyBorder="1">
      <alignment horizontal="center" vertical="center"/>
    </xf>
    <xf numFmtId="180" fontId="21" fillId="14" borderId="2" xfId="0" applyNumberFormat="1" applyFont="1" applyFill="1" applyBorder="1">
      <alignment horizontal="center" vertical="center"/>
    </xf>
    <xf numFmtId="178" fontId="21" fillId="14" borderId="2" xfId="3" applyNumberFormat="1" applyFont="1" applyFill="1" applyBorder="1" applyAlignment="1" applyProtection="1">
      <alignment horizontal="center" vertical="center"/>
    </xf>
    <xf numFmtId="174" fontId="21" fillId="14" borderId="2" xfId="0" applyNumberFormat="1" applyFont="1" applyFill="1" applyBorder="1" applyAlignment="1">
      <alignment horizontal="left" vertical="center"/>
    </xf>
    <xf numFmtId="174" fontId="21" fillId="0" borderId="0" xfId="0" applyNumberFormat="1" applyFont="1" applyAlignment="1">
      <alignment horizontal="left"/>
    </xf>
    <xf numFmtId="175" fontId="21" fillId="14" borderId="2" xfId="0" applyNumberFormat="1" applyFont="1" applyFill="1" applyBorder="1" applyAlignment="1">
      <alignment horizontal="left" vertical="center"/>
    </xf>
    <xf numFmtId="170" fontId="8" fillId="0" borderId="2" xfId="0" applyNumberFormat="1" applyFont="1" applyBorder="1" applyAlignment="1">
      <alignment horizontal="left" vertical="center"/>
    </xf>
    <xf numFmtId="10" fontId="21" fillId="7" borderId="2" xfId="0" applyNumberFormat="1" applyFont="1" applyFill="1" applyBorder="1">
      <alignment horizontal="center" vertical="center"/>
    </xf>
    <xf numFmtId="2" fontId="21" fillId="0" borderId="0" xfId="0" applyFont="1" applyAlignment="1">
      <alignment vertical="center"/>
    </xf>
    <xf numFmtId="174" fontId="8" fillId="6" borderId="13" xfId="0" applyNumberFormat="1" applyFont="1" applyFill="1" applyBorder="1" applyAlignment="1" applyProtection="1">
      <alignment horizontal="left" vertical="center"/>
      <protection locked="0"/>
    </xf>
    <xf numFmtId="0" fontId="8" fillId="6" borderId="13" xfId="0" applyNumberFormat="1" applyFont="1" applyFill="1" applyBorder="1" applyAlignment="1" applyProtection="1">
      <alignment horizontal="left" vertical="center"/>
      <protection locked="0"/>
    </xf>
    <xf numFmtId="181" fontId="21" fillId="14" borderId="2" xfId="0" applyNumberFormat="1" applyFont="1" applyFill="1" applyBorder="1" applyAlignment="1">
      <alignment horizontal="left" vertical="center"/>
    </xf>
    <xf numFmtId="181" fontId="8" fillId="6" borderId="13" xfId="0" quotePrefix="1" applyNumberFormat="1" applyFont="1" applyFill="1" applyBorder="1" applyAlignment="1" applyProtection="1">
      <alignment horizontal="left" vertical="center"/>
      <protection locked="0"/>
    </xf>
    <xf numFmtId="169" fontId="8" fillId="0" borderId="2" xfId="0" applyNumberFormat="1" applyFont="1" applyBorder="1" applyAlignment="1">
      <alignment horizontal="left" vertical="center"/>
    </xf>
    <xf numFmtId="174" fontId="8" fillId="5" borderId="1" xfId="1" applyNumberFormat="1" applyFill="1">
      <alignment horizontal="left" vertical="center"/>
      <protection locked="0"/>
    </xf>
    <xf numFmtId="174" fontId="50" fillId="0" borderId="2" xfId="0" applyNumberFormat="1" applyFont="1" applyBorder="1">
      <alignment horizontal="center" vertical="center"/>
    </xf>
    <xf numFmtId="2" fontId="12" fillId="0" borderId="88" xfId="0" applyFont="1" applyBorder="1" applyAlignment="1">
      <alignment horizontal="left" vertical="center"/>
    </xf>
    <xf numFmtId="173" fontId="8" fillId="0" borderId="1" xfId="0" applyNumberFormat="1" applyFont="1" applyBorder="1">
      <alignment horizontal="center" vertical="center"/>
    </xf>
    <xf numFmtId="173" fontId="8" fillId="0" borderId="69" xfId="0" applyNumberFormat="1" applyFont="1" applyBorder="1">
      <alignment horizontal="center" vertical="center"/>
    </xf>
    <xf numFmtId="173" fontId="8" fillId="0" borderId="48" xfId="0" applyNumberFormat="1" applyFont="1" applyBorder="1">
      <alignment horizontal="center" vertical="center"/>
    </xf>
    <xf numFmtId="173" fontId="8" fillId="0" borderId="13" xfId="0" applyNumberFormat="1" applyFont="1" applyBorder="1">
      <alignment horizontal="center" vertical="center"/>
    </xf>
    <xf numFmtId="173" fontId="22" fillId="7" borderId="13" xfId="0" applyNumberFormat="1" applyFont="1" applyFill="1" applyBorder="1">
      <alignment horizontal="center" vertical="center"/>
    </xf>
    <xf numFmtId="173" fontId="8" fillId="13" borderId="104" xfId="0" applyNumberFormat="1" applyFont="1" applyFill="1" applyBorder="1">
      <alignment horizontal="center" vertical="center"/>
    </xf>
    <xf numFmtId="173" fontId="8" fillId="13" borderId="106" xfId="0" applyNumberFormat="1" applyFont="1" applyFill="1" applyBorder="1">
      <alignment horizontal="center" vertical="center"/>
    </xf>
    <xf numFmtId="173" fontId="22" fillId="7" borderId="69" xfId="0" applyNumberFormat="1" applyFont="1" applyFill="1" applyBorder="1">
      <alignment horizontal="center" vertical="center"/>
    </xf>
    <xf numFmtId="173" fontId="8" fillId="13" borderId="63" xfId="0" applyNumberFormat="1" applyFont="1" applyFill="1" applyBorder="1">
      <alignment horizontal="center" vertical="center"/>
    </xf>
    <xf numFmtId="173" fontId="8" fillId="13" borderId="10" xfId="0" applyNumberFormat="1" applyFont="1" applyFill="1" applyBorder="1">
      <alignment horizontal="center" vertical="center"/>
    </xf>
    <xf numFmtId="173" fontId="8" fillId="13" borderId="105" xfId="0" applyNumberFormat="1" applyFont="1" applyFill="1" applyBorder="1">
      <alignment horizontal="center" vertical="center"/>
    </xf>
    <xf numFmtId="173" fontId="8" fillId="13" borderId="79" xfId="0" applyNumberFormat="1" applyFont="1" applyFill="1" applyBorder="1">
      <alignment horizontal="center" vertical="center"/>
    </xf>
    <xf numFmtId="173" fontId="8" fillId="13" borderId="17" xfId="0" applyNumberFormat="1" applyFont="1" applyFill="1" applyBorder="1">
      <alignment horizontal="center" vertical="center"/>
    </xf>
    <xf numFmtId="173" fontId="21" fillId="14" borderId="2" xfId="0" applyNumberFormat="1" applyFont="1" applyFill="1" applyBorder="1">
      <alignment horizontal="center" vertical="center"/>
    </xf>
    <xf numFmtId="1" fontId="11" fillId="0" borderId="0" xfId="0" applyNumberFormat="1" applyFont="1">
      <alignment horizontal="center" vertical="center"/>
    </xf>
    <xf numFmtId="2" fontId="11" fillId="0" borderId="0" xfId="2" applyFont="1" applyAlignment="1">
      <alignment horizontal="center" vertical="center"/>
    </xf>
    <xf numFmtId="1" fontId="8" fillId="8" borderId="48" xfId="1" applyFill="1" applyBorder="1">
      <alignment horizontal="left" vertical="center"/>
      <protection locked="0"/>
    </xf>
    <xf numFmtId="49" fontId="8" fillId="14" borderId="2" xfId="0" applyNumberFormat="1" applyFont="1" applyFill="1" applyBorder="1">
      <alignment horizontal="center" vertical="center"/>
    </xf>
    <xf numFmtId="2" fontId="0" fillId="0" borderId="99" xfId="0" applyBorder="1">
      <alignment horizontal="center" vertical="center"/>
    </xf>
    <xf numFmtId="183" fontId="8" fillId="8" borderId="1" xfId="0" applyNumberFormat="1" applyFont="1" applyFill="1" applyBorder="1" applyAlignment="1" applyProtection="1">
      <alignment horizontal="left" vertical="center"/>
      <protection locked="0"/>
    </xf>
    <xf numFmtId="183" fontId="21" fillId="7" borderId="2" xfId="0" applyNumberFormat="1" applyFont="1" applyFill="1" applyBorder="1" applyAlignment="1">
      <alignment horizontal="left" vertical="center"/>
    </xf>
    <xf numFmtId="183" fontId="9" fillId="0" borderId="2" xfId="0" applyNumberFormat="1" applyFont="1" applyBorder="1" applyAlignment="1">
      <alignment horizontal="left" vertical="center"/>
    </xf>
    <xf numFmtId="183" fontId="8" fillId="0" borderId="2" xfId="0" applyNumberFormat="1" applyFont="1" applyBorder="1">
      <alignment horizontal="center" vertical="center"/>
    </xf>
    <xf numFmtId="183" fontId="3" fillId="5" borderId="2" xfId="0" applyNumberFormat="1" applyFont="1" applyFill="1" applyBorder="1" applyAlignment="1" applyProtection="1">
      <alignment horizontal="left" vertical="center"/>
      <protection locked="0"/>
    </xf>
    <xf numFmtId="2" fontId="8" fillId="0" borderId="70" xfId="0" applyFont="1" applyBorder="1">
      <alignment horizontal="center" vertical="center"/>
    </xf>
    <xf numFmtId="2" fontId="8" fillId="0" borderId="73" xfId="0" applyFont="1" applyBorder="1">
      <alignment horizontal="center" vertical="center"/>
    </xf>
    <xf numFmtId="183" fontId="21" fillId="14" borderId="2" xfId="0" applyNumberFormat="1" applyFont="1" applyFill="1" applyBorder="1" applyAlignment="1">
      <alignment horizontal="left" vertical="center"/>
    </xf>
    <xf numFmtId="2" fontId="51" fillId="0" borderId="0" xfId="0" applyFont="1" applyAlignment="1">
      <alignment horizontal="right" vertical="center"/>
    </xf>
    <xf numFmtId="182" fontId="21" fillId="8" borderId="2" xfId="1" applyNumberFormat="1" applyFont="1" applyFill="1" applyBorder="1" applyAlignment="1">
      <alignment horizontal="center" vertical="center"/>
      <protection locked="0"/>
    </xf>
    <xf numFmtId="182" fontId="21" fillId="8" borderId="27" xfId="1" applyNumberFormat="1" applyFont="1" applyFill="1" applyBorder="1" applyAlignment="1">
      <alignment horizontal="center" vertical="center"/>
      <protection locked="0"/>
    </xf>
    <xf numFmtId="182" fontId="8" fillId="0" borderId="2" xfId="0" applyNumberFormat="1" applyFont="1" applyBorder="1" applyAlignment="1">
      <alignment horizontal="center" vertical="center" shrinkToFit="1"/>
    </xf>
    <xf numFmtId="182" fontId="8" fillId="0" borderId="19" xfId="0" applyNumberFormat="1" applyFont="1" applyBorder="1" applyAlignment="1">
      <alignment horizontal="center" vertical="center" shrinkToFit="1"/>
    </xf>
    <xf numFmtId="174" fontId="8" fillId="8" borderId="1" xfId="1" applyNumberFormat="1" applyFill="1" applyAlignment="1">
      <alignment horizontal="center" vertical="center"/>
      <protection locked="0"/>
    </xf>
    <xf numFmtId="2" fontId="3" fillId="0" borderId="103" xfId="0" applyFont="1" applyBorder="1">
      <alignment horizontal="center" vertical="center"/>
    </xf>
    <xf numFmtId="1" fontId="8" fillId="5" borderId="96" xfId="0" applyNumberFormat="1" applyFont="1" applyFill="1" applyBorder="1" applyProtection="1">
      <alignment horizontal="center" vertical="center"/>
      <protection locked="0"/>
    </xf>
    <xf numFmtId="2" fontId="8" fillId="0" borderId="36" xfId="0" applyFont="1" applyBorder="1" applyAlignment="1">
      <alignment vertical="center"/>
    </xf>
    <xf numFmtId="2" fontId="8" fillId="0" borderId="51" xfId="0" applyFont="1" applyBorder="1">
      <alignment horizontal="center" vertical="center"/>
    </xf>
    <xf numFmtId="2" fontId="16" fillId="0" borderId="28" xfId="0" applyFont="1" applyBorder="1" applyAlignment="1">
      <alignment horizontal="left" vertical="center"/>
    </xf>
    <xf numFmtId="0" fontId="8" fillId="14" borderId="2" xfId="0" applyNumberFormat="1" applyFont="1" applyFill="1" applyBorder="1" applyAlignment="1">
      <alignment horizontal="left" vertical="center"/>
    </xf>
    <xf numFmtId="2" fontId="0" fillId="0" borderId="34" xfId="0" applyBorder="1">
      <alignment horizontal="center" vertical="center"/>
    </xf>
    <xf numFmtId="2" fontId="0" fillId="0" borderId="6" xfId="0" applyBorder="1">
      <alignment horizontal="center" vertical="center"/>
    </xf>
    <xf numFmtId="2" fontId="0" fillId="0" borderId="85" xfId="0" applyBorder="1">
      <alignment horizontal="center" vertical="center"/>
    </xf>
    <xf numFmtId="1" fontId="8" fillId="0" borderId="0" xfId="0" applyNumberFormat="1" applyFont="1">
      <alignment horizontal="center" vertical="center"/>
    </xf>
    <xf numFmtId="2" fontId="12" fillId="7" borderId="0" xfId="0" applyFont="1" applyFill="1" applyAlignment="1">
      <alignment horizontal="right" vertical="center"/>
    </xf>
    <xf numFmtId="0" fontId="8" fillId="14" borderId="2" xfId="0" applyNumberFormat="1" applyFont="1" applyFill="1" applyBorder="1">
      <alignment horizontal="center" vertical="center"/>
    </xf>
    <xf numFmtId="181" fontId="8" fillId="14" borderId="2" xfId="0" applyNumberFormat="1" applyFont="1" applyFill="1" applyBorder="1">
      <alignment horizontal="center" vertical="center"/>
    </xf>
    <xf numFmtId="181" fontId="21" fillId="7" borderId="2" xfId="0" applyNumberFormat="1" applyFont="1" applyFill="1" applyBorder="1" applyAlignment="1">
      <alignment horizontal="left" vertical="center"/>
    </xf>
    <xf numFmtId="174" fontId="22" fillId="7" borderId="18" xfId="0" applyNumberFormat="1" applyFont="1" applyFill="1" applyBorder="1">
      <alignment horizontal="center" vertical="center"/>
    </xf>
    <xf numFmtId="1" fontId="8" fillId="8" borderId="2" xfId="0" applyNumberFormat="1" applyFont="1" applyFill="1" applyBorder="1" applyProtection="1">
      <alignment horizontal="center" vertical="center"/>
      <protection locked="0"/>
    </xf>
    <xf numFmtId="1" fontId="8" fillId="8" borderId="27" xfId="0" applyNumberFormat="1" applyFont="1" applyFill="1" applyBorder="1" applyProtection="1">
      <alignment horizontal="center" vertical="center"/>
      <protection locked="0"/>
    </xf>
    <xf numFmtId="170" fontId="22" fillId="7" borderId="18" xfId="0" applyNumberFormat="1" applyFont="1" applyFill="1" applyBorder="1">
      <alignment horizontal="center" vertical="center"/>
    </xf>
    <xf numFmtId="176" fontId="8" fillId="9" borderId="2" xfId="0" applyNumberFormat="1" applyFont="1" applyFill="1" applyBorder="1" applyProtection="1">
      <alignment horizontal="center" vertical="center"/>
      <protection locked="0"/>
    </xf>
    <xf numFmtId="170" fontId="22" fillId="7" borderId="87" xfId="0" applyNumberFormat="1" applyFont="1" applyFill="1" applyBorder="1">
      <alignment horizontal="center" vertical="center"/>
    </xf>
    <xf numFmtId="176" fontId="8" fillId="9" borderId="27" xfId="0" applyNumberFormat="1" applyFont="1" applyFill="1" applyBorder="1" applyProtection="1">
      <alignment horizontal="center" vertical="center"/>
      <protection locked="0"/>
    </xf>
    <xf numFmtId="170" fontId="21" fillId="12" borderId="2" xfId="0" applyNumberFormat="1" applyFont="1" applyFill="1" applyBorder="1">
      <alignment horizontal="center" vertical="center"/>
    </xf>
    <xf numFmtId="170" fontId="22" fillId="7" borderId="27" xfId="0" applyNumberFormat="1" applyFont="1" applyFill="1" applyBorder="1">
      <alignment horizontal="center" vertical="center"/>
    </xf>
    <xf numFmtId="170" fontId="8" fillId="8" borderId="27" xfId="0" applyNumberFormat="1" applyFont="1" applyFill="1" applyBorder="1" applyProtection="1">
      <alignment horizontal="center" vertical="center"/>
      <protection locked="0"/>
    </xf>
    <xf numFmtId="2" fontId="12" fillId="7" borderId="2" xfId="0" applyFont="1" applyFill="1" applyBorder="1" applyAlignment="1">
      <alignment horizontal="right" vertical="center"/>
    </xf>
    <xf numFmtId="170" fontId="22" fillId="7" borderId="2" xfId="0" applyNumberFormat="1" applyFont="1" applyFill="1" applyBorder="1">
      <alignment horizontal="center" vertical="center"/>
    </xf>
    <xf numFmtId="170" fontId="22" fillId="12" borderId="2" xfId="0" applyNumberFormat="1" applyFont="1" applyFill="1" applyBorder="1" applyAlignment="1" applyProtection="1">
      <alignment horizontal="centerContinuous" vertical="center"/>
      <protection locked="0"/>
    </xf>
    <xf numFmtId="168" fontId="8" fillId="0" borderId="23" xfId="0" applyNumberFormat="1" applyFont="1" applyBorder="1">
      <alignment horizontal="center" vertical="center"/>
    </xf>
    <xf numFmtId="0" fontId="8" fillId="7" borderId="2" xfId="0" applyNumberFormat="1" applyFont="1" applyFill="1" applyBorder="1">
      <alignment horizontal="center" vertical="center"/>
    </xf>
    <xf numFmtId="2" fontId="3" fillId="0" borderId="73" xfId="0" applyFont="1" applyBorder="1">
      <alignment horizontal="center" vertical="center"/>
    </xf>
    <xf numFmtId="2" fontId="3" fillId="0" borderId="75" xfId="0" applyFont="1" applyBorder="1">
      <alignment horizontal="center" vertical="center"/>
    </xf>
    <xf numFmtId="2" fontId="3" fillId="0" borderId="70" xfId="0" applyFont="1" applyBorder="1">
      <alignment horizontal="center" vertical="center"/>
    </xf>
    <xf numFmtId="2" fontId="46" fillId="0" borderId="72" xfId="0" applyFont="1" applyBorder="1">
      <alignment horizontal="center" vertical="center"/>
    </xf>
    <xf numFmtId="2" fontId="3" fillId="0" borderId="25" xfId="0" applyFont="1" applyBorder="1" applyAlignment="1">
      <alignment horizontal="right" vertical="center"/>
    </xf>
    <xf numFmtId="2" fontId="8" fillId="0" borderId="47" xfId="0" applyFont="1" applyBorder="1">
      <alignment horizontal="center" vertical="center"/>
    </xf>
    <xf numFmtId="0" fontId="8" fillId="0" borderId="1" xfId="0" applyNumberFormat="1" applyFont="1" applyBorder="1">
      <alignment horizontal="center" vertical="center"/>
    </xf>
    <xf numFmtId="0" fontId="12" fillId="7" borderId="1" xfId="0" applyNumberFormat="1" applyFont="1" applyFill="1" applyBorder="1" applyAlignment="1">
      <alignment horizontal="left" vertical="center"/>
    </xf>
    <xf numFmtId="2" fontId="0" fillId="0" borderId="0" xfId="0" applyAlignment="1">
      <alignment vertical="center"/>
    </xf>
    <xf numFmtId="2" fontId="8" fillId="0" borderId="65" xfId="0" applyFont="1" applyBorder="1">
      <alignment horizontal="center" vertical="center"/>
    </xf>
    <xf numFmtId="2" fontId="8" fillId="0" borderId="119" xfId="0" applyFont="1" applyBorder="1">
      <alignment horizontal="center" vertical="center"/>
    </xf>
    <xf numFmtId="2" fontId="8" fillId="0" borderId="120" xfId="0" applyFont="1" applyBorder="1">
      <alignment horizontal="center" vertical="center"/>
    </xf>
    <xf numFmtId="2" fontId="8" fillId="0" borderId="78" xfId="0" applyFont="1" applyBorder="1">
      <alignment horizontal="center" vertical="center"/>
    </xf>
    <xf numFmtId="2" fontId="8" fillId="0" borderId="117" xfId="0" applyFont="1" applyBorder="1">
      <alignment horizontal="center" vertical="center"/>
    </xf>
    <xf numFmtId="2" fontId="8" fillId="0" borderId="106" xfId="0" applyFont="1" applyBorder="1">
      <alignment horizontal="center" vertical="center"/>
    </xf>
    <xf numFmtId="10" fontId="8" fillId="0" borderId="121" xfId="0" applyNumberFormat="1" applyFont="1" applyBorder="1">
      <alignment horizontal="center" vertical="center"/>
    </xf>
    <xf numFmtId="10" fontId="8" fillId="0" borderId="10" xfId="0" applyNumberFormat="1" applyFont="1" applyBorder="1">
      <alignment horizontal="center" vertical="center"/>
    </xf>
    <xf numFmtId="10" fontId="8" fillId="0" borderId="104" xfId="0" applyNumberFormat="1" applyFont="1" applyBorder="1">
      <alignment horizontal="center" vertical="center"/>
    </xf>
    <xf numFmtId="10" fontId="8" fillId="0" borderId="60" xfId="0" applyNumberFormat="1" applyFont="1" applyBorder="1">
      <alignment horizontal="center" vertical="center"/>
    </xf>
    <xf numFmtId="10" fontId="8" fillId="0" borderId="69" xfId="0" applyNumberFormat="1" applyFont="1" applyBorder="1">
      <alignment horizontal="center" vertical="center"/>
    </xf>
    <xf numFmtId="10" fontId="8" fillId="0" borderId="63" xfId="0" applyNumberFormat="1" applyFont="1" applyBorder="1">
      <alignment horizontal="center" vertical="center"/>
    </xf>
    <xf numFmtId="2" fontId="8" fillId="0" borderId="0" xfId="0" applyFont="1" applyAlignment="1">
      <alignment horizontal="center" vertical="center" wrapText="1"/>
    </xf>
    <xf numFmtId="2" fontId="8" fillId="0" borderId="53" xfId="0" applyFont="1" applyBorder="1" applyAlignment="1">
      <alignment horizontal="center" vertical="center" wrapText="1"/>
    </xf>
    <xf numFmtId="2" fontId="8" fillId="5" borderId="1" xfId="0" applyFont="1" applyFill="1" applyBorder="1" applyProtection="1">
      <alignment horizontal="center" vertical="center"/>
      <protection locked="0"/>
    </xf>
    <xf numFmtId="10" fontId="8" fillId="0" borderId="1" xfId="0" applyNumberFormat="1" applyFont="1" applyBorder="1">
      <alignment horizontal="center" vertical="center"/>
    </xf>
    <xf numFmtId="2" fontId="8" fillId="0" borderId="62" xfId="0" applyFont="1" applyBorder="1">
      <alignment horizontal="center" vertical="center"/>
    </xf>
    <xf numFmtId="2" fontId="8" fillId="0" borderId="89" xfId="0" applyFont="1" applyBorder="1" applyAlignment="1">
      <alignment horizontal="right" vertical="center"/>
    </xf>
    <xf numFmtId="2" fontId="8" fillId="0" borderId="10" xfId="0" applyFont="1" applyBorder="1">
      <alignment horizontal="center" vertical="center"/>
    </xf>
    <xf numFmtId="2" fontId="8" fillId="0" borderId="104" xfId="0" applyFont="1" applyBorder="1">
      <alignment horizontal="center" vertical="center"/>
    </xf>
    <xf numFmtId="2" fontId="8" fillId="0" borderId="122" xfId="0" applyFont="1" applyBorder="1" applyAlignment="1">
      <alignment horizontal="right" vertical="center"/>
    </xf>
    <xf numFmtId="2" fontId="8" fillId="0" borderId="123" xfId="0" applyFont="1" applyBorder="1" applyAlignment="1">
      <alignment horizontal="right" vertical="center"/>
    </xf>
    <xf numFmtId="2" fontId="12" fillId="0" borderId="0" xfId="0" applyFont="1" applyAlignment="1">
      <alignment vertical="center"/>
    </xf>
    <xf numFmtId="2" fontId="7" fillId="0" borderId="0" xfId="0" applyFont="1" applyAlignment="1">
      <alignment vertical="center"/>
    </xf>
    <xf numFmtId="2" fontId="14" fillId="0" borderId="28" xfId="0" applyFont="1" applyBorder="1" applyAlignment="1">
      <alignment vertical="center"/>
    </xf>
    <xf numFmtId="2" fontId="7" fillId="0" borderId="28" xfId="0" applyFont="1" applyBorder="1" applyAlignment="1">
      <alignment vertical="center"/>
    </xf>
    <xf numFmtId="2" fontId="8" fillId="0" borderId="23" xfId="0" applyFont="1" applyBorder="1" applyAlignment="1">
      <alignment vertical="center"/>
    </xf>
    <xf numFmtId="2" fontId="8" fillId="0" borderId="28" xfId="0" applyFont="1" applyBorder="1" applyAlignment="1">
      <alignment vertical="center"/>
    </xf>
    <xf numFmtId="2" fontId="7" fillId="0" borderId="28" xfId="0" applyFont="1" applyBorder="1" applyAlignment="1">
      <alignment horizontal="left" vertical="center"/>
    </xf>
    <xf numFmtId="2" fontId="8" fillId="0" borderId="121" xfId="0" applyFont="1" applyBorder="1" applyAlignment="1">
      <alignment horizontal="center" vertical="center" shrinkToFit="1"/>
    </xf>
    <xf numFmtId="2" fontId="8" fillId="0" borderId="10" xfId="0" applyFont="1" applyBorder="1" applyAlignment="1">
      <alignment horizontal="center" vertical="center" shrinkToFit="1"/>
    </xf>
    <xf numFmtId="2" fontId="8" fillId="0" borderId="117" xfId="0" applyFont="1" applyBorder="1" applyAlignment="1">
      <alignment horizontal="center" vertical="center" shrinkToFit="1"/>
    </xf>
    <xf numFmtId="2" fontId="8" fillId="0" borderId="1" xfId="0" applyFont="1" applyBorder="1" applyAlignment="1">
      <alignment horizontal="center" vertical="center" shrinkToFit="1"/>
    </xf>
    <xf numFmtId="2" fontId="8" fillId="0" borderId="60" xfId="0" applyFont="1" applyBorder="1" applyAlignment="1">
      <alignment horizontal="center" vertical="center" shrinkToFit="1"/>
    </xf>
    <xf numFmtId="2" fontId="8" fillId="0" borderId="69" xfId="0" applyFont="1" applyBorder="1" applyAlignment="1">
      <alignment horizontal="center" vertical="center" shrinkToFit="1"/>
    </xf>
    <xf numFmtId="2" fontId="8" fillId="0" borderId="104" xfId="0" applyFont="1" applyBorder="1" applyAlignment="1">
      <alignment horizontal="center" vertical="center" shrinkToFit="1"/>
    </xf>
    <xf numFmtId="2" fontId="8" fillId="0" borderId="106" xfId="0" applyFont="1" applyBorder="1" applyAlignment="1">
      <alignment horizontal="center" vertical="center" shrinkToFit="1"/>
    </xf>
    <xf numFmtId="2" fontId="8" fillId="0" borderId="63" xfId="0" applyFont="1" applyBorder="1" applyAlignment="1">
      <alignment horizontal="center" vertical="center" shrinkToFit="1"/>
    </xf>
    <xf numFmtId="2" fontId="8" fillId="0" borderId="121" xfId="0" applyFont="1" applyBorder="1">
      <alignment horizontal="center" vertical="center"/>
    </xf>
    <xf numFmtId="2" fontId="8" fillId="0" borderId="124" xfId="0" applyFont="1" applyBorder="1">
      <alignment horizontal="center" vertical="center"/>
    </xf>
    <xf numFmtId="2" fontId="8" fillId="0" borderId="125" xfId="0" applyFont="1" applyBorder="1">
      <alignment horizontal="center" vertical="center"/>
    </xf>
    <xf numFmtId="2" fontId="8" fillId="0" borderId="126" xfId="0" applyFont="1" applyBorder="1">
      <alignment horizontal="center" vertical="center"/>
    </xf>
    <xf numFmtId="2" fontId="8" fillId="0" borderId="85" xfId="0" applyFont="1" applyBorder="1">
      <alignment horizontal="center" vertical="center"/>
    </xf>
    <xf numFmtId="2" fontId="8" fillId="0" borderId="4" xfId="0" applyFont="1" applyBorder="1" applyAlignment="1">
      <alignment vertical="center"/>
    </xf>
    <xf numFmtId="2" fontId="8" fillId="0" borderId="30" xfId="0" applyFont="1" applyBorder="1" applyAlignment="1">
      <alignment vertical="center"/>
    </xf>
    <xf numFmtId="2" fontId="5" fillId="0" borderId="28" xfId="0" applyFont="1" applyBorder="1" applyAlignment="1">
      <alignment horizontal="right" vertical="center"/>
    </xf>
    <xf numFmtId="2" fontId="8" fillId="0" borderId="0" xfId="0" applyFont="1" applyAlignment="1">
      <alignment vertical="center" wrapText="1"/>
    </xf>
    <xf numFmtId="0" fontId="8" fillId="0" borderId="10" xfId="0" applyNumberFormat="1" applyFont="1" applyBorder="1">
      <alignment horizontal="center" vertical="center"/>
    </xf>
    <xf numFmtId="2" fontId="7" fillId="0" borderId="32" xfId="0" applyFont="1" applyBorder="1" applyAlignment="1">
      <alignment vertical="center"/>
    </xf>
    <xf numFmtId="2" fontId="8" fillId="5" borderId="2" xfId="0" applyFont="1" applyFill="1" applyBorder="1" applyProtection="1">
      <alignment horizontal="center" vertical="center"/>
      <protection locked="0"/>
    </xf>
    <xf numFmtId="170" fontId="8" fillId="8" borderId="1" xfId="0" applyNumberFormat="1" applyFont="1" applyFill="1" applyBorder="1" applyProtection="1">
      <alignment horizontal="center" vertical="center"/>
      <protection locked="0"/>
    </xf>
    <xf numFmtId="0" fontId="8" fillId="5" borderId="1" xfId="0" applyNumberFormat="1" applyFont="1" applyFill="1" applyBorder="1" applyProtection="1">
      <alignment horizontal="center" vertical="center"/>
      <protection locked="0"/>
    </xf>
    <xf numFmtId="166" fontId="8" fillId="8" borderId="18" xfId="0" applyNumberFormat="1" applyFont="1" applyFill="1" applyBorder="1" applyProtection="1">
      <alignment horizontal="center" vertical="center"/>
      <protection locked="0"/>
    </xf>
    <xf numFmtId="166" fontId="8" fillId="8" borderId="13" xfId="0" applyNumberFormat="1" applyFont="1" applyFill="1" applyBorder="1" applyProtection="1">
      <alignment horizontal="center" vertical="center"/>
      <protection locked="0"/>
    </xf>
    <xf numFmtId="166" fontId="22" fillId="7" borderId="54" xfId="0" applyNumberFormat="1" applyFont="1" applyFill="1" applyBorder="1">
      <alignment horizontal="center" vertical="center"/>
    </xf>
    <xf numFmtId="166" fontId="22" fillId="7" borderId="59" xfId="0" applyNumberFormat="1" applyFont="1" applyFill="1" applyBorder="1">
      <alignment horizontal="center" vertical="center"/>
    </xf>
    <xf numFmtId="166" fontId="8" fillId="5" borderId="54" xfId="0" applyNumberFormat="1" applyFont="1" applyFill="1" applyBorder="1" applyProtection="1">
      <alignment horizontal="center" vertical="center"/>
      <protection locked="0"/>
    </xf>
    <xf numFmtId="166" fontId="8" fillId="5" borderId="59" xfId="0" applyNumberFormat="1" applyFont="1" applyFill="1" applyBorder="1" applyProtection="1">
      <alignment horizontal="center" vertical="center"/>
      <protection locked="0"/>
    </xf>
    <xf numFmtId="166" fontId="8" fillId="8" borderId="1" xfId="0" applyNumberFormat="1" applyFont="1" applyFill="1" applyBorder="1" applyProtection="1">
      <alignment horizontal="center" vertical="center"/>
      <protection locked="0"/>
    </xf>
    <xf numFmtId="0" fontId="8" fillId="0" borderId="60" xfId="0" applyNumberFormat="1" applyFont="1" applyBorder="1">
      <alignment horizontal="center" vertical="center"/>
    </xf>
    <xf numFmtId="0" fontId="8" fillId="0" borderId="69" xfId="0" applyNumberFormat="1" applyFont="1" applyBorder="1">
      <alignment horizontal="center" vertical="center"/>
    </xf>
    <xf numFmtId="0" fontId="8" fillId="0" borderId="63" xfId="0" applyNumberFormat="1" applyFont="1" applyBorder="1">
      <alignment horizontal="center" vertical="center"/>
    </xf>
    <xf numFmtId="0" fontId="8" fillId="0" borderId="127" xfId="0" applyNumberFormat="1" applyFont="1" applyBorder="1">
      <alignment horizontal="center" vertical="center"/>
    </xf>
    <xf numFmtId="0" fontId="8" fillId="0" borderId="77" xfId="0" applyNumberFormat="1" applyFont="1" applyBorder="1">
      <alignment horizontal="center" vertical="center"/>
    </xf>
    <xf numFmtId="0" fontId="8" fillId="0" borderId="128" xfId="0" applyNumberFormat="1" applyFont="1" applyBorder="1">
      <alignment horizontal="center" vertical="center"/>
    </xf>
    <xf numFmtId="2" fontId="8" fillId="0" borderId="8" xfId="0" applyFont="1" applyBorder="1" applyAlignment="1">
      <alignment horizontal="right" vertical="center"/>
    </xf>
    <xf numFmtId="2" fontId="8" fillId="0" borderId="8" xfId="0" applyFont="1" applyBorder="1" applyAlignment="1">
      <alignment horizontal="right" vertical="center" wrapText="1"/>
    </xf>
    <xf numFmtId="0" fontId="8" fillId="7" borderId="2" xfId="0" applyNumberFormat="1" applyFont="1" applyFill="1" applyBorder="1" applyAlignment="1">
      <alignment horizontal="left" vertical="center"/>
    </xf>
    <xf numFmtId="0" fontId="52" fillId="0" borderId="0" xfId="5" applyAlignment="1">
      <alignment vertical="center"/>
    </xf>
    <xf numFmtId="2" fontId="53" fillId="15" borderId="0" xfId="0" applyFont="1" applyFill="1">
      <alignment horizontal="center" vertical="center"/>
    </xf>
    <xf numFmtId="2" fontId="8" fillId="0" borderId="8" xfId="0" applyFont="1" applyBorder="1" applyAlignment="1">
      <alignment horizontal="center" vertical="center" wrapText="1"/>
    </xf>
    <xf numFmtId="2" fontId="52" fillId="0" borderId="0" xfId="5" applyNumberFormat="1" applyAlignment="1">
      <alignment vertical="center"/>
    </xf>
    <xf numFmtId="2" fontId="9" fillId="16" borderId="18" xfId="0" applyFont="1" applyFill="1" applyBorder="1" applyAlignment="1">
      <alignment horizontal="left" vertical="center" wrapText="1"/>
    </xf>
    <xf numFmtId="1" fontId="9" fillId="16" borderId="7" xfId="0" applyNumberFormat="1" applyFont="1" applyFill="1" applyBorder="1">
      <alignment horizontal="center" vertical="center"/>
    </xf>
    <xf numFmtId="1" fontId="9" fillId="16" borderId="7" xfId="0" applyNumberFormat="1" applyFont="1" applyFill="1" applyBorder="1" applyProtection="1">
      <alignment horizontal="center" vertical="center"/>
      <protection locked="0"/>
    </xf>
    <xf numFmtId="2" fontId="8" fillId="16" borderId="18" xfId="0" applyFont="1" applyFill="1" applyBorder="1">
      <alignment horizontal="center" vertical="center"/>
    </xf>
    <xf numFmtId="2" fontId="8" fillId="17" borderId="18" xfId="0" applyFont="1" applyFill="1" applyBorder="1" applyProtection="1">
      <alignment horizontal="center" vertical="center"/>
      <protection locked="0"/>
    </xf>
    <xf numFmtId="2" fontId="8" fillId="16" borderId="15" xfId="0" applyFont="1" applyFill="1" applyBorder="1">
      <alignment horizontal="center" vertical="center"/>
    </xf>
    <xf numFmtId="1" fontId="3" fillId="16" borderId="7" xfId="0" applyNumberFormat="1" applyFont="1" applyFill="1" applyBorder="1" applyProtection="1">
      <alignment horizontal="center" vertical="center"/>
      <protection locked="0"/>
    </xf>
    <xf numFmtId="2" fontId="8" fillId="16" borderId="18" xfId="0" applyFont="1" applyFill="1" applyBorder="1" applyProtection="1">
      <alignment horizontal="center" vertical="center"/>
      <protection locked="0"/>
    </xf>
    <xf numFmtId="2" fontId="9" fillId="16" borderId="22" xfId="0" applyFont="1" applyFill="1" applyBorder="1" applyAlignment="1">
      <alignment horizontal="left" vertical="center" wrapText="1"/>
    </xf>
    <xf numFmtId="1" fontId="9" fillId="16" borderId="67" xfId="0" applyNumberFormat="1" applyFont="1" applyFill="1" applyBorder="1">
      <alignment horizontal="center" vertical="center"/>
    </xf>
    <xf numFmtId="2" fontId="8" fillId="17" borderId="18" xfId="0" applyFont="1" applyFill="1" applyBorder="1">
      <alignment horizontal="center" vertical="center"/>
    </xf>
    <xf numFmtId="2" fontId="8" fillId="17" borderId="22" xfId="0" applyFont="1" applyFill="1" applyBorder="1" applyProtection="1">
      <alignment horizontal="center" vertical="center"/>
      <protection locked="0"/>
    </xf>
    <xf numFmtId="2" fontId="9" fillId="17" borderId="18" xfId="0" applyFont="1" applyFill="1" applyBorder="1" applyAlignment="1">
      <alignment horizontal="left" vertical="center" wrapText="1"/>
    </xf>
    <xf numFmtId="2" fontId="8" fillId="17" borderId="22" xfId="0" applyFont="1" applyFill="1" applyBorder="1">
      <alignment horizontal="center" vertical="center"/>
    </xf>
    <xf numFmtId="1" fontId="9" fillId="17" borderId="7" xfId="0" applyNumberFormat="1" applyFont="1" applyFill="1" applyBorder="1">
      <alignment horizontal="center" vertical="center"/>
    </xf>
    <xf numFmtId="170" fontId="8" fillId="17" borderId="7" xfId="0" applyNumberFormat="1" applyFont="1" applyFill="1" applyBorder="1">
      <alignment horizontal="center" vertical="center"/>
    </xf>
    <xf numFmtId="170" fontId="8" fillId="17" borderId="67" xfId="0" applyNumberFormat="1" applyFont="1" applyFill="1" applyBorder="1">
      <alignment horizontal="center" vertical="center"/>
    </xf>
    <xf numFmtId="2" fontId="8" fillId="17" borderId="15" xfId="0" applyFont="1" applyFill="1" applyBorder="1">
      <alignment horizontal="center" vertical="center"/>
    </xf>
    <xf numFmtId="2" fontId="8" fillId="17" borderId="15" xfId="0" applyFont="1" applyFill="1" applyBorder="1" applyProtection="1">
      <alignment horizontal="center" vertical="center"/>
      <protection locked="0"/>
    </xf>
    <xf numFmtId="2" fontId="9" fillId="17" borderId="7" xfId="0" applyFont="1" applyFill="1" applyBorder="1">
      <alignment horizontal="center" vertical="center"/>
    </xf>
    <xf numFmtId="2" fontId="8" fillId="17" borderId="7" xfId="0" applyFont="1" applyFill="1" applyBorder="1">
      <alignment horizontal="center" vertical="center"/>
    </xf>
    <xf numFmtId="2" fontId="8" fillId="17" borderId="79" xfId="0" applyFont="1" applyFill="1" applyBorder="1" applyProtection="1">
      <alignment horizontal="center" vertical="center"/>
      <protection locked="0"/>
    </xf>
    <xf numFmtId="2" fontId="8" fillId="17" borderId="93" xfId="0" applyFont="1" applyFill="1" applyBorder="1" applyProtection="1">
      <alignment horizontal="center" vertical="center"/>
      <protection locked="0"/>
    </xf>
    <xf numFmtId="1" fontId="9" fillId="16" borderId="5" xfId="0" applyNumberFormat="1" applyFont="1" applyFill="1" applyBorder="1">
      <alignment horizontal="center" vertical="center"/>
    </xf>
    <xf numFmtId="2" fontId="8" fillId="16" borderId="7" xfId="0" applyFont="1" applyFill="1" applyBorder="1">
      <alignment horizontal="center" vertical="center"/>
    </xf>
    <xf numFmtId="2" fontId="8" fillId="16" borderId="5" xfId="0" applyFont="1" applyFill="1" applyBorder="1">
      <alignment horizontal="center" vertical="center"/>
    </xf>
    <xf numFmtId="2" fontId="9" fillId="16" borderId="7" xfId="0" applyFont="1" applyFill="1" applyBorder="1">
      <alignment horizontal="center" vertical="center"/>
    </xf>
    <xf numFmtId="2" fontId="9" fillId="16" borderId="5" xfId="0" applyFont="1" applyFill="1" applyBorder="1">
      <alignment horizontal="center" vertical="center"/>
    </xf>
    <xf numFmtId="2" fontId="3" fillId="16" borderId="79" xfId="0" applyFont="1" applyFill="1" applyBorder="1">
      <alignment horizontal="center" vertical="center"/>
    </xf>
    <xf numFmtId="2" fontId="3" fillId="16" borderId="66" xfId="0" applyFont="1" applyFill="1" applyBorder="1">
      <alignment horizontal="center" vertical="center"/>
    </xf>
    <xf numFmtId="2" fontId="3" fillId="16" borderId="79" xfId="0" applyFont="1" applyFill="1" applyBorder="1" applyProtection="1">
      <alignment horizontal="center" vertical="center"/>
      <protection locked="0"/>
    </xf>
    <xf numFmtId="2" fontId="3" fillId="16" borderId="66" xfId="0" applyFont="1" applyFill="1" applyBorder="1" applyProtection="1">
      <alignment horizontal="center" vertical="center"/>
      <protection locked="0"/>
    </xf>
    <xf numFmtId="173" fontId="8" fillId="0" borderId="0" xfId="0" applyNumberFormat="1" applyFont="1">
      <alignment horizontal="center" vertical="center"/>
    </xf>
    <xf numFmtId="164" fontId="8" fillId="0" borderId="0" xfId="0" applyNumberFormat="1" applyFont="1">
      <alignment horizontal="center" vertical="center"/>
    </xf>
    <xf numFmtId="10" fontId="8" fillId="0" borderId="0" xfId="3" applyNumberFormat="1" applyFont="1" applyBorder="1" applyAlignment="1">
      <alignment horizontal="center" vertical="center"/>
    </xf>
    <xf numFmtId="184" fontId="21" fillId="14" borderId="2" xfId="0" applyNumberFormat="1" applyFont="1" applyFill="1" applyBorder="1" applyAlignment="1">
      <alignment horizontal="left" vertical="center"/>
    </xf>
    <xf numFmtId="49" fontId="8" fillId="0" borderId="0" xfId="0" applyNumberFormat="1" applyFont="1">
      <alignment horizontal="center" vertical="center"/>
    </xf>
    <xf numFmtId="49" fontId="9" fillId="0" borderId="0" xfId="0" applyNumberFormat="1" applyFont="1">
      <alignment horizontal="center" vertical="center"/>
    </xf>
    <xf numFmtId="2" fontId="5" fillId="0" borderId="28" xfId="0" applyFont="1" applyBorder="1">
      <alignment horizontal="center" vertical="center"/>
    </xf>
    <xf numFmtId="169" fontId="8" fillId="7" borderId="2" xfId="0" applyNumberFormat="1" applyFont="1" applyFill="1" applyBorder="1" applyAlignment="1">
      <alignment horizontal="left" vertical="center"/>
    </xf>
    <xf numFmtId="169" fontId="8" fillId="6" borderId="13" xfId="0" quotePrefix="1" applyNumberFormat="1" applyFont="1" applyFill="1" applyBorder="1" applyAlignment="1" applyProtection="1">
      <alignment horizontal="left" vertical="center"/>
      <protection locked="0"/>
    </xf>
    <xf numFmtId="169" fontId="8" fillId="6" borderId="1" xfId="0" quotePrefix="1" applyNumberFormat="1" applyFont="1" applyFill="1" applyBorder="1" applyAlignment="1" applyProtection="1">
      <alignment horizontal="left" vertical="center"/>
      <protection locked="0"/>
    </xf>
    <xf numFmtId="0" fontId="0" fillId="0" borderId="0" xfId="0" applyNumberFormat="1" applyAlignment="1">
      <alignment vertical="center"/>
    </xf>
    <xf numFmtId="10" fontId="8" fillId="0" borderId="116" xfId="0" applyNumberFormat="1" applyFont="1" applyBorder="1">
      <alignment horizontal="center" vertical="center"/>
    </xf>
    <xf numFmtId="10" fontId="8" fillId="0" borderId="56" xfId="0" applyNumberFormat="1" applyFont="1" applyBorder="1">
      <alignment horizontal="center" vertical="center"/>
    </xf>
    <xf numFmtId="2" fontId="3" fillId="0" borderId="4" xfId="0" applyFont="1" applyBorder="1">
      <alignment horizontal="center" vertical="center"/>
    </xf>
    <xf numFmtId="2" fontId="5" fillId="0" borderId="62" xfId="0" applyFont="1" applyBorder="1">
      <alignment horizontal="center" vertical="center"/>
    </xf>
    <xf numFmtId="2" fontId="5" fillId="0" borderId="64" xfId="0" applyFont="1" applyBorder="1">
      <alignment horizontal="center" vertical="center"/>
    </xf>
    <xf numFmtId="2" fontId="8" fillId="0" borderId="0" xfId="0" applyFont="1" applyAlignment="1">
      <alignment horizontal="center" vertical="center" wrapText="1"/>
    </xf>
    <xf numFmtId="2" fontId="0" fillId="0" borderId="0" xfId="0" applyAlignment="1">
      <alignment horizontal="center" vertical="center" wrapText="1"/>
    </xf>
    <xf numFmtId="10" fontId="8" fillId="0" borderId="125" xfId="0" applyNumberFormat="1" applyFont="1" applyBorder="1">
      <alignment horizontal="center" vertical="center"/>
    </xf>
    <xf numFmtId="2" fontId="12" fillId="0" borderId="0" xfId="0" applyFont="1">
      <alignment horizontal="center" vertical="center"/>
    </xf>
    <xf numFmtId="2" fontId="12" fillId="0" borderId="23" xfId="0" applyFont="1" applyBorder="1">
      <alignment horizontal="center" vertical="center"/>
    </xf>
    <xf numFmtId="2" fontId="22" fillId="6" borderId="107" xfId="0" applyFont="1" applyFill="1" applyBorder="1">
      <alignment horizontal="center" vertical="center"/>
    </xf>
    <xf numFmtId="2" fontId="22" fillId="6" borderId="94" xfId="0" applyFont="1" applyFill="1" applyBorder="1">
      <alignment horizontal="center" vertical="center"/>
    </xf>
    <xf numFmtId="2" fontId="0" fillId="0" borderId="62" xfId="0" applyBorder="1">
      <alignment horizontal="center" vertical="center"/>
    </xf>
    <xf numFmtId="2" fontId="0" fillId="0" borderId="64" xfId="0" applyBorder="1">
      <alignment horizontal="center" vertical="center"/>
    </xf>
    <xf numFmtId="2" fontId="3" fillId="0" borderId="17" xfId="0" applyFont="1" applyBorder="1">
      <alignment horizontal="center" vertical="center"/>
    </xf>
    <xf numFmtId="2" fontId="3" fillId="0" borderId="53" xfId="0" applyFont="1" applyBorder="1">
      <alignment horizontal="center" vertical="center"/>
    </xf>
    <xf numFmtId="2" fontId="8" fillId="0" borderId="17" xfId="0" applyFont="1" applyBorder="1">
      <alignment horizontal="center" vertical="center"/>
    </xf>
    <xf numFmtId="2" fontId="8" fillId="0" borderId="53" xfId="0" applyFont="1" applyBorder="1">
      <alignment horizontal="center" vertical="center"/>
    </xf>
    <xf numFmtId="2" fontId="22" fillId="6" borderId="87" xfId="0" applyFont="1" applyFill="1" applyBorder="1">
      <alignment horizontal="center" vertical="center"/>
    </xf>
    <xf numFmtId="2" fontId="22" fillId="6" borderId="118" xfId="0" applyFont="1" applyFill="1" applyBorder="1">
      <alignment horizontal="center" vertical="center"/>
    </xf>
    <xf numFmtId="2" fontId="9" fillId="0" borderId="17" xfId="0" applyFont="1" applyBorder="1">
      <alignment horizontal="center" vertical="center"/>
    </xf>
    <xf numFmtId="2" fontId="9" fillId="0" borderId="53" xfId="0" applyFont="1" applyBorder="1">
      <alignment horizontal="center" vertical="center"/>
    </xf>
    <xf numFmtId="2" fontId="0" fillId="0" borderId="0" xfId="0">
      <alignment horizontal="center" vertical="center"/>
    </xf>
  </cellXfs>
  <cellStyles count="6">
    <cellStyle name="COMMENT" xfId="1" xr:uid="{00000000-0005-0000-0000-000000000000}"/>
    <cellStyle name="Normal" xfId="0" builtinId="0"/>
    <cellStyle name="Normal 2" xfId="5" xr:uid="{BC315F6E-A287-4626-B8C6-6A5910EF9224}"/>
    <cellStyle name="Normal_GEN_FORM" xfId="2" xr:uid="{00000000-0005-0000-0000-000002000000}"/>
    <cellStyle name="Percent" xfId="3" builtinId="5"/>
    <cellStyle name="SUBTITLE" xfId="4" xr:uid="{00000000-0005-0000-0000-000005000000}"/>
  </cellStyles>
  <dxfs count="46">
    <dxf>
      <fill>
        <patternFill patternType="mediumGray">
          <fgColor indexed="29"/>
          <bgColor indexed="10"/>
        </patternFill>
      </fill>
    </dxf>
    <dxf>
      <fill>
        <patternFill patternType="mediumGray">
          <fgColor indexed="29"/>
          <bgColor indexed="10"/>
        </patternFill>
      </fill>
    </dxf>
    <dxf>
      <fill>
        <patternFill patternType="mediumGray">
          <fgColor indexed="29"/>
          <bgColor indexed="10"/>
        </patternFill>
      </fill>
    </dxf>
    <dxf>
      <fill>
        <patternFill patternType="mediumGray">
          <fgColor indexed="29"/>
          <bgColor indexed="10"/>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patternType="mediumGray">
          <fgColor indexed="29"/>
          <bgColor indexed="10"/>
        </patternFill>
      </fill>
    </dxf>
    <dxf>
      <fill>
        <patternFill patternType="mediumGray">
          <fgColor indexed="29"/>
          <bgColor indexed="10"/>
        </patternFill>
      </fill>
    </dxf>
    <dxf>
      <fill>
        <patternFill>
          <bgColor indexed="44"/>
        </patternFill>
      </fill>
    </dxf>
    <dxf>
      <fill>
        <patternFill patternType="solid">
          <fgColor indexed="9"/>
          <bgColor indexed="44"/>
        </patternFill>
      </fill>
      <border>
        <bottom style="thin">
          <color indexed="64"/>
        </bottom>
      </border>
    </dxf>
    <dxf>
      <fill>
        <patternFill>
          <bgColor indexed="44"/>
        </patternFill>
      </fill>
      <border>
        <bottom style="thin">
          <color indexed="64"/>
        </bottom>
      </border>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MS Sans Serif"/>
                <a:ea typeface="MS Sans Serif"/>
                <a:cs typeface="MS Sans Serif"/>
              </a:defRPr>
            </a:pPr>
            <a:r>
              <a:rPr lang="en-US"/>
              <a:t>Radiation Output</a:t>
            </a:r>
          </a:p>
        </c:rich>
      </c:tx>
      <c:layout>
        <c:manualLayout>
          <c:xMode val="edge"/>
          <c:yMode val="edge"/>
          <c:x val="0.38606679717514369"/>
          <c:y val="5.9644129112172463E-2"/>
        </c:manualLayout>
      </c:layout>
      <c:overlay val="0"/>
      <c:spPr>
        <a:noFill/>
        <a:ln w="25400">
          <a:noFill/>
        </a:ln>
      </c:spPr>
    </c:title>
    <c:autoTitleDeleted val="0"/>
    <c:plotArea>
      <c:layout>
        <c:manualLayout>
          <c:layoutTarget val="inner"/>
          <c:xMode val="edge"/>
          <c:yMode val="edge"/>
          <c:x val="0.13214723986514434"/>
          <c:y val="0.15643021493817388"/>
          <c:w val="0.80495323253959616"/>
          <c:h val="0.71033426209397299"/>
        </c:manualLayout>
      </c:layout>
      <c:scatterChart>
        <c:scatterStyle val="lineMarker"/>
        <c:varyColors val="0"/>
        <c:ser>
          <c:idx val="0"/>
          <c:order val="0"/>
          <c:tx>
            <c:v>Lrg Focus</c:v>
          </c:tx>
          <c:spPr>
            <a:ln w="12700">
              <a:solidFill>
                <a:srgbClr val="000000"/>
              </a:solidFill>
              <a:prstDash val="solid"/>
            </a:ln>
          </c:spPr>
          <c:marker>
            <c:symbol val="square"/>
            <c:size val="5"/>
            <c:spPr>
              <a:solidFill>
                <a:srgbClr val="FF0000"/>
              </a:solidFill>
              <a:ln>
                <a:solidFill>
                  <a:srgbClr val="000000"/>
                </a:solidFill>
                <a:prstDash val="solid"/>
              </a:ln>
            </c:spPr>
          </c:marker>
          <c:xVal>
            <c:numRef>
              <c:f>Gen_form!$C$697:$C$706</c:f>
              <c:numCache>
                <c:formatCode>0</c:formatCode>
                <c:ptCount val="10"/>
                <c:pt idx="0">
                  <c:v>55</c:v>
                </c:pt>
                <c:pt idx="1">
                  <c:v>60</c:v>
                </c:pt>
                <c:pt idx="2">
                  <c:v>70</c:v>
                </c:pt>
                <c:pt idx="3">
                  <c:v>80</c:v>
                </c:pt>
                <c:pt idx="4">
                  <c:v>90</c:v>
                </c:pt>
                <c:pt idx="5">
                  <c:v>100</c:v>
                </c:pt>
                <c:pt idx="6">
                  <c:v>110</c:v>
                </c:pt>
                <c:pt idx="7">
                  <c:v>120</c:v>
                </c:pt>
                <c:pt idx="8">
                  <c:v>130</c:v>
                </c:pt>
                <c:pt idx="9">
                  <c:v>140</c:v>
                </c:pt>
              </c:numCache>
            </c:numRef>
          </c:xVal>
          <c:yVal>
            <c:numRef>
              <c:f>Gen_form!$D$697:$D$706</c:f>
              <c:numCache>
                <c:formatCode>0.000</c:formatCode>
                <c:ptCount val="10"/>
                <c:pt idx="0">
                  <c:v>0</c:v>
                </c:pt>
                <c:pt idx="1">
                  <c:v>0</c:v>
                </c:pt>
                <c:pt idx="2">
                  <c:v>0</c:v>
                </c:pt>
                <c:pt idx="3">
                  <c:v>0</c:v>
                </c:pt>
                <c:pt idx="4">
                  <c:v>0</c:v>
                </c:pt>
                <c:pt idx="5">
                  <c:v>0</c:v>
                </c:pt>
                <c:pt idx="6">
                  <c:v>0</c:v>
                </c:pt>
                <c:pt idx="7">
                  <c:v>0</c:v>
                </c:pt>
                <c:pt idx="8">
                  <c:v>0</c:v>
                </c:pt>
                <c:pt idx="9">
                  <c:v>0</c:v>
                </c:pt>
              </c:numCache>
            </c:numRef>
          </c:yVal>
          <c:smooth val="0"/>
          <c:extLst>
            <c:ext xmlns:c16="http://schemas.microsoft.com/office/drawing/2014/chart" uri="{C3380CC4-5D6E-409C-BE32-E72D297353CC}">
              <c16:uniqueId val="{00000000-FD00-4974-AB86-80467A6F28E0}"/>
            </c:ext>
          </c:extLst>
        </c:ser>
        <c:ser>
          <c:idx val="1"/>
          <c:order val="1"/>
          <c:tx>
            <c:v>Sm Focus</c:v>
          </c:tx>
          <c:spPr>
            <a:ln w="12700">
              <a:solidFill>
                <a:srgbClr val="000000"/>
              </a:solidFill>
              <a:prstDash val="solid"/>
            </a:ln>
          </c:spPr>
          <c:marker>
            <c:symbol val="square"/>
            <c:size val="5"/>
            <c:spPr>
              <a:solidFill>
                <a:srgbClr val="00FF00"/>
              </a:solidFill>
              <a:ln>
                <a:solidFill>
                  <a:srgbClr val="000000"/>
                </a:solidFill>
                <a:prstDash val="solid"/>
              </a:ln>
            </c:spPr>
          </c:marker>
          <c:xVal>
            <c:numRef>
              <c:f>Gen_form!$H$697:$H$706</c:f>
              <c:numCache>
                <c:formatCode>0</c:formatCode>
                <c:ptCount val="10"/>
                <c:pt idx="0">
                  <c:v>45</c:v>
                </c:pt>
                <c:pt idx="1">
                  <c:v>55</c:v>
                </c:pt>
                <c:pt idx="2">
                  <c:v>65</c:v>
                </c:pt>
                <c:pt idx="3">
                  <c:v>75</c:v>
                </c:pt>
                <c:pt idx="4">
                  <c:v>85</c:v>
                </c:pt>
                <c:pt idx="5">
                  <c:v>95</c:v>
                </c:pt>
                <c:pt idx="6">
                  <c:v>105</c:v>
                </c:pt>
                <c:pt idx="7">
                  <c:v>115</c:v>
                </c:pt>
                <c:pt idx="8">
                  <c:v>125</c:v>
                </c:pt>
                <c:pt idx="9">
                  <c:v>135</c:v>
                </c:pt>
              </c:numCache>
            </c:numRef>
          </c:xVal>
          <c:yVal>
            <c:numRef>
              <c:f>Gen_form!$I$697:$I$706</c:f>
              <c:numCache>
                <c:formatCode>0.000</c:formatCode>
                <c:ptCount val="10"/>
                <c:pt idx="0">
                  <c:v>0</c:v>
                </c:pt>
                <c:pt idx="1">
                  <c:v>0</c:v>
                </c:pt>
                <c:pt idx="2">
                  <c:v>0</c:v>
                </c:pt>
                <c:pt idx="3">
                  <c:v>0</c:v>
                </c:pt>
                <c:pt idx="4">
                  <c:v>0</c:v>
                </c:pt>
                <c:pt idx="5">
                  <c:v>0</c:v>
                </c:pt>
                <c:pt idx="6">
                  <c:v>0</c:v>
                </c:pt>
                <c:pt idx="7">
                  <c:v>0</c:v>
                </c:pt>
                <c:pt idx="8">
                  <c:v>0</c:v>
                </c:pt>
                <c:pt idx="9">
                  <c:v>0</c:v>
                </c:pt>
              </c:numCache>
            </c:numRef>
          </c:yVal>
          <c:smooth val="0"/>
          <c:extLst>
            <c:ext xmlns:c16="http://schemas.microsoft.com/office/drawing/2014/chart" uri="{C3380CC4-5D6E-409C-BE32-E72D297353CC}">
              <c16:uniqueId val="{00000001-FD00-4974-AB86-80467A6F28E0}"/>
            </c:ext>
          </c:extLst>
        </c:ser>
        <c:dLbls>
          <c:showLegendKey val="0"/>
          <c:showVal val="0"/>
          <c:showCatName val="0"/>
          <c:showSerName val="0"/>
          <c:showPercent val="0"/>
          <c:showBubbleSize val="0"/>
        </c:dLbls>
        <c:axId val="201235168"/>
        <c:axId val="201468488"/>
      </c:scatterChart>
      <c:valAx>
        <c:axId val="201235168"/>
        <c:scaling>
          <c:orientation val="minMax"/>
          <c:max val="140"/>
          <c:min val="40"/>
        </c:scaling>
        <c:delete val="0"/>
        <c:axPos val="b"/>
        <c:majorGridlines>
          <c:spPr>
            <a:ln w="3175">
              <a:solidFill>
                <a:srgbClr val="000000"/>
              </a:solidFill>
              <a:prstDash val="solid"/>
            </a:ln>
          </c:spPr>
        </c:majorGridlines>
        <c:minorGridlines/>
        <c:title>
          <c:tx>
            <c:rich>
              <a:bodyPr/>
              <a:lstStyle/>
              <a:p>
                <a:pPr>
                  <a:defRPr sz="1000" b="1" i="0" u="none" strike="noStrike" baseline="0">
                    <a:solidFill>
                      <a:srgbClr val="000000"/>
                    </a:solidFill>
                    <a:latin typeface="MS Sans Serif"/>
                    <a:ea typeface="MS Sans Serif"/>
                    <a:cs typeface="MS Sans Serif"/>
                  </a:defRPr>
                </a:pPr>
                <a:r>
                  <a:rPr lang="en-US"/>
                  <a:t>kVp</a:t>
                </a:r>
              </a:p>
            </c:rich>
          </c:tx>
          <c:layout>
            <c:manualLayout>
              <c:xMode val="edge"/>
              <c:yMode val="edge"/>
              <c:x val="0.4813078663524985"/>
              <c:y val="0.94635309154368885"/>
            </c:manualLayout>
          </c:layout>
          <c:overlay val="0"/>
          <c:spPr>
            <a:noFill/>
            <a:ln w="25400">
              <a:noFill/>
            </a:ln>
          </c:spPr>
        </c:title>
        <c:numFmt formatCode="0" sourceLinked="1"/>
        <c:majorTickMark val="cross"/>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MS Sans Serif"/>
                <a:ea typeface="MS Sans Serif"/>
                <a:cs typeface="MS Sans Serif"/>
              </a:defRPr>
            </a:pPr>
            <a:endParaRPr lang="en-US"/>
          </a:p>
        </c:txPr>
        <c:crossAx val="201468488"/>
        <c:crosses val="autoZero"/>
        <c:crossBetween val="midCat"/>
      </c:valAx>
      <c:valAx>
        <c:axId val="201468488"/>
        <c:scaling>
          <c:orientation val="minMax"/>
        </c:scaling>
        <c:delete val="0"/>
        <c:axPos val="l"/>
        <c:majorGridlines>
          <c:spPr>
            <a:ln w="3175">
              <a:solidFill>
                <a:srgbClr val="000000"/>
              </a:solidFill>
              <a:prstDash val="solid"/>
            </a:ln>
          </c:spPr>
        </c:majorGridlines>
        <c:minorGridlines/>
        <c:title>
          <c:tx>
            <c:rich>
              <a:bodyPr/>
              <a:lstStyle/>
              <a:p>
                <a:pPr>
                  <a:defRPr sz="1000" b="1" i="0" u="none" strike="noStrike" baseline="0">
                    <a:solidFill>
                      <a:srgbClr val="000000"/>
                    </a:solidFill>
                    <a:latin typeface="MS Sans Serif"/>
                    <a:ea typeface="MS Sans Serif"/>
                    <a:cs typeface="MS Sans Serif"/>
                  </a:defRPr>
                </a:pPr>
                <a:r>
                  <a:rPr lang="en-US"/>
                  <a:t>mGy/mAs @ 40"</a:t>
                </a:r>
              </a:p>
            </c:rich>
          </c:tx>
          <c:layout>
            <c:manualLayout>
              <c:xMode val="edge"/>
              <c:yMode val="edge"/>
              <c:x val="8.5037024831934073E-3"/>
              <c:y val="0.39166288804143462"/>
            </c:manualLayout>
          </c:layout>
          <c:overlay val="0"/>
          <c:spPr>
            <a:noFill/>
            <a:ln w="25400">
              <a:noFill/>
            </a:ln>
          </c:spPr>
        </c:title>
        <c:numFmt formatCode="0.000" sourceLinked="1"/>
        <c:majorTickMark val="cross"/>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MS Sans Serif"/>
                <a:ea typeface="MS Sans Serif"/>
                <a:cs typeface="MS Sans Serif"/>
              </a:defRPr>
            </a:pPr>
            <a:endParaRPr lang="en-US"/>
          </a:p>
        </c:txPr>
        <c:crossAx val="201235168"/>
        <c:crosses val="autoZero"/>
        <c:crossBetween val="midCat"/>
      </c:valAx>
      <c:spPr>
        <a:noFill/>
        <a:ln w="25400">
          <a:noFill/>
        </a:ln>
      </c:spPr>
    </c:plotArea>
    <c:legend>
      <c:legendPos val="r"/>
      <c:layout>
        <c:manualLayout>
          <c:xMode val="edge"/>
          <c:yMode val="edge"/>
          <c:x val="0.19578945724928307"/>
          <c:y val="0.24008672465404488"/>
          <c:w val="0.1566315990189607"/>
          <c:h val="9.1272592033175087E-2"/>
        </c:manualLayout>
      </c:layout>
      <c:overlay val="0"/>
      <c:spPr>
        <a:solidFill>
          <a:srgbClr val="FFFFFF"/>
        </a:solidFill>
        <a:ln w="3175">
          <a:solidFill>
            <a:srgbClr val="000000"/>
          </a:solidFill>
          <a:prstDash val="solid"/>
        </a:ln>
      </c:spPr>
      <c:txPr>
        <a:bodyPr/>
        <a:lstStyle/>
        <a:p>
          <a:pPr>
            <a:defRPr sz="710" b="0" i="0" u="none" strike="noStrike" baseline="0">
              <a:solidFill>
                <a:srgbClr val="000000"/>
              </a:solidFill>
              <a:latin typeface="MS Sans Serif"/>
              <a:ea typeface="MS Sans Serif"/>
              <a:cs typeface="MS Sans Serif"/>
            </a:defRPr>
          </a:pPr>
          <a:endParaRPr lang="en-US"/>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MS Sans Serif"/>
          <a:ea typeface="MS Sans Serif"/>
          <a:cs typeface="MS Sans Serif"/>
        </a:defRPr>
      </a:pPr>
      <a:endParaRPr lang="en-US"/>
    </a:p>
  </c:txPr>
  <c:printSettings>
    <c:headerFooter alignWithMargins="0">
      <c:oddHeader>&amp;F</c:oddHeader>
      <c:oddFooter>Page &amp;P</c:oddFooter>
    </c:headerFooter>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US"/>
              <a:t>Large Focus mGy/mAs</a:t>
            </a:r>
          </a:p>
        </c:rich>
      </c:tx>
      <c:layout>
        <c:manualLayout>
          <c:xMode val="edge"/>
          <c:yMode val="edge"/>
          <c:x val="0.34106346275864952"/>
          <c:y val="3.6102084221509075E-2"/>
        </c:manualLayout>
      </c:layout>
      <c:overlay val="0"/>
      <c:spPr>
        <a:noFill/>
        <a:ln w="25400">
          <a:noFill/>
        </a:ln>
      </c:spPr>
    </c:title>
    <c:autoTitleDeleted val="0"/>
    <c:plotArea>
      <c:layout>
        <c:manualLayout>
          <c:layoutTarget val="inner"/>
          <c:xMode val="edge"/>
          <c:yMode val="edge"/>
          <c:x val="0.12421446866953142"/>
          <c:y val="0.14440909446475139"/>
          <c:w val="0.76423478181423576"/>
          <c:h val="0.63178978828328736"/>
        </c:manualLayout>
      </c:layout>
      <c:scatterChart>
        <c:scatterStyle val="lineMarker"/>
        <c:varyColors val="0"/>
        <c:ser>
          <c:idx val="0"/>
          <c:order val="0"/>
          <c:tx>
            <c:v>Current mR/mAs</c:v>
          </c:tx>
          <c:spPr>
            <a:ln w="12700">
              <a:solidFill>
                <a:srgbClr val="000080"/>
              </a:solidFill>
              <a:prstDash val="solid"/>
            </a:ln>
          </c:spPr>
          <c:marker>
            <c:symbol val="diamond"/>
            <c:size val="5"/>
            <c:spPr>
              <a:solidFill>
                <a:srgbClr val="000080"/>
              </a:solidFill>
              <a:ln>
                <a:solidFill>
                  <a:srgbClr val="000080"/>
                </a:solidFill>
                <a:prstDash val="solid"/>
              </a:ln>
            </c:spPr>
          </c:marker>
          <c:xVal>
            <c:numRef>
              <c:f>Gen_form!$W$485:$W$492</c:f>
            </c:numRef>
          </c:xVal>
          <c:yVal>
            <c:numRef>
              <c:f>Gen_form!$Y$485:$Y$492</c:f>
              <c:numCache>
                <c:formatCode>0.0000</c:formatCode>
                <c:ptCount val="8"/>
                <c:pt idx="0">
                  <c:v>0</c:v>
                </c:pt>
                <c:pt idx="1">
                  <c:v>0</c:v>
                </c:pt>
                <c:pt idx="2">
                  <c:v>0</c:v>
                </c:pt>
                <c:pt idx="3">
                  <c:v>0</c:v>
                </c:pt>
                <c:pt idx="4">
                  <c:v>0</c:v>
                </c:pt>
                <c:pt idx="5">
                  <c:v>0</c:v>
                </c:pt>
                <c:pt idx="6">
                  <c:v>0</c:v>
                </c:pt>
                <c:pt idx="7">
                  <c:v>0</c:v>
                </c:pt>
              </c:numCache>
            </c:numRef>
          </c:yVal>
          <c:smooth val="0"/>
          <c:extLst>
            <c:ext xmlns:c16="http://schemas.microsoft.com/office/drawing/2014/chart" uri="{C3380CC4-5D6E-409C-BE32-E72D297353CC}">
              <c16:uniqueId val="{00000000-7C44-42D9-8E8B-DD508155E88B}"/>
            </c:ext>
          </c:extLst>
        </c:ser>
        <c:ser>
          <c:idx val="1"/>
          <c:order val="1"/>
          <c:tx>
            <c:v>Previous mR/mAs</c:v>
          </c:tx>
          <c:spPr>
            <a:ln w="12700">
              <a:solidFill>
                <a:srgbClr val="FF00FF"/>
              </a:solidFill>
              <a:prstDash val="solid"/>
            </a:ln>
          </c:spPr>
          <c:marker>
            <c:symbol val="square"/>
            <c:size val="5"/>
            <c:spPr>
              <a:solidFill>
                <a:srgbClr val="FF00FF"/>
              </a:solidFill>
              <a:ln>
                <a:solidFill>
                  <a:srgbClr val="FF00FF"/>
                </a:solidFill>
                <a:prstDash val="solid"/>
              </a:ln>
            </c:spPr>
          </c:marker>
          <c:xVal>
            <c:numRef>
              <c:f>Gen_form!$V$485:$V$492</c:f>
            </c:numRef>
          </c:xVal>
          <c:yVal>
            <c:numRef>
              <c:f>Gen_form!$U$485:$U$492</c:f>
              <c:numCache>
                <c:formatCode>0.0000</c:formatCode>
                <c:ptCount val="8"/>
                <c:pt idx="0">
                  <c:v>0</c:v>
                </c:pt>
                <c:pt idx="1">
                  <c:v>0</c:v>
                </c:pt>
                <c:pt idx="2">
                  <c:v>0</c:v>
                </c:pt>
                <c:pt idx="3">
                  <c:v>0</c:v>
                </c:pt>
                <c:pt idx="4">
                  <c:v>0</c:v>
                </c:pt>
                <c:pt idx="5">
                  <c:v>0</c:v>
                </c:pt>
                <c:pt idx="6">
                  <c:v>0</c:v>
                </c:pt>
                <c:pt idx="7">
                  <c:v>0</c:v>
                </c:pt>
              </c:numCache>
            </c:numRef>
          </c:yVal>
          <c:smooth val="0"/>
          <c:extLst>
            <c:ext xmlns:c16="http://schemas.microsoft.com/office/drawing/2014/chart" uri="{C3380CC4-5D6E-409C-BE32-E72D297353CC}">
              <c16:uniqueId val="{00000001-7C44-42D9-8E8B-DD508155E88B}"/>
            </c:ext>
          </c:extLst>
        </c:ser>
        <c:dLbls>
          <c:showLegendKey val="0"/>
          <c:showVal val="0"/>
          <c:showCatName val="0"/>
          <c:showSerName val="0"/>
          <c:showPercent val="0"/>
          <c:showBubbleSize val="0"/>
        </c:dLbls>
        <c:axId val="155941920"/>
        <c:axId val="156171280"/>
      </c:scatterChart>
      <c:valAx>
        <c:axId val="155941920"/>
        <c:scaling>
          <c:orientation val="minMax"/>
          <c:max val="5"/>
          <c:min val="3.6"/>
        </c:scaling>
        <c:delete val="0"/>
        <c:axPos val="b"/>
        <c:majorGridlines>
          <c:spPr>
            <a:ln w="3175">
              <a:solidFill>
                <a:srgbClr val="000000"/>
              </a:solidFill>
              <a:prstDash val="solid"/>
            </a:ln>
          </c:spPr>
        </c:majorGridlines>
        <c:title>
          <c:tx>
            <c:rich>
              <a:bodyPr/>
              <a:lstStyle/>
              <a:p>
                <a:pPr>
                  <a:defRPr sz="1200" b="1" i="0" u="none" strike="noStrike" baseline="0">
                    <a:solidFill>
                      <a:srgbClr val="000000"/>
                    </a:solidFill>
                    <a:latin typeface="Arial"/>
                    <a:ea typeface="Arial"/>
                    <a:cs typeface="Arial"/>
                  </a:defRPr>
                </a:pPr>
                <a:r>
                  <a:rPr lang="en-US"/>
                  <a:t>Ln (kVp)</a:t>
                </a:r>
              </a:p>
            </c:rich>
          </c:tx>
          <c:layout>
            <c:manualLayout>
              <c:xMode val="edge"/>
              <c:yMode val="edge"/>
              <c:x val="0.43159263059392"/>
              <c:y val="0.88089578177278627"/>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950" b="0" i="0" u="none" strike="noStrike" baseline="0">
                <a:solidFill>
                  <a:srgbClr val="000000"/>
                </a:solidFill>
                <a:latin typeface="Arial"/>
                <a:ea typeface="Arial"/>
                <a:cs typeface="Arial"/>
              </a:defRPr>
            </a:pPr>
            <a:endParaRPr lang="en-US"/>
          </a:p>
        </c:txPr>
        <c:crossAx val="156171280"/>
        <c:crosses val="autoZero"/>
        <c:crossBetween val="midCat"/>
        <c:majorUnit val="0.2"/>
        <c:minorUnit val="0.1"/>
      </c:valAx>
      <c:valAx>
        <c:axId val="156171280"/>
        <c:scaling>
          <c:orientation val="minMax"/>
        </c:scaling>
        <c:delete val="0"/>
        <c:axPos val="l"/>
        <c:majorGridlines>
          <c:spPr>
            <a:ln w="3175">
              <a:solidFill>
                <a:srgbClr val="000000"/>
              </a:solidFill>
              <a:prstDash val="solid"/>
            </a:ln>
          </c:spPr>
        </c:majorGridlines>
        <c:title>
          <c:tx>
            <c:rich>
              <a:bodyPr/>
              <a:lstStyle/>
              <a:p>
                <a:pPr>
                  <a:defRPr sz="1200" b="1" i="0" u="none" strike="noStrike" baseline="0">
                    <a:solidFill>
                      <a:srgbClr val="000000"/>
                    </a:solidFill>
                    <a:latin typeface="Arial"/>
                    <a:ea typeface="Arial"/>
                    <a:cs typeface="Arial"/>
                  </a:defRPr>
                </a:pPr>
                <a:r>
                  <a:rPr lang="en-US"/>
                  <a:t>Ln (mGy/mAs)</a:t>
                </a:r>
              </a:p>
            </c:rich>
          </c:tx>
          <c:layout>
            <c:manualLayout>
              <c:xMode val="edge"/>
              <c:yMode val="edge"/>
              <c:x val="1.0526810363889309E-2"/>
              <c:y val="0.27798731992961079"/>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950" b="0" i="0" u="none" strike="noStrike" baseline="0">
                <a:solidFill>
                  <a:srgbClr val="000000"/>
                </a:solidFill>
                <a:latin typeface="Arial"/>
                <a:ea typeface="Arial"/>
                <a:cs typeface="Arial"/>
              </a:defRPr>
            </a:pPr>
            <a:endParaRPr lang="en-US"/>
          </a:p>
        </c:txPr>
        <c:crossAx val="155941920"/>
        <c:crosses val="autoZero"/>
        <c:crossBetween val="midCat"/>
      </c:valAx>
      <c:spPr>
        <a:solidFill>
          <a:srgbClr val="CCFFFF"/>
        </a:solidFill>
        <a:ln w="12700">
          <a:solidFill>
            <a:srgbClr val="808080"/>
          </a:solidFill>
          <a:prstDash val="solid"/>
        </a:ln>
      </c:spPr>
    </c:plotArea>
    <c:legend>
      <c:legendPos val="r"/>
      <c:layout>
        <c:manualLayout>
          <c:xMode val="edge"/>
          <c:yMode val="edge"/>
          <c:x val="0.69908814902846006"/>
          <c:y val="2.1583614205461319E-2"/>
          <c:w val="0.28038289126966942"/>
          <c:h val="0.15468144273248086"/>
        </c:manualLayout>
      </c:layout>
      <c:overlay val="0"/>
      <c:spPr>
        <a:solidFill>
          <a:srgbClr val="FFFFFF"/>
        </a:solidFill>
        <a:ln w="3175">
          <a:solidFill>
            <a:srgbClr val="000000"/>
          </a:solidFill>
          <a:prstDash val="solid"/>
        </a:ln>
      </c:spPr>
      <c:txPr>
        <a:bodyPr/>
        <a:lstStyle/>
        <a:p>
          <a:pPr>
            <a:defRPr sz="71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9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US"/>
              <a:t>Small Focus mGy/mAs</a:t>
            </a:r>
          </a:p>
        </c:rich>
      </c:tx>
      <c:layout>
        <c:manualLayout>
          <c:xMode val="edge"/>
          <c:yMode val="edge"/>
          <c:x val="0.3452741206523875"/>
          <c:y val="3.6102136372651993E-2"/>
        </c:manualLayout>
      </c:layout>
      <c:overlay val="0"/>
      <c:spPr>
        <a:noFill/>
        <a:ln w="25400">
          <a:noFill/>
        </a:ln>
      </c:spPr>
    </c:title>
    <c:autoTitleDeleted val="0"/>
    <c:plotArea>
      <c:layout>
        <c:manualLayout>
          <c:layoutTarget val="inner"/>
          <c:xMode val="edge"/>
          <c:yMode val="edge"/>
          <c:x val="0.113687818782283"/>
          <c:y val="0.14440909446475139"/>
          <c:w val="0.77265610172403443"/>
          <c:h val="0.64623069772976249"/>
        </c:manualLayout>
      </c:layout>
      <c:scatterChart>
        <c:scatterStyle val="lineMarker"/>
        <c:varyColors val="0"/>
        <c:ser>
          <c:idx val="0"/>
          <c:order val="0"/>
          <c:tx>
            <c:v>Current mR/mAs</c:v>
          </c:tx>
          <c:spPr>
            <a:ln w="12700">
              <a:solidFill>
                <a:srgbClr val="000080"/>
              </a:solidFill>
              <a:prstDash val="solid"/>
            </a:ln>
          </c:spPr>
          <c:marker>
            <c:symbol val="diamond"/>
            <c:size val="5"/>
            <c:spPr>
              <a:solidFill>
                <a:srgbClr val="000080"/>
              </a:solidFill>
              <a:ln>
                <a:solidFill>
                  <a:srgbClr val="000080"/>
                </a:solidFill>
                <a:prstDash val="solid"/>
              </a:ln>
            </c:spPr>
          </c:marker>
          <c:xVal>
            <c:numRef>
              <c:f>Gen_form!$W$502:$W$507</c:f>
            </c:numRef>
          </c:xVal>
          <c:yVal>
            <c:numRef>
              <c:f>Gen_form!$Y$502:$Y$507</c:f>
              <c:numCache>
                <c:formatCode>0.0000</c:formatCode>
                <c:ptCount val="6"/>
                <c:pt idx="0">
                  <c:v>0</c:v>
                </c:pt>
                <c:pt idx="1">
                  <c:v>0</c:v>
                </c:pt>
                <c:pt idx="2">
                  <c:v>0</c:v>
                </c:pt>
                <c:pt idx="3">
                  <c:v>0</c:v>
                </c:pt>
                <c:pt idx="4">
                  <c:v>0</c:v>
                </c:pt>
                <c:pt idx="5">
                  <c:v>0</c:v>
                </c:pt>
              </c:numCache>
            </c:numRef>
          </c:yVal>
          <c:smooth val="0"/>
          <c:extLst>
            <c:ext xmlns:c16="http://schemas.microsoft.com/office/drawing/2014/chart" uri="{C3380CC4-5D6E-409C-BE32-E72D297353CC}">
              <c16:uniqueId val="{00000000-6446-4E9F-A416-C92A7B234A57}"/>
            </c:ext>
          </c:extLst>
        </c:ser>
        <c:ser>
          <c:idx val="1"/>
          <c:order val="1"/>
          <c:tx>
            <c:v>Previous mR/mAs</c:v>
          </c:tx>
          <c:spPr>
            <a:ln w="12700">
              <a:solidFill>
                <a:srgbClr val="FF00FF"/>
              </a:solidFill>
              <a:prstDash val="solid"/>
            </a:ln>
          </c:spPr>
          <c:marker>
            <c:symbol val="square"/>
            <c:size val="5"/>
            <c:spPr>
              <a:solidFill>
                <a:srgbClr val="FF00FF"/>
              </a:solidFill>
              <a:ln>
                <a:solidFill>
                  <a:srgbClr val="FF00FF"/>
                </a:solidFill>
                <a:prstDash val="solid"/>
              </a:ln>
            </c:spPr>
          </c:marker>
          <c:xVal>
            <c:numRef>
              <c:f>Gen_form!$V$502:$V$507</c:f>
            </c:numRef>
          </c:xVal>
          <c:yVal>
            <c:numRef>
              <c:f>Gen_form!$U$502:$U$507</c:f>
              <c:numCache>
                <c:formatCode>0.0000</c:formatCode>
                <c:ptCount val="6"/>
                <c:pt idx="0">
                  <c:v>0</c:v>
                </c:pt>
                <c:pt idx="1">
                  <c:v>0</c:v>
                </c:pt>
                <c:pt idx="2">
                  <c:v>0</c:v>
                </c:pt>
                <c:pt idx="3">
                  <c:v>0</c:v>
                </c:pt>
                <c:pt idx="4">
                  <c:v>0</c:v>
                </c:pt>
                <c:pt idx="5">
                  <c:v>0</c:v>
                </c:pt>
              </c:numCache>
            </c:numRef>
          </c:yVal>
          <c:smooth val="0"/>
          <c:extLst>
            <c:ext xmlns:c16="http://schemas.microsoft.com/office/drawing/2014/chart" uri="{C3380CC4-5D6E-409C-BE32-E72D297353CC}">
              <c16:uniqueId val="{00000001-6446-4E9F-A416-C92A7B234A57}"/>
            </c:ext>
          </c:extLst>
        </c:ser>
        <c:dLbls>
          <c:showLegendKey val="0"/>
          <c:showVal val="0"/>
          <c:showCatName val="0"/>
          <c:showSerName val="0"/>
          <c:showPercent val="0"/>
          <c:showBubbleSize val="0"/>
        </c:dLbls>
        <c:axId val="112385600"/>
        <c:axId val="112385992"/>
      </c:scatterChart>
      <c:valAx>
        <c:axId val="112385600"/>
        <c:scaling>
          <c:orientation val="minMax"/>
          <c:max val="5"/>
          <c:min val="3.6"/>
        </c:scaling>
        <c:delete val="0"/>
        <c:axPos val="b"/>
        <c:majorGridlines>
          <c:spPr>
            <a:ln w="3175">
              <a:solidFill>
                <a:srgbClr val="000000"/>
              </a:solidFill>
              <a:prstDash val="solid"/>
            </a:ln>
          </c:spPr>
        </c:majorGridlines>
        <c:title>
          <c:tx>
            <c:rich>
              <a:bodyPr/>
              <a:lstStyle/>
              <a:p>
                <a:pPr>
                  <a:defRPr sz="950" b="1" i="0" u="none" strike="noStrike" baseline="0">
                    <a:solidFill>
                      <a:srgbClr val="000000"/>
                    </a:solidFill>
                    <a:latin typeface="Arial"/>
                    <a:ea typeface="Arial"/>
                    <a:cs typeface="Arial"/>
                  </a:defRPr>
                </a:pPr>
                <a:r>
                  <a:rPr lang="en-US"/>
                  <a:t>Ln (kVp)</a:t>
                </a:r>
              </a:p>
            </c:rich>
          </c:tx>
          <c:layout>
            <c:manualLayout>
              <c:xMode val="edge"/>
              <c:yMode val="edge"/>
              <c:x val="0.44001385858042624"/>
              <c:y val="0.90255697237874399"/>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950" b="0" i="0" u="none" strike="noStrike" baseline="0">
                <a:solidFill>
                  <a:srgbClr val="000000"/>
                </a:solidFill>
                <a:latin typeface="Arial"/>
                <a:ea typeface="Arial"/>
                <a:cs typeface="Arial"/>
              </a:defRPr>
            </a:pPr>
            <a:endParaRPr lang="en-US"/>
          </a:p>
        </c:txPr>
        <c:crossAx val="112385992"/>
        <c:crosses val="autoZero"/>
        <c:crossBetween val="midCat"/>
        <c:majorUnit val="0.2"/>
        <c:minorUnit val="0.1"/>
      </c:valAx>
      <c:valAx>
        <c:axId val="112385992"/>
        <c:scaling>
          <c:orientation val="minMax"/>
        </c:scaling>
        <c:delete val="0"/>
        <c:axPos val="l"/>
        <c:majorGridlines>
          <c:spPr>
            <a:ln w="3175">
              <a:solidFill>
                <a:srgbClr val="000000"/>
              </a:solidFill>
              <a:prstDash val="solid"/>
            </a:ln>
          </c:spPr>
        </c:majorGridlines>
        <c:title>
          <c:tx>
            <c:rich>
              <a:bodyPr/>
              <a:lstStyle/>
              <a:p>
                <a:pPr>
                  <a:defRPr sz="1125" b="1" i="0" u="none" strike="noStrike" baseline="0">
                    <a:solidFill>
                      <a:srgbClr val="000000"/>
                    </a:solidFill>
                    <a:latin typeface="Arial"/>
                    <a:ea typeface="Arial"/>
                    <a:cs typeface="Arial"/>
                  </a:defRPr>
                </a:pPr>
                <a:r>
                  <a:rPr lang="en-US"/>
                  <a:t>Ln (mGy/mAs)</a:t>
                </a:r>
              </a:p>
            </c:rich>
          </c:tx>
          <c:layout>
            <c:manualLayout>
              <c:xMode val="edge"/>
              <c:yMode val="edge"/>
              <c:x val="1.0526729478441632E-2"/>
              <c:y val="0.30686954480293693"/>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950" b="0" i="0" u="none" strike="noStrike" baseline="0">
                <a:solidFill>
                  <a:srgbClr val="000000"/>
                </a:solidFill>
                <a:latin typeface="Arial"/>
                <a:ea typeface="Arial"/>
                <a:cs typeface="Arial"/>
              </a:defRPr>
            </a:pPr>
            <a:endParaRPr lang="en-US"/>
          </a:p>
        </c:txPr>
        <c:crossAx val="112385600"/>
        <c:crosses val="autoZero"/>
        <c:crossBetween val="midCat"/>
      </c:valAx>
      <c:spPr>
        <a:solidFill>
          <a:srgbClr val="CCFFFF"/>
        </a:solidFill>
        <a:ln w="12700">
          <a:solidFill>
            <a:srgbClr val="808080"/>
          </a:solidFill>
          <a:prstDash val="solid"/>
        </a:ln>
      </c:spPr>
    </c:plotArea>
    <c:legend>
      <c:legendPos val="r"/>
      <c:layout>
        <c:manualLayout>
          <c:xMode val="edge"/>
          <c:yMode val="edge"/>
          <c:x val="0.70414309501401373"/>
          <c:y val="2.8778063570576547E-2"/>
          <c:w val="0.28090825412913301"/>
          <c:h val="0.15468125041321626"/>
        </c:manualLayout>
      </c:layout>
      <c:overlay val="0"/>
      <c:spPr>
        <a:solidFill>
          <a:srgbClr val="FFFFFF"/>
        </a:solidFill>
        <a:ln w="3175">
          <a:solidFill>
            <a:srgbClr val="000000"/>
          </a:solidFill>
          <a:prstDash val="solid"/>
        </a:ln>
      </c:spPr>
      <c:txPr>
        <a:bodyPr/>
        <a:lstStyle/>
        <a:p>
          <a:pPr>
            <a:defRPr sz="71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9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a:t>Large Focus mGy/mAs</a:t>
            </a:r>
          </a:p>
        </c:rich>
      </c:tx>
      <c:layout>
        <c:manualLayout>
          <c:xMode val="edge"/>
          <c:yMode val="edge"/>
          <c:x val="8.3097346592772778E-2"/>
          <c:y val="2.3347248361549479E-2"/>
        </c:manualLayout>
      </c:layout>
      <c:overlay val="0"/>
      <c:spPr>
        <a:noFill/>
        <a:ln w="25400">
          <a:noFill/>
        </a:ln>
      </c:spPr>
    </c:title>
    <c:autoTitleDeleted val="0"/>
    <c:plotArea>
      <c:layout>
        <c:manualLayout>
          <c:layoutTarget val="inner"/>
          <c:xMode val="edge"/>
          <c:yMode val="edge"/>
          <c:x val="0.13467500138310184"/>
          <c:y val="0.22179708215567021"/>
          <c:w val="0.73927979482638884"/>
          <c:h val="0.58367653198860581"/>
        </c:manualLayout>
      </c:layout>
      <c:scatterChart>
        <c:scatterStyle val="lineMarker"/>
        <c:varyColors val="0"/>
        <c:ser>
          <c:idx val="0"/>
          <c:order val="0"/>
          <c:tx>
            <c:v>Current mGy/mAs</c:v>
          </c:tx>
          <c:spPr>
            <a:ln w="12700">
              <a:solidFill>
                <a:srgbClr val="000080"/>
              </a:solidFill>
              <a:prstDash val="solid"/>
            </a:ln>
          </c:spPr>
          <c:marker>
            <c:symbol val="diamond"/>
            <c:size val="5"/>
            <c:spPr>
              <a:solidFill>
                <a:srgbClr val="000080"/>
              </a:solidFill>
              <a:ln>
                <a:solidFill>
                  <a:srgbClr val="000080"/>
                </a:solidFill>
                <a:prstDash val="solid"/>
              </a:ln>
            </c:spPr>
          </c:marker>
          <c:xVal>
            <c:numRef>
              <c:f>Gen_form!$W$485:$W$492</c:f>
            </c:numRef>
          </c:xVal>
          <c:yVal>
            <c:numRef>
              <c:f>Gen_form!$Y$485:$Y$492</c:f>
              <c:numCache>
                <c:formatCode>0.0000</c:formatCode>
                <c:ptCount val="8"/>
                <c:pt idx="0">
                  <c:v>0</c:v>
                </c:pt>
                <c:pt idx="1">
                  <c:v>0</c:v>
                </c:pt>
                <c:pt idx="2">
                  <c:v>0</c:v>
                </c:pt>
                <c:pt idx="3">
                  <c:v>0</c:v>
                </c:pt>
                <c:pt idx="4">
                  <c:v>0</c:v>
                </c:pt>
                <c:pt idx="5">
                  <c:v>0</c:v>
                </c:pt>
                <c:pt idx="6">
                  <c:v>0</c:v>
                </c:pt>
                <c:pt idx="7">
                  <c:v>0</c:v>
                </c:pt>
              </c:numCache>
            </c:numRef>
          </c:yVal>
          <c:smooth val="0"/>
          <c:extLst>
            <c:ext xmlns:c16="http://schemas.microsoft.com/office/drawing/2014/chart" uri="{C3380CC4-5D6E-409C-BE32-E72D297353CC}">
              <c16:uniqueId val="{00000000-6647-4C17-9D34-5CC6789F1900}"/>
            </c:ext>
          </c:extLst>
        </c:ser>
        <c:ser>
          <c:idx val="1"/>
          <c:order val="1"/>
          <c:tx>
            <c:v>Previous mGy/mAs</c:v>
          </c:tx>
          <c:spPr>
            <a:ln w="12700">
              <a:solidFill>
                <a:srgbClr val="FF00FF"/>
              </a:solidFill>
              <a:prstDash val="solid"/>
            </a:ln>
          </c:spPr>
          <c:marker>
            <c:symbol val="square"/>
            <c:size val="5"/>
            <c:spPr>
              <a:solidFill>
                <a:srgbClr val="FF00FF"/>
              </a:solidFill>
              <a:ln>
                <a:solidFill>
                  <a:srgbClr val="FF00FF"/>
                </a:solidFill>
                <a:prstDash val="solid"/>
              </a:ln>
            </c:spPr>
          </c:marker>
          <c:xVal>
            <c:numRef>
              <c:f>Gen_form!$V$485:$V$492</c:f>
            </c:numRef>
          </c:xVal>
          <c:yVal>
            <c:numRef>
              <c:f>Gen_form!$U$485:$U$492</c:f>
              <c:numCache>
                <c:formatCode>0.0000</c:formatCode>
                <c:ptCount val="8"/>
                <c:pt idx="0">
                  <c:v>0</c:v>
                </c:pt>
                <c:pt idx="1">
                  <c:v>0</c:v>
                </c:pt>
                <c:pt idx="2">
                  <c:v>0</c:v>
                </c:pt>
                <c:pt idx="3">
                  <c:v>0</c:v>
                </c:pt>
                <c:pt idx="4">
                  <c:v>0</c:v>
                </c:pt>
                <c:pt idx="5">
                  <c:v>0</c:v>
                </c:pt>
                <c:pt idx="6">
                  <c:v>0</c:v>
                </c:pt>
                <c:pt idx="7">
                  <c:v>0</c:v>
                </c:pt>
              </c:numCache>
            </c:numRef>
          </c:yVal>
          <c:smooth val="0"/>
          <c:extLst>
            <c:ext xmlns:c16="http://schemas.microsoft.com/office/drawing/2014/chart" uri="{C3380CC4-5D6E-409C-BE32-E72D297353CC}">
              <c16:uniqueId val="{00000001-6647-4C17-9D34-5CC6789F1900}"/>
            </c:ext>
          </c:extLst>
        </c:ser>
        <c:dLbls>
          <c:showLegendKey val="0"/>
          <c:showVal val="0"/>
          <c:showCatName val="0"/>
          <c:showSerName val="0"/>
          <c:showPercent val="0"/>
          <c:showBubbleSize val="0"/>
        </c:dLbls>
        <c:axId val="203517976"/>
        <c:axId val="203518368"/>
      </c:scatterChart>
      <c:valAx>
        <c:axId val="203517976"/>
        <c:scaling>
          <c:orientation val="minMax"/>
          <c:max val="5"/>
          <c:min val="4"/>
        </c:scaling>
        <c:delete val="0"/>
        <c:axPos val="b"/>
        <c:majorGridlines>
          <c:spPr>
            <a:ln w="3175">
              <a:solidFill>
                <a:srgbClr val="000000"/>
              </a:solidFill>
              <a:prstDash val="solid"/>
            </a:ln>
          </c:spPr>
        </c:majorGridlines>
        <c:title>
          <c:tx>
            <c:rich>
              <a:bodyPr/>
              <a:lstStyle/>
              <a:p>
                <a:pPr>
                  <a:defRPr sz="900" b="1" i="0" u="none" strike="noStrike" baseline="0">
                    <a:solidFill>
                      <a:srgbClr val="000000"/>
                    </a:solidFill>
                    <a:latin typeface="Arial"/>
                    <a:ea typeface="Arial"/>
                    <a:cs typeface="Arial"/>
                  </a:defRPr>
                </a:pPr>
                <a:r>
                  <a:rPr lang="en-US"/>
                  <a:t>Ln (kVp)</a:t>
                </a:r>
              </a:p>
            </c:rich>
          </c:tx>
          <c:layout>
            <c:manualLayout>
              <c:xMode val="edge"/>
              <c:yMode val="edge"/>
              <c:x val="0.43267911386617725"/>
              <c:y val="0.8988615406699757"/>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203518368"/>
        <c:crosses val="autoZero"/>
        <c:crossBetween val="midCat"/>
        <c:majorUnit val="0.2"/>
        <c:minorUnit val="0.1"/>
      </c:valAx>
      <c:valAx>
        <c:axId val="203518368"/>
        <c:scaling>
          <c:orientation val="minMax"/>
          <c:max val="-1.5"/>
          <c:min val="-3.5"/>
        </c:scaling>
        <c:delete val="0"/>
        <c:axPos val="l"/>
        <c:majorGridlines>
          <c:spPr>
            <a:ln w="3175">
              <a:solidFill>
                <a:srgbClr val="000000"/>
              </a:solidFill>
              <a:prstDash val="solid"/>
            </a:ln>
          </c:spPr>
        </c:majorGridlines>
        <c:title>
          <c:tx>
            <c:rich>
              <a:bodyPr/>
              <a:lstStyle/>
              <a:p>
                <a:pPr>
                  <a:defRPr sz="900" b="1" i="0" u="none" strike="noStrike" baseline="0">
                    <a:solidFill>
                      <a:srgbClr val="000000"/>
                    </a:solidFill>
                    <a:latin typeface="Arial"/>
                    <a:ea typeface="Arial"/>
                    <a:cs typeface="Arial"/>
                  </a:defRPr>
                </a:pPr>
                <a:r>
                  <a:rPr lang="en-US"/>
                  <a:t>Ln (mGy/mAs)</a:t>
                </a:r>
              </a:p>
            </c:rich>
          </c:tx>
          <c:layout>
            <c:manualLayout>
              <c:xMode val="edge"/>
              <c:yMode val="edge"/>
              <c:x val="1.4327263718013858E-2"/>
              <c:y val="0.36966168559371237"/>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203517976"/>
        <c:crosses val="autoZero"/>
        <c:crossBetween val="midCat"/>
      </c:valAx>
      <c:spPr>
        <a:noFill/>
        <a:ln w="12700">
          <a:solidFill>
            <a:srgbClr val="808080"/>
          </a:solidFill>
          <a:prstDash val="solid"/>
        </a:ln>
      </c:spPr>
    </c:plotArea>
    <c:legend>
      <c:legendPos val="r"/>
      <c:layout>
        <c:manualLayout>
          <c:xMode val="edge"/>
          <c:yMode val="edge"/>
          <c:x val="0.5949553132879527"/>
          <c:y val="3.8911937340683815E-2"/>
          <c:w val="0.37975861541520295"/>
          <c:h val="0.16732072886496605"/>
        </c:manualLayout>
      </c:layout>
      <c:overlay val="0"/>
      <c:spPr>
        <a:solidFill>
          <a:srgbClr val="FFFFFF"/>
        </a:solidFill>
        <a:ln w="3175">
          <a:solidFill>
            <a:srgbClr val="000000"/>
          </a:solidFill>
          <a:prstDash val="solid"/>
        </a:ln>
      </c:spPr>
      <c:txPr>
        <a:bodyPr/>
        <a:lstStyle/>
        <a:p>
          <a:pPr>
            <a:defRPr sz="71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a:t>Small Focus mGy/mAs</a:t>
            </a:r>
          </a:p>
        </c:rich>
      </c:tx>
      <c:layout>
        <c:manualLayout>
          <c:xMode val="edge"/>
          <c:yMode val="edge"/>
          <c:x val="9.943498685502844E-2"/>
          <c:y val="5.058534662861057E-2"/>
        </c:manualLayout>
      </c:layout>
      <c:overlay val="0"/>
      <c:spPr>
        <a:noFill/>
        <a:ln w="25400">
          <a:noFill/>
        </a:ln>
      </c:spPr>
    </c:title>
    <c:autoTitleDeleted val="0"/>
    <c:plotArea>
      <c:layout>
        <c:manualLayout>
          <c:layoutTarget val="inner"/>
          <c:xMode val="edge"/>
          <c:yMode val="edge"/>
          <c:x val="0.12500416885176152"/>
          <c:y val="0.21012355151589807"/>
          <c:w val="0.74718400927302908"/>
          <c:h val="0.59535006262837786"/>
        </c:manualLayout>
      </c:layout>
      <c:scatterChart>
        <c:scatterStyle val="lineMarker"/>
        <c:varyColors val="0"/>
        <c:ser>
          <c:idx val="0"/>
          <c:order val="0"/>
          <c:tx>
            <c:v>Current mGy/mAs</c:v>
          </c:tx>
          <c:spPr>
            <a:ln w="12700">
              <a:solidFill>
                <a:srgbClr val="000080"/>
              </a:solidFill>
              <a:prstDash val="solid"/>
            </a:ln>
          </c:spPr>
          <c:marker>
            <c:symbol val="diamond"/>
            <c:size val="5"/>
            <c:spPr>
              <a:solidFill>
                <a:srgbClr val="000080"/>
              </a:solidFill>
              <a:ln>
                <a:solidFill>
                  <a:srgbClr val="000080"/>
                </a:solidFill>
                <a:prstDash val="solid"/>
              </a:ln>
            </c:spPr>
          </c:marker>
          <c:xVal>
            <c:numRef>
              <c:f>Gen_form!$W$502:$W$507</c:f>
            </c:numRef>
          </c:xVal>
          <c:yVal>
            <c:numRef>
              <c:f>Gen_form!$Y$502:$Y$507</c:f>
              <c:numCache>
                <c:formatCode>0.0000</c:formatCode>
                <c:ptCount val="6"/>
                <c:pt idx="0">
                  <c:v>0</c:v>
                </c:pt>
                <c:pt idx="1">
                  <c:v>0</c:v>
                </c:pt>
                <c:pt idx="2">
                  <c:v>0</c:v>
                </c:pt>
                <c:pt idx="3">
                  <c:v>0</c:v>
                </c:pt>
                <c:pt idx="4">
                  <c:v>0</c:v>
                </c:pt>
                <c:pt idx="5">
                  <c:v>0</c:v>
                </c:pt>
              </c:numCache>
            </c:numRef>
          </c:yVal>
          <c:smooth val="0"/>
          <c:extLst>
            <c:ext xmlns:c16="http://schemas.microsoft.com/office/drawing/2014/chart" uri="{C3380CC4-5D6E-409C-BE32-E72D297353CC}">
              <c16:uniqueId val="{00000000-3464-4E1E-9F53-D131E0F1387E}"/>
            </c:ext>
          </c:extLst>
        </c:ser>
        <c:ser>
          <c:idx val="1"/>
          <c:order val="1"/>
          <c:tx>
            <c:v>Previous mGy/mAs</c:v>
          </c:tx>
          <c:spPr>
            <a:ln w="12700">
              <a:solidFill>
                <a:srgbClr val="FF00FF"/>
              </a:solidFill>
              <a:prstDash val="solid"/>
            </a:ln>
          </c:spPr>
          <c:marker>
            <c:symbol val="square"/>
            <c:size val="5"/>
            <c:spPr>
              <a:solidFill>
                <a:srgbClr val="FF00FF"/>
              </a:solidFill>
              <a:ln>
                <a:solidFill>
                  <a:srgbClr val="FF00FF"/>
                </a:solidFill>
                <a:prstDash val="solid"/>
              </a:ln>
            </c:spPr>
          </c:marker>
          <c:xVal>
            <c:numRef>
              <c:f>Gen_form!$V$502:$V$507</c:f>
            </c:numRef>
          </c:xVal>
          <c:yVal>
            <c:numRef>
              <c:f>Gen_form!$U$502:$U$507</c:f>
              <c:numCache>
                <c:formatCode>0.0000</c:formatCode>
                <c:ptCount val="6"/>
                <c:pt idx="0">
                  <c:v>0</c:v>
                </c:pt>
                <c:pt idx="1">
                  <c:v>0</c:v>
                </c:pt>
                <c:pt idx="2">
                  <c:v>0</c:v>
                </c:pt>
                <c:pt idx="3">
                  <c:v>0</c:v>
                </c:pt>
                <c:pt idx="4">
                  <c:v>0</c:v>
                </c:pt>
                <c:pt idx="5">
                  <c:v>0</c:v>
                </c:pt>
              </c:numCache>
            </c:numRef>
          </c:yVal>
          <c:smooth val="0"/>
          <c:extLst>
            <c:ext xmlns:c16="http://schemas.microsoft.com/office/drawing/2014/chart" uri="{C3380CC4-5D6E-409C-BE32-E72D297353CC}">
              <c16:uniqueId val="{00000001-3464-4E1E-9F53-D131E0F1387E}"/>
            </c:ext>
          </c:extLst>
        </c:ser>
        <c:dLbls>
          <c:showLegendKey val="0"/>
          <c:showVal val="0"/>
          <c:showCatName val="0"/>
          <c:showSerName val="0"/>
          <c:showPercent val="0"/>
          <c:showBubbleSize val="0"/>
        </c:dLbls>
        <c:axId val="203519152"/>
        <c:axId val="203519544"/>
      </c:scatterChart>
      <c:valAx>
        <c:axId val="203519152"/>
        <c:scaling>
          <c:orientation val="minMax"/>
          <c:max val="5"/>
          <c:min val="3.8"/>
        </c:scaling>
        <c:delete val="0"/>
        <c:axPos val="b"/>
        <c:majorGridlines>
          <c:spPr>
            <a:ln w="3175">
              <a:solidFill>
                <a:srgbClr val="000000"/>
              </a:solidFill>
              <a:prstDash val="solid"/>
            </a:ln>
          </c:spPr>
        </c:majorGridlines>
        <c:title>
          <c:tx>
            <c:rich>
              <a:bodyPr/>
              <a:lstStyle/>
              <a:p>
                <a:pPr>
                  <a:defRPr sz="900" b="1" i="0" u="none" strike="noStrike" baseline="0">
                    <a:solidFill>
                      <a:srgbClr val="000000"/>
                    </a:solidFill>
                    <a:latin typeface="Arial"/>
                    <a:ea typeface="Arial"/>
                    <a:cs typeface="Arial"/>
                  </a:defRPr>
                </a:pPr>
                <a:r>
                  <a:rPr lang="en-US"/>
                  <a:t>Ln (kVp)</a:t>
                </a:r>
              </a:p>
            </c:rich>
          </c:tx>
          <c:layout>
            <c:manualLayout>
              <c:xMode val="edge"/>
              <c:yMode val="edge"/>
              <c:x val="0.42615073659297548"/>
              <c:y val="0.8988615406699757"/>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203519544"/>
        <c:crosses val="autoZero"/>
        <c:crossBetween val="midCat"/>
        <c:majorUnit val="0.2"/>
        <c:minorUnit val="0.1"/>
      </c:valAx>
      <c:valAx>
        <c:axId val="203519544"/>
        <c:scaling>
          <c:orientation val="minMax"/>
          <c:max val="-2"/>
          <c:min val="-4"/>
        </c:scaling>
        <c:delete val="0"/>
        <c:axPos val="l"/>
        <c:majorGridlines>
          <c:spPr>
            <a:ln w="3175">
              <a:solidFill>
                <a:srgbClr val="000000"/>
              </a:solidFill>
              <a:prstDash val="solid"/>
            </a:ln>
          </c:spPr>
        </c:majorGridlines>
        <c:title>
          <c:tx>
            <c:rich>
              <a:bodyPr/>
              <a:lstStyle/>
              <a:p>
                <a:pPr>
                  <a:defRPr sz="900" b="1" i="0" u="none" strike="noStrike" baseline="0">
                    <a:solidFill>
                      <a:srgbClr val="000000"/>
                    </a:solidFill>
                    <a:latin typeface="Arial"/>
                    <a:ea typeface="Arial"/>
                    <a:cs typeface="Arial"/>
                  </a:defRPr>
                </a:pPr>
                <a:r>
                  <a:rPr lang="en-US"/>
                  <a:t>Ln (mGy/mAs)</a:t>
                </a:r>
              </a:p>
            </c:rich>
          </c:tx>
          <c:layout>
            <c:manualLayout>
              <c:xMode val="edge"/>
              <c:yMode val="edge"/>
              <c:x val="1.42051170614321E-2"/>
              <c:y val="0.36187955599699323"/>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203519152"/>
        <c:crosses val="autoZero"/>
        <c:crossBetween val="midCat"/>
      </c:valAx>
      <c:spPr>
        <a:noFill/>
        <a:ln w="12700">
          <a:solidFill>
            <a:srgbClr val="808080"/>
          </a:solidFill>
          <a:prstDash val="solid"/>
        </a:ln>
      </c:spPr>
    </c:plotArea>
    <c:legend>
      <c:legendPos val="r"/>
      <c:layout>
        <c:manualLayout>
          <c:xMode val="edge"/>
          <c:yMode val="edge"/>
          <c:x val="0.600522468562662"/>
          <c:y val="2.7238098267061091E-2"/>
          <c:w val="0.37689698743838607"/>
          <c:h val="0.16732072886496605"/>
        </c:manualLayout>
      </c:layout>
      <c:overlay val="0"/>
      <c:spPr>
        <a:solidFill>
          <a:srgbClr val="FFFFFF"/>
        </a:solidFill>
        <a:ln w="3175">
          <a:solidFill>
            <a:srgbClr val="000000"/>
          </a:solidFill>
          <a:prstDash val="solid"/>
        </a:ln>
      </c:spPr>
      <c:txPr>
        <a:bodyPr/>
        <a:lstStyle/>
        <a:p>
          <a:pPr>
            <a:defRPr sz="71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33410</xdr:colOff>
      <xdr:row>268</xdr:row>
      <xdr:rowOff>33945</xdr:rowOff>
    </xdr:from>
    <xdr:to>
      <xdr:col>10</xdr:col>
      <xdr:colOff>623206</xdr:colOff>
      <xdr:row>303</xdr:row>
      <xdr:rowOff>51706</xdr:rowOff>
    </xdr:to>
    <xdr:graphicFrame macro="">
      <xdr:nvGraphicFramePr>
        <xdr:cNvPr id="1916" name="Chart 33">
          <a:extLst>
            <a:ext uri="{FF2B5EF4-FFF2-40B4-BE49-F238E27FC236}">
              <a16:creationId xmlns:a16="http://schemas.microsoft.com/office/drawing/2014/main" id="{00000000-0008-0000-0000-00007C07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27160</xdr:colOff>
      <xdr:row>475</xdr:row>
      <xdr:rowOff>36214</xdr:rowOff>
    </xdr:from>
    <xdr:to>
      <xdr:col>32</xdr:col>
      <xdr:colOff>479834</xdr:colOff>
      <xdr:row>493</xdr:row>
      <xdr:rowOff>108642</xdr:rowOff>
    </xdr:to>
    <xdr:graphicFrame macro="">
      <xdr:nvGraphicFramePr>
        <xdr:cNvPr id="1918" name="Chart 82">
          <a:extLst>
            <a:ext uri="{FF2B5EF4-FFF2-40B4-BE49-F238E27FC236}">
              <a16:creationId xmlns:a16="http://schemas.microsoft.com/office/drawing/2014/main" id="{00000000-0008-0000-0000-00007E07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45267</xdr:colOff>
      <xdr:row>494</xdr:row>
      <xdr:rowOff>36214</xdr:rowOff>
    </xdr:from>
    <xdr:to>
      <xdr:col>32</xdr:col>
      <xdr:colOff>488887</xdr:colOff>
      <xdr:row>512</xdr:row>
      <xdr:rowOff>108642</xdr:rowOff>
    </xdr:to>
    <xdr:graphicFrame macro="">
      <xdr:nvGraphicFramePr>
        <xdr:cNvPr id="1919" name="Chart 83">
          <a:extLst>
            <a:ext uri="{FF2B5EF4-FFF2-40B4-BE49-F238E27FC236}">
              <a16:creationId xmlns:a16="http://schemas.microsoft.com/office/drawing/2014/main" id="{00000000-0008-0000-0000-00007F07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27160</xdr:colOff>
      <xdr:row>706</xdr:row>
      <xdr:rowOff>27160</xdr:rowOff>
    </xdr:from>
    <xdr:to>
      <xdr:col>5</xdr:col>
      <xdr:colOff>534154</xdr:colOff>
      <xdr:row>723</xdr:row>
      <xdr:rowOff>45267</xdr:rowOff>
    </xdr:to>
    <xdr:graphicFrame macro="">
      <xdr:nvGraphicFramePr>
        <xdr:cNvPr id="1925" name="Chart 159">
          <a:extLst>
            <a:ext uri="{FF2B5EF4-FFF2-40B4-BE49-F238E27FC236}">
              <a16:creationId xmlns:a16="http://schemas.microsoft.com/office/drawing/2014/main" id="{00000000-0008-0000-0000-00008507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615636</xdr:colOff>
      <xdr:row>706</xdr:row>
      <xdr:rowOff>27160</xdr:rowOff>
    </xdr:from>
    <xdr:to>
      <xdr:col>10</xdr:col>
      <xdr:colOff>688063</xdr:colOff>
      <xdr:row>723</xdr:row>
      <xdr:rowOff>45267</xdr:rowOff>
    </xdr:to>
    <xdr:graphicFrame macro="">
      <xdr:nvGraphicFramePr>
        <xdr:cNvPr id="1926" name="Chart 160">
          <a:extLst>
            <a:ext uri="{FF2B5EF4-FFF2-40B4-BE49-F238E27FC236}">
              <a16:creationId xmlns:a16="http://schemas.microsoft.com/office/drawing/2014/main" id="{00000000-0008-0000-0000-00008607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J792"/>
  <sheetViews>
    <sheetView tabSelected="1" zoomScaleNormal="100" workbookViewId="0">
      <selection activeCell="M1" sqref="M1"/>
    </sheetView>
  </sheetViews>
  <sheetFormatPr defaultColWidth="8.09765625" defaultRowHeight="11.25" customHeight="1"/>
  <cols>
    <col min="1" max="1" width="3.59765625" customWidth="1"/>
    <col min="2" max="2" width="11.59765625" customWidth="1"/>
    <col min="3" max="11" width="8.59765625" customWidth="1"/>
    <col min="12" max="12" width="1.59765625" style="449" customWidth="1"/>
    <col min="13" max="13" width="11.59765625" customWidth="1"/>
    <col min="14" max="23" width="8.09765625" customWidth="1"/>
    <col min="24" max="24" width="1.59765625" customWidth="1"/>
    <col min="25" max="25" width="8.09765625" customWidth="1"/>
    <col min="26" max="26" width="7.59765625" customWidth="1"/>
    <col min="27" max="27" width="9.5" customWidth="1"/>
    <col min="28" max="28" width="7.69921875" customWidth="1"/>
    <col min="29" max="29" width="6.59765625" customWidth="1"/>
    <col min="30" max="30" width="7.69921875" customWidth="1"/>
    <col min="31" max="31" width="8.19921875" style="379" customWidth="1"/>
    <col min="32" max="32" width="7.5" style="379" customWidth="1"/>
    <col min="33" max="33" width="6.69921875" style="379" customWidth="1"/>
    <col min="34" max="34" width="7.5" style="379" customWidth="1"/>
    <col min="35" max="35" width="6.09765625" style="379" customWidth="1"/>
    <col min="36" max="36" width="9" customWidth="1"/>
  </cols>
  <sheetData>
    <row r="1" spans="1:35" ht="11.25" customHeight="1" thickTop="1">
      <c r="A1" s="418">
        <v>1</v>
      </c>
      <c r="B1" s="415"/>
      <c r="C1" s="72"/>
      <c r="D1" s="72"/>
      <c r="E1" s="72"/>
      <c r="F1" s="72"/>
      <c r="G1" s="72"/>
      <c r="H1" s="72"/>
      <c r="I1" s="72"/>
      <c r="J1" s="72"/>
      <c r="K1" s="76"/>
      <c r="L1" s="465" t="s">
        <v>265</v>
      </c>
      <c r="M1" s="652" t="s">
        <v>827</v>
      </c>
      <c r="N1" s="72"/>
      <c r="O1" s="72"/>
      <c r="P1" s="72"/>
      <c r="Q1" s="72"/>
      <c r="R1" s="72"/>
      <c r="S1" s="72"/>
      <c r="T1" s="566" t="str">
        <f t="shared" ref="T1:T6" si="0">IF(OR(AB246="",AB246=0),"",AB246)</f>
        <v/>
      </c>
      <c r="U1" s="572"/>
      <c r="V1" s="572"/>
      <c r="W1" s="573"/>
      <c r="X1" s="455" t="s">
        <v>265</v>
      </c>
      <c r="Y1" s="329" t="s">
        <v>216</v>
      </c>
      <c r="AE1"/>
    </row>
    <row r="2" spans="1:35" ht="11.25" customHeight="1">
      <c r="A2" s="418">
        <v>2</v>
      </c>
      <c r="B2" s="79"/>
      <c r="C2" s="1"/>
      <c r="D2" s="1"/>
      <c r="E2" s="1"/>
      <c r="F2" s="69" t="s">
        <v>504</v>
      </c>
      <c r="G2" s="1"/>
      <c r="H2" s="1"/>
      <c r="I2" s="1"/>
      <c r="J2" s="1"/>
      <c r="K2" s="78"/>
      <c r="L2" s="465" t="s">
        <v>265</v>
      </c>
      <c r="M2" s="77"/>
      <c r="N2" s="1"/>
      <c r="O2" s="1"/>
      <c r="P2" s="1"/>
      <c r="Q2" s="109" t="str">
        <f>$F$2</f>
        <v>Medical University of South Carolina</v>
      </c>
      <c r="S2" s="1"/>
      <c r="T2" s="567" t="str">
        <f t="shared" si="0"/>
        <v/>
      </c>
      <c r="U2" s="574"/>
      <c r="V2" s="575"/>
      <c r="W2" s="576"/>
      <c r="X2" s="455" t="s">
        <v>265</v>
      </c>
      <c r="Y2" s="446" t="s">
        <v>664</v>
      </c>
      <c r="AE2"/>
    </row>
    <row r="3" spans="1:35" ht="11.25" customHeight="1">
      <c r="A3" s="418">
        <v>3</v>
      </c>
      <c r="B3" s="79"/>
      <c r="C3" s="1"/>
      <c r="D3" s="1"/>
      <c r="E3" s="1"/>
      <c r="F3" s="69" t="s">
        <v>505</v>
      </c>
      <c r="G3" s="1"/>
      <c r="H3" s="1"/>
      <c r="I3" s="1"/>
      <c r="J3" s="1"/>
      <c r="K3" s="78"/>
      <c r="L3" s="465" t="s">
        <v>265</v>
      </c>
      <c r="M3" s="77"/>
      <c r="N3" s="1"/>
      <c r="O3" s="1"/>
      <c r="P3" s="1"/>
      <c r="Q3" s="69" t="str">
        <f>$F$3</f>
        <v>Charleston, South Carolina</v>
      </c>
      <c r="S3" s="1"/>
      <c r="T3" s="567" t="str">
        <f t="shared" si="0"/>
        <v/>
      </c>
      <c r="U3" s="574"/>
      <c r="V3" s="575"/>
      <c r="W3" s="576"/>
      <c r="X3" s="455" t="s">
        <v>265</v>
      </c>
      <c r="Y3" s="30" t="s">
        <v>217</v>
      </c>
      <c r="Z3" s="38" t="s">
        <v>826</v>
      </c>
    </row>
    <row r="4" spans="1:35" ht="11.25" customHeight="1">
      <c r="A4" s="418">
        <v>4</v>
      </c>
      <c r="B4" s="79"/>
      <c r="K4" s="78"/>
      <c r="L4" s="465" t="s">
        <v>265</v>
      </c>
      <c r="M4" s="77"/>
      <c r="T4" s="567" t="str">
        <f t="shared" si="0"/>
        <v/>
      </c>
      <c r="U4" s="574"/>
      <c r="V4" s="575"/>
      <c r="W4" s="576"/>
      <c r="X4" s="455" t="s">
        <v>265</v>
      </c>
      <c r="Y4" s="330"/>
      <c r="AA4" s="378" t="s">
        <v>218</v>
      </c>
      <c r="AB4" s="456" t="s">
        <v>480</v>
      </c>
      <c r="AC4" s="330"/>
      <c r="AD4" s="330"/>
    </row>
    <row r="5" spans="1:35" ht="11.25" customHeight="1">
      <c r="A5" s="418">
        <v>5</v>
      </c>
      <c r="B5" s="79"/>
      <c r="E5" s="1"/>
      <c r="F5" s="70" t="s">
        <v>544</v>
      </c>
      <c r="I5" s="1"/>
      <c r="J5" s="1"/>
      <c r="K5" s="80"/>
      <c r="L5" s="465" t="s">
        <v>265</v>
      </c>
      <c r="M5" s="77"/>
      <c r="P5" s="70" t="str">
        <f>$F$5</f>
        <v>Radiation Oncology IGRT Compliance Inspection</v>
      </c>
      <c r="T5" s="567" t="str">
        <f t="shared" si="0"/>
        <v/>
      </c>
      <c r="U5" s="574"/>
      <c r="V5" s="575"/>
      <c r="W5" s="576"/>
      <c r="X5" s="455" t="s">
        <v>265</v>
      </c>
      <c r="Y5" s="330"/>
      <c r="AB5" s="456" t="s">
        <v>219</v>
      </c>
    </row>
    <row r="6" spans="1:35" ht="11.25" customHeight="1" thickBot="1">
      <c r="A6" s="418">
        <v>6</v>
      </c>
      <c r="B6" s="81"/>
      <c r="C6" s="82"/>
      <c r="D6" s="82"/>
      <c r="E6" s="82"/>
      <c r="F6" s="83"/>
      <c r="G6" s="82"/>
      <c r="H6" s="82"/>
      <c r="I6" s="82"/>
      <c r="J6" s="82"/>
      <c r="K6" s="84"/>
      <c r="L6" s="465" t="s">
        <v>265</v>
      </c>
      <c r="M6" s="85"/>
      <c r="N6" s="83"/>
      <c r="O6" s="83"/>
      <c r="P6" s="83"/>
      <c r="Q6" s="83"/>
      <c r="R6" s="83"/>
      <c r="S6" s="83"/>
      <c r="T6" s="568" t="str">
        <f t="shared" si="0"/>
        <v/>
      </c>
      <c r="U6" s="577"/>
      <c r="V6" s="577"/>
      <c r="W6" s="578"/>
      <c r="X6" s="455" t="s">
        <v>265</v>
      </c>
      <c r="Y6" s="330"/>
      <c r="Z6" s="330"/>
      <c r="AB6" s="375" t="s">
        <v>220</v>
      </c>
      <c r="AC6" s="409" t="s">
        <v>481</v>
      </c>
      <c r="AD6" s="87" t="s">
        <v>221</v>
      </c>
    </row>
    <row r="7" spans="1:35" ht="11.25" customHeight="1" thickTop="1" thickBot="1">
      <c r="A7" s="418">
        <v>7</v>
      </c>
      <c r="B7" s="37"/>
      <c r="G7" s="37"/>
      <c r="H7" s="37"/>
      <c r="I7" s="37"/>
      <c r="J7" s="37"/>
      <c r="K7" s="37"/>
      <c r="L7" s="465" t="s">
        <v>265</v>
      </c>
      <c r="M7" s="1"/>
      <c r="T7" s="30"/>
      <c r="U7" s="1"/>
      <c r="V7" s="1"/>
      <c r="W7" s="1"/>
      <c r="X7" s="455" t="s">
        <v>265</v>
      </c>
      <c r="Y7" s="335"/>
      <c r="Z7" s="335"/>
      <c r="AA7" s="115" t="s">
        <v>222</v>
      </c>
      <c r="AB7" s="376" t="s">
        <v>223</v>
      </c>
      <c r="AD7" s="369" t="s">
        <v>223</v>
      </c>
      <c r="AE7" s="380" t="s">
        <v>224</v>
      </c>
      <c r="AF7" s="410" t="s">
        <v>225</v>
      </c>
      <c r="AG7" s="411" t="s">
        <v>482</v>
      </c>
    </row>
    <row r="8" spans="1:35" ht="11.25" customHeight="1">
      <c r="A8" s="418">
        <v>8</v>
      </c>
      <c r="B8" s="37"/>
      <c r="F8" s="70" t="s">
        <v>226</v>
      </c>
      <c r="G8" s="41"/>
      <c r="H8" s="37"/>
      <c r="I8" s="42"/>
      <c r="J8" s="37"/>
      <c r="K8" s="37"/>
      <c r="L8" s="465" t="s">
        <v>265</v>
      </c>
      <c r="M8" s="1"/>
      <c r="N8" s="30" t="s">
        <v>227</v>
      </c>
      <c r="O8" s="672"/>
      <c r="R8" s="70" t="str">
        <f>$F$8</f>
        <v>System Information</v>
      </c>
      <c r="U8" s="30" t="s">
        <v>228</v>
      </c>
      <c r="V8" s="503" t="s">
        <v>1</v>
      </c>
      <c r="W8" s="1"/>
      <c r="X8" s="455" t="s">
        <v>265</v>
      </c>
      <c r="Y8" s="335"/>
      <c r="Z8" s="335"/>
      <c r="AA8" s="335" t="s">
        <v>229</v>
      </c>
      <c r="AB8" s="617"/>
      <c r="AC8" s="377" t="str">
        <f>IF(AND(OR(AB8="",AB8=0),OR(AD8="",AD8=0)),"",IF(AB8&lt;&gt;AD8,"Change",""))</f>
        <v>Change</v>
      </c>
      <c r="AD8" s="629" t="str">
        <f>IF(Y2="","",Y2)</f>
        <v>FIRST,EXP_BLD,FS_KV,REPRO,LIN,HVL_IMGQUAL,OUTPUT,CTPG1</v>
      </c>
      <c r="AE8" s="379" t="s">
        <v>399</v>
      </c>
      <c r="AG8" s="411" t="s">
        <v>483</v>
      </c>
    </row>
    <row r="9" spans="1:35" ht="11.25" customHeight="1" thickBot="1">
      <c r="A9" s="418">
        <v>9</v>
      </c>
      <c r="B9" s="37"/>
      <c r="H9" s="37"/>
      <c r="I9" s="37"/>
      <c r="J9" s="37"/>
      <c r="K9" s="37"/>
      <c r="L9" s="465" t="s">
        <v>265</v>
      </c>
      <c r="M9" s="1"/>
      <c r="N9" s="534" t="s">
        <v>230</v>
      </c>
      <c r="O9" s="673" t="str">
        <f>IF(OR(AB9=0,AB9=""),"",AB9)</f>
        <v/>
      </c>
      <c r="P9" s="1"/>
      <c r="Q9" s="1"/>
      <c r="R9" s="1"/>
      <c r="S9" s="1"/>
      <c r="T9" s="1"/>
      <c r="U9" s="535" t="s">
        <v>230</v>
      </c>
      <c r="V9" s="500" t="str">
        <f>IF(OR(AB10=0,AB10=""),"",AB10)</f>
        <v/>
      </c>
      <c r="W9" s="1"/>
      <c r="X9" s="455"/>
      <c r="Y9" s="335"/>
      <c r="AA9" s="335" t="s">
        <v>227</v>
      </c>
      <c r="AB9" s="673"/>
      <c r="AC9" s="377" t="str">
        <f t="shared" ref="AC9:AC20" si="1">IF(AND(OR(AB9="",AB9=0),OR(AD9="",AD9=0)),"",IF(AB9&lt;&gt;AD9,"Change",""))</f>
        <v/>
      </c>
      <c r="AD9" s="679" t="str">
        <f>IF(O8="","",O8)</f>
        <v/>
      </c>
      <c r="AE9" s="379" t="s">
        <v>400</v>
      </c>
    </row>
    <row r="10" spans="1:35" ht="11.25" customHeight="1" thickTop="1">
      <c r="A10" s="418">
        <v>10</v>
      </c>
      <c r="B10" s="52"/>
      <c r="C10" s="99" t="s">
        <v>231</v>
      </c>
      <c r="D10" s="50"/>
      <c r="E10" s="50"/>
      <c r="F10" s="50"/>
      <c r="G10" s="50"/>
      <c r="H10" s="100"/>
      <c r="I10" s="100"/>
      <c r="J10" s="100"/>
      <c r="K10" s="53"/>
      <c r="L10" s="465" t="s">
        <v>265</v>
      </c>
      <c r="M10" s="52"/>
      <c r="N10" s="99" t="s">
        <v>231</v>
      </c>
      <c r="O10" s="100"/>
      <c r="P10" s="100"/>
      <c r="Q10" s="501" t="s">
        <v>189</v>
      </c>
      <c r="R10" s="502"/>
      <c r="S10" s="100"/>
      <c r="T10" s="100"/>
      <c r="U10" s="501" t="s">
        <v>189</v>
      </c>
      <c r="V10" s="502"/>
      <c r="W10" s="53"/>
      <c r="X10" s="455" t="s">
        <v>265</v>
      </c>
      <c r="Y10" s="335"/>
      <c r="Z10" s="335"/>
      <c r="AA10" s="335" t="s">
        <v>228</v>
      </c>
      <c r="AB10" s="617"/>
      <c r="AC10" s="377" t="str">
        <f t="shared" si="1"/>
        <v>Change</v>
      </c>
      <c r="AD10" s="629" t="str">
        <f>IF(V8="","",V8)</f>
        <v>Eugene Mah</v>
      </c>
      <c r="AE10" s="379" t="s">
        <v>401</v>
      </c>
      <c r="AF10"/>
      <c r="AG10"/>
      <c r="AH10"/>
      <c r="AI10"/>
    </row>
    <row r="11" spans="1:35" ht="11.25" customHeight="1">
      <c r="A11" s="418">
        <v>11</v>
      </c>
      <c r="B11" s="54"/>
      <c r="D11" s="42" t="s">
        <v>232</v>
      </c>
      <c r="E11" s="45" t="str">
        <f>IF(P11="","",P11)</f>
        <v/>
      </c>
      <c r="F11" s="36"/>
      <c r="G11" s="37"/>
      <c r="H11" s="42" t="s">
        <v>507</v>
      </c>
      <c r="I11" s="614" t="str">
        <f>IF(T11="","",T11)</f>
        <v/>
      </c>
      <c r="K11" s="57"/>
      <c r="L11" s="465" t="s">
        <v>265</v>
      </c>
      <c r="M11" s="54"/>
      <c r="N11" s="37"/>
      <c r="O11" s="42" t="s">
        <v>232</v>
      </c>
      <c r="P11" s="474" t="str">
        <f>IF(Q11&lt;&gt;"",Q11,IF(OR(AB11=0,AB11=""),"",AB11))</f>
        <v/>
      </c>
      <c r="Q11" s="504"/>
      <c r="R11" s="38"/>
      <c r="S11" s="42" t="s">
        <v>5</v>
      </c>
      <c r="T11" s="474" t="str">
        <f>IF(U11&lt;&gt;"",U11,IF(OR(AB38=0,AB38=""),"",AB38))</f>
        <v/>
      </c>
      <c r="U11" s="506"/>
      <c r="V11" s="38"/>
      <c r="W11" s="57"/>
      <c r="X11" s="455" t="s">
        <v>265</v>
      </c>
      <c r="Y11" s="335"/>
      <c r="Z11" s="335"/>
      <c r="AA11" s="335" t="str">
        <f>IF(O11="","",O11)</f>
        <v>Facility:</v>
      </c>
      <c r="AB11" s="617"/>
      <c r="AC11" s="377" t="str">
        <f t="shared" si="1"/>
        <v/>
      </c>
      <c r="AD11" s="612" t="str">
        <f t="shared" ref="AD11:AD21" si="2">IF(P11="","",P11)</f>
        <v/>
      </c>
      <c r="AE11" s="379" t="s">
        <v>402</v>
      </c>
      <c r="AF11"/>
      <c r="AG11"/>
      <c r="AH11"/>
      <c r="AI11"/>
    </row>
    <row r="12" spans="1:35" ht="11.25" customHeight="1">
      <c r="A12" s="418">
        <v>12</v>
      </c>
      <c r="B12" s="54"/>
      <c r="D12" s="42" t="s">
        <v>233</v>
      </c>
      <c r="E12" s="45" t="str">
        <f>IF(P12="","",P12)</f>
        <v/>
      </c>
      <c r="F12" s="36"/>
      <c r="H12" s="42" t="s">
        <v>234</v>
      </c>
      <c r="I12" s="45" t="str">
        <f>IF(T12="","",T12)</f>
        <v/>
      </c>
      <c r="J12" s="36"/>
      <c r="K12" s="58"/>
      <c r="L12" s="465" t="s">
        <v>265</v>
      </c>
      <c r="M12" s="54"/>
      <c r="N12" s="37"/>
      <c r="O12" s="42" t="s">
        <v>233</v>
      </c>
      <c r="P12" s="474" t="str">
        <f>IF(Q12&lt;&gt;"",Q12,IF(OR(AB12=0,AB12=""),"",AB12))</f>
        <v/>
      </c>
      <c r="Q12" s="505"/>
      <c r="R12" s="37"/>
      <c r="S12" s="42" t="s">
        <v>234</v>
      </c>
      <c r="T12" s="474" t="str">
        <f>IF(U12&lt;&gt;"",U12,IF(OR(AB39=0,AB39=""),"",AB39))</f>
        <v/>
      </c>
      <c r="U12" s="645"/>
      <c r="V12" s="37"/>
      <c r="W12" s="57"/>
      <c r="X12" s="455" t="s">
        <v>265</v>
      </c>
      <c r="Y12" s="335"/>
      <c r="Z12" s="335"/>
      <c r="AA12" s="335" t="str">
        <f t="shared" ref="AA12:AA21" si="3">IF(O12="","",O12)</f>
        <v>Department:</v>
      </c>
      <c r="AB12" s="617"/>
      <c r="AC12" s="377" t="str">
        <f t="shared" si="1"/>
        <v/>
      </c>
      <c r="AD12" s="612" t="str">
        <f t="shared" si="2"/>
        <v/>
      </c>
      <c r="AE12" s="379" t="s">
        <v>403</v>
      </c>
      <c r="AF12"/>
      <c r="AG12"/>
      <c r="AH12"/>
      <c r="AI12"/>
    </row>
    <row r="13" spans="1:35" ht="11.25" customHeight="1">
      <c r="A13" s="418">
        <v>13</v>
      </c>
      <c r="B13" s="54"/>
      <c r="D13" s="42" t="s">
        <v>235</v>
      </c>
      <c r="E13" s="45" t="str">
        <f>IF(P13="","",P13)</f>
        <v/>
      </c>
      <c r="F13" s="36"/>
      <c r="G13" s="37"/>
      <c r="H13" s="42" t="s">
        <v>236</v>
      </c>
      <c r="I13" s="649" t="str">
        <f>IF(T13="","",T13)</f>
        <v/>
      </c>
      <c r="J13" s="37"/>
      <c r="K13" s="57"/>
      <c r="L13" s="465" t="s">
        <v>265</v>
      </c>
      <c r="M13" s="54"/>
      <c r="N13" s="37"/>
      <c r="O13" s="42" t="s">
        <v>235</v>
      </c>
      <c r="P13" s="474" t="str">
        <f>IF(Q13&lt;&gt;"",Q13,IF(OR(AB13=0,AB13=""),"",AB13))</f>
        <v/>
      </c>
      <c r="Q13" s="645"/>
      <c r="R13" s="37"/>
      <c r="S13" s="42" t="s">
        <v>236</v>
      </c>
      <c r="T13" s="835" t="str">
        <f>IF(U13&lt;&gt;"",U13,IF(OR(AB40=0,AB40=""),"",AB40))</f>
        <v/>
      </c>
      <c r="U13" s="836"/>
      <c r="V13" s="37"/>
      <c r="W13" s="57"/>
      <c r="X13" s="455" t="s">
        <v>265</v>
      </c>
      <c r="Y13" s="335"/>
      <c r="Z13" s="335"/>
      <c r="AA13" s="335" t="str">
        <f t="shared" si="3"/>
        <v>Area/Division:</v>
      </c>
      <c r="AB13" s="617"/>
      <c r="AC13" s="377" t="str">
        <f t="shared" si="1"/>
        <v/>
      </c>
      <c r="AD13" s="612" t="str">
        <f t="shared" si="2"/>
        <v/>
      </c>
      <c r="AE13" s="379" t="s">
        <v>404</v>
      </c>
      <c r="AF13"/>
      <c r="AG13"/>
      <c r="AH13"/>
      <c r="AI13"/>
    </row>
    <row r="14" spans="1:35" ht="11.25" customHeight="1">
      <c r="A14" s="418">
        <v>14</v>
      </c>
      <c r="B14" s="54"/>
      <c r="C14" s="37"/>
      <c r="D14" s="42" t="s">
        <v>506</v>
      </c>
      <c r="E14" s="614" t="str">
        <f>IF(P14="","",P14)</f>
        <v/>
      </c>
      <c r="H14" s="42" t="s">
        <v>237</v>
      </c>
      <c r="I14" s="49" t="str">
        <f>IF(T14="","",T14)</f>
        <v/>
      </c>
      <c r="J14" s="37"/>
      <c r="K14" s="57"/>
      <c r="L14" s="465" t="s">
        <v>265</v>
      </c>
      <c r="M14" s="54"/>
      <c r="N14" s="37"/>
      <c r="O14" s="42" t="s">
        <v>506</v>
      </c>
      <c r="P14" s="474" t="str">
        <f>IF(Q14&lt;&gt;"",Q14,IF(OR(AB14=0,AB14=""),"",AB14))</f>
        <v/>
      </c>
      <c r="Q14" s="505"/>
      <c r="R14" s="37"/>
      <c r="S14" s="42" t="s">
        <v>237</v>
      </c>
      <c r="T14" s="474" t="str">
        <f>IF(U14&lt;&gt;"",U14,IF(OR(AB41=0,AB41=""),"",AB41))</f>
        <v/>
      </c>
      <c r="U14" s="507"/>
      <c r="V14" s="37"/>
      <c r="W14" s="57"/>
      <c r="X14" s="455" t="s">
        <v>265</v>
      </c>
      <c r="Y14" s="335"/>
      <c r="Z14" s="335"/>
      <c r="AA14" s="335" t="str">
        <f t="shared" si="3"/>
        <v>Survey ID:</v>
      </c>
      <c r="AB14" s="617"/>
      <c r="AC14" s="377" t="str">
        <f t="shared" si="1"/>
        <v/>
      </c>
      <c r="AD14" s="612" t="str">
        <f t="shared" si="2"/>
        <v/>
      </c>
      <c r="AE14" s="379" t="s">
        <v>405</v>
      </c>
      <c r="AF14"/>
      <c r="AG14"/>
      <c r="AH14"/>
      <c r="AI14"/>
    </row>
    <row r="15" spans="1:35" ht="11.25" customHeight="1">
      <c r="A15" s="418">
        <v>15</v>
      </c>
      <c r="B15" s="54"/>
      <c r="C15" s="37"/>
      <c r="D15" s="42"/>
      <c r="E15" s="46"/>
      <c r="F15" s="37"/>
      <c r="J15" s="37"/>
      <c r="K15" s="57"/>
      <c r="L15" s="465" t="s">
        <v>265</v>
      </c>
      <c r="M15" s="54"/>
      <c r="N15" s="37"/>
      <c r="O15" s="42" t="s">
        <v>238</v>
      </c>
      <c r="P15" s="474" t="str">
        <f>IF(Q15&lt;&gt;"",Q15,IF(OR(AB15=0,AB15=""),"",AB15))</f>
        <v/>
      </c>
      <c r="Q15" s="645"/>
      <c r="R15" s="37"/>
      <c r="S15" s="42" t="s">
        <v>4</v>
      </c>
      <c r="T15" s="474" t="str">
        <f>IF(U15&lt;&gt;"",U15,IF(OR(AB42=0,AB42=""),"",AB42))</f>
        <v/>
      </c>
      <c r="U15" s="507"/>
      <c r="V15" s="38"/>
      <c r="W15" s="57"/>
      <c r="X15" s="455" t="s">
        <v>265</v>
      </c>
      <c r="Y15" s="335"/>
      <c r="Z15" s="335"/>
      <c r="AA15" s="335" t="str">
        <f t="shared" si="3"/>
        <v>Room Number:</v>
      </c>
      <c r="AB15" s="617"/>
      <c r="AC15" s="377" t="str">
        <f t="shared" si="1"/>
        <v/>
      </c>
      <c r="AD15" s="612" t="str">
        <f t="shared" si="2"/>
        <v/>
      </c>
      <c r="AE15" s="379" t="s">
        <v>406</v>
      </c>
      <c r="AI15"/>
    </row>
    <row r="16" spans="1:35" ht="11.25" customHeight="1">
      <c r="A16" s="418">
        <v>16</v>
      </c>
      <c r="B16" s="55"/>
      <c r="C16" s="63"/>
      <c r="D16" s="51"/>
      <c r="E16" s="51"/>
      <c r="F16" s="51"/>
      <c r="G16" s="51"/>
      <c r="H16" s="63"/>
      <c r="I16" s="64"/>
      <c r="J16" s="64"/>
      <c r="K16" s="65"/>
      <c r="L16" s="465" t="s">
        <v>265</v>
      </c>
      <c r="M16" s="54"/>
      <c r="N16" s="37"/>
      <c r="O16" s="37"/>
      <c r="P16" s="37"/>
      <c r="Q16" s="37"/>
      <c r="R16" s="37"/>
      <c r="S16" s="37"/>
      <c r="T16" s="37"/>
      <c r="U16" s="37"/>
      <c r="V16" s="37"/>
      <c r="W16" s="57"/>
      <c r="X16" s="455" t="s">
        <v>265</v>
      </c>
      <c r="Y16" s="335"/>
      <c r="AA16" s="335" t="str">
        <f t="shared" si="3"/>
        <v/>
      </c>
      <c r="AB16" s="335"/>
      <c r="AC16" s="377" t="str">
        <f t="shared" si="1"/>
        <v/>
      </c>
      <c r="AD16" s="330"/>
      <c r="AI16"/>
    </row>
    <row r="17" spans="1:36" ht="11.25" customHeight="1">
      <c r="A17" s="418">
        <v>17</v>
      </c>
      <c r="B17" s="54"/>
      <c r="C17" s="88" t="s">
        <v>239</v>
      </c>
      <c r="D17" s="87"/>
      <c r="H17" s="37"/>
      <c r="I17" s="42"/>
      <c r="J17" s="38"/>
      <c r="K17" s="58"/>
      <c r="L17" s="465" t="s">
        <v>265</v>
      </c>
      <c r="M17" s="54"/>
      <c r="N17" s="88" t="s">
        <v>239</v>
      </c>
      <c r="O17" s="87"/>
      <c r="P17" s="37"/>
      <c r="Q17" s="37"/>
      <c r="R17" s="37"/>
      <c r="S17" s="37"/>
      <c r="T17" s="37"/>
      <c r="U17" s="37"/>
      <c r="V17" s="37"/>
      <c r="W17" s="57"/>
      <c r="X17" s="455" t="s">
        <v>265</v>
      </c>
      <c r="Y17" s="335"/>
      <c r="Z17" s="335"/>
      <c r="AA17" s="115" t="s">
        <v>239</v>
      </c>
      <c r="AB17" s="335"/>
      <c r="AC17" s="377" t="str">
        <f t="shared" si="1"/>
        <v/>
      </c>
      <c r="AD17" s="335"/>
      <c r="AI17"/>
    </row>
    <row r="18" spans="1:36" ht="11.25" customHeight="1">
      <c r="A18" s="418">
        <v>18</v>
      </c>
      <c r="B18" s="54"/>
      <c r="C18" s="37"/>
      <c r="D18" s="42" t="s">
        <v>240</v>
      </c>
      <c r="E18" s="45" t="str">
        <f>IF(P18="","",P18)</f>
        <v/>
      </c>
      <c r="F18" s="37"/>
      <c r="H18" s="42" t="s">
        <v>241</v>
      </c>
      <c r="I18" s="649" t="str">
        <f>IF(T18="","",T18)</f>
        <v/>
      </c>
      <c r="J18" s="38"/>
      <c r="K18" s="57"/>
      <c r="L18" s="465" t="s">
        <v>265</v>
      </c>
      <c r="M18" s="54"/>
      <c r="N18" s="37"/>
      <c r="O18" s="42" t="s">
        <v>240</v>
      </c>
      <c r="P18" s="474" t="str">
        <f>IF(Q18&lt;&gt;"",Q18,IF(OR(AB18=0,AB18=""),"",AB18))</f>
        <v/>
      </c>
      <c r="Q18" s="613"/>
      <c r="R18" s="37"/>
      <c r="S18" s="42" t="s">
        <v>241</v>
      </c>
      <c r="T18" s="835" t="str">
        <f>IF(U18&lt;&gt;"",U18,IF(OR(AB22=0,AB22=""),"",AB22))</f>
        <v/>
      </c>
      <c r="U18" s="837"/>
      <c r="V18" s="37"/>
      <c r="W18" s="57"/>
      <c r="X18" s="455" t="s">
        <v>265</v>
      </c>
      <c r="Y18" s="335"/>
      <c r="Z18" s="335"/>
      <c r="AA18" s="335" t="str">
        <f t="shared" si="3"/>
        <v>Manufacturer:</v>
      </c>
      <c r="AB18" s="617"/>
      <c r="AC18" s="377" t="str">
        <f t="shared" si="1"/>
        <v/>
      </c>
      <c r="AD18" s="612" t="str">
        <f t="shared" si="2"/>
        <v/>
      </c>
      <c r="AE18" s="379" t="s">
        <v>407</v>
      </c>
      <c r="AI18"/>
    </row>
    <row r="19" spans="1:36" ht="11.25" customHeight="1">
      <c r="A19" s="418">
        <v>19</v>
      </c>
      <c r="B19" s="54"/>
      <c r="C19" s="37"/>
      <c r="D19" s="42" t="s">
        <v>242</v>
      </c>
      <c r="E19" s="45" t="str">
        <f>IF(P19="","",P19)</f>
        <v/>
      </c>
      <c r="F19" s="37"/>
      <c r="H19" s="42" t="s">
        <v>243</v>
      </c>
      <c r="I19" s="614" t="str">
        <f>IF(T19="","",T19)</f>
        <v/>
      </c>
      <c r="J19" s="44"/>
      <c r="K19" s="57"/>
      <c r="L19" s="465" t="s">
        <v>265</v>
      </c>
      <c r="M19" s="54"/>
      <c r="N19" s="37"/>
      <c r="O19" s="42" t="s">
        <v>242</v>
      </c>
      <c r="P19" s="474" t="str">
        <f>IF(Q19&lt;&gt;"",Q19,IF(OR(AB19=0,AB19=""),"",AB19))</f>
        <v/>
      </c>
      <c r="Q19" s="645"/>
      <c r="R19" s="37"/>
      <c r="S19" s="42" t="s">
        <v>243</v>
      </c>
      <c r="T19" s="791" t="str">
        <f t="shared" ref="T19:T20" si="4">IF(U19&lt;&gt;"",U19,IF(OR(AB23=0,AB23=""),"",AB23))</f>
        <v/>
      </c>
      <c r="U19" s="646"/>
      <c r="V19" s="37"/>
      <c r="W19" s="57"/>
      <c r="X19" s="455" t="s">
        <v>265</v>
      </c>
      <c r="Y19" s="335"/>
      <c r="Z19" s="335"/>
      <c r="AA19" s="335" t="str">
        <f t="shared" si="3"/>
        <v>Model:</v>
      </c>
      <c r="AB19" s="617"/>
      <c r="AC19" s="377" t="str">
        <f t="shared" si="1"/>
        <v/>
      </c>
      <c r="AD19" s="612" t="str">
        <f t="shared" si="2"/>
        <v/>
      </c>
      <c r="AE19" s="379" t="s">
        <v>408</v>
      </c>
      <c r="AF19" s="380"/>
      <c r="AI19"/>
    </row>
    <row r="20" spans="1:36" ht="11.25" customHeight="1">
      <c r="A20" s="418">
        <v>20</v>
      </c>
      <c r="B20" s="54"/>
      <c r="C20" s="37"/>
      <c r="D20" s="42" t="s">
        <v>244</v>
      </c>
      <c r="E20" s="49" t="str">
        <f>IF(P20="","",P20)</f>
        <v/>
      </c>
      <c r="F20" s="37"/>
      <c r="G20" s="37"/>
      <c r="H20" s="42" t="s">
        <v>245</v>
      </c>
      <c r="I20" s="49" t="str">
        <f>IF(T20="","",T20)</f>
        <v/>
      </c>
      <c r="J20" s="37"/>
      <c r="K20" s="57"/>
      <c r="L20" s="465" t="s">
        <v>265</v>
      </c>
      <c r="M20" s="54"/>
      <c r="N20" s="37"/>
      <c r="O20" s="42" t="s">
        <v>244</v>
      </c>
      <c r="P20" s="475" t="str">
        <f>IF(Q20&lt;&gt;"",Q20,IF(OR(AB20=0,AB20=""),"",AB20))</f>
        <v/>
      </c>
      <c r="Q20" s="507"/>
      <c r="R20" s="37"/>
      <c r="S20" s="42" t="s">
        <v>245</v>
      </c>
      <c r="T20" s="791" t="str">
        <f t="shared" si="4"/>
        <v/>
      </c>
      <c r="U20" s="507"/>
      <c r="W20" s="57"/>
      <c r="X20" s="455" t="s">
        <v>265</v>
      </c>
      <c r="Y20" s="335"/>
      <c r="Z20" s="335"/>
      <c r="AA20" s="335" t="str">
        <f t="shared" si="3"/>
        <v>Max. kVp:</v>
      </c>
      <c r="AB20" s="617"/>
      <c r="AC20" s="377" t="str">
        <f t="shared" si="1"/>
        <v/>
      </c>
      <c r="AD20" s="630" t="str">
        <f t="shared" si="2"/>
        <v/>
      </c>
      <c r="AE20" s="379" t="s">
        <v>409</v>
      </c>
      <c r="AI20"/>
    </row>
    <row r="21" spans="1:36" ht="11.25" customHeight="1">
      <c r="A21" s="418">
        <v>21</v>
      </c>
      <c r="B21" s="54"/>
      <c r="C21" s="37"/>
      <c r="D21" s="42" t="s">
        <v>527</v>
      </c>
      <c r="E21" s="49" t="str">
        <f>IF(P21="","",P21)</f>
        <v/>
      </c>
      <c r="F21" s="37"/>
      <c r="G21" s="37"/>
      <c r="H21" s="37"/>
      <c r="I21" s="37"/>
      <c r="J21" s="38"/>
      <c r="K21" s="57"/>
      <c r="L21" s="465" t="s">
        <v>265</v>
      </c>
      <c r="M21" s="54"/>
      <c r="N21" s="37"/>
      <c r="O21" s="42" t="s">
        <v>527</v>
      </c>
      <c r="P21" s="475" t="str">
        <f>IF(Q21&lt;&gt;"",Q21,IF(OR(AB21=0,AB21=""),"",AB21))</f>
        <v/>
      </c>
      <c r="Q21" s="507"/>
      <c r="R21" s="37"/>
      <c r="S21" s="37"/>
      <c r="T21" s="42"/>
      <c r="U21" s="46"/>
      <c r="V21" s="37"/>
      <c r="W21" s="57"/>
      <c r="X21" s="455" t="s">
        <v>265</v>
      </c>
      <c r="Y21" s="335"/>
      <c r="Z21" s="335"/>
      <c r="AA21" s="335" t="str">
        <f t="shared" si="3"/>
        <v>Software Version:</v>
      </c>
      <c r="AB21" s="617"/>
      <c r="AC21" s="377" t="str">
        <f t="shared" ref="AC21" si="5">IF(AND(OR(AB21="",AB21=0),OR(AD21="",AD21=0)),"",IF(AB21&lt;&gt;AD21,"Change",""))</f>
        <v/>
      </c>
      <c r="AD21" s="670" t="str">
        <f t="shared" si="2"/>
        <v/>
      </c>
      <c r="AE21" s="379" t="s">
        <v>569</v>
      </c>
      <c r="AI21"/>
    </row>
    <row r="22" spans="1:36" ht="11.25" customHeight="1">
      <c r="A22" s="418">
        <v>22</v>
      </c>
      <c r="B22" s="55"/>
      <c r="C22" s="51"/>
      <c r="D22" s="66"/>
      <c r="E22" s="63"/>
      <c r="F22" s="63"/>
      <c r="G22" s="63"/>
      <c r="H22" s="63"/>
      <c r="I22" s="64"/>
      <c r="J22" s="63"/>
      <c r="K22" s="56"/>
      <c r="L22" s="465" t="s">
        <v>265</v>
      </c>
      <c r="M22" s="54"/>
      <c r="N22" s="37"/>
      <c r="O22" s="42"/>
      <c r="P22" s="37"/>
      <c r="Q22" s="37"/>
      <c r="R22" s="37"/>
      <c r="S22" s="37"/>
      <c r="T22" s="38"/>
      <c r="U22" s="38"/>
      <c r="V22" s="37"/>
      <c r="W22" s="57"/>
      <c r="X22" s="455" t="s">
        <v>265</v>
      </c>
      <c r="Y22" s="335"/>
      <c r="AA22" s="335" t="str">
        <f>IF(S18="","",S18)</f>
        <v>Date of Manufacture:</v>
      </c>
      <c r="AB22" s="699"/>
      <c r="AC22" s="377" t="str">
        <f t="shared" ref="AC22:AC24" si="6">IF(AND(OR(AB22="",AB22=0),OR(AD22="",AD22=0)),"",IF(AB22&lt;&gt;AD22,"Change",""))</f>
        <v/>
      </c>
      <c r="AD22" s="698" t="str">
        <f>IF(T18="","",T18)</f>
        <v/>
      </c>
      <c r="AE22" s="379" t="s">
        <v>422</v>
      </c>
      <c r="AI22"/>
    </row>
    <row r="23" spans="1:36" ht="11.25" customHeight="1">
      <c r="A23" s="418">
        <v>23</v>
      </c>
      <c r="B23" s="54"/>
      <c r="C23" s="88" t="str">
        <f>IF(N23="","",N23)</f>
        <v>X-Ray Tube 1</v>
      </c>
      <c r="D23" s="87"/>
      <c r="E23" s="37"/>
      <c r="F23" s="37"/>
      <c r="H23" s="38"/>
      <c r="I23" s="87" t="s">
        <v>246</v>
      </c>
      <c r="J23" s="38"/>
      <c r="K23" s="57"/>
      <c r="L23" s="465" t="s">
        <v>265</v>
      </c>
      <c r="M23" s="54"/>
      <c r="N23" s="88" t="s">
        <v>247</v>
      </c>
      <c r="O23" s="37"/>
      <c r="P23" s="37"/>
      <c r="Q23" s="37"/>
      <c r="R23" s="37"/>
      <c r="S23" s="37"/>
      <c r="T23" s="746" t="s">
        <v>248</v>
      </c>
      <c r="U23" s="38"/>
      <c r="V23" s="37"/>
      <c r="W23" s="57"/>
      <c r="X23" s="455" t="s">
        <v>265</v>
      </c>
      <c r="Y23" s="335"/>
      <c r="Z23" s="335"/>
      <c r="AA23" s="335" t="str">
        <f t="shared" ref="AA23:AA24" si="7">IF(S19="","",S19)</f>
        <v>Serial Number:</v>
      </c>
      <c r="AB23" s="617"/>
      <c r="AC23" s="377" t="str">
        <f t="shared" si="6"/>
        <v/>
      </c>
      <c r="AD23" s="697" t="str">
        <f>IF(T19="","",T19)</f>
        <v/>
      </c>
      <c r="AE23" s="379" t="s">
        <v>423</v>
      </c>
      <c r="AI23"/>
    </row>
    <row r="24" spans="1:36" ht="11.25" customHeight="1">
      <c r="A24" s="418">
        <v>24</v>
      </c>
      <c r="B24" s="54"/>
      <c r="C24" s="37"/>
      <c r="D24" s="42" t="s">
        <v>249</v>
      </c>
      <c r="E24" s="45" t="str">
        <f>IF(P24="","",P24)</f>
        <v/>
      </c>
      <c r="F24" s="37"/>
      <c r="H24" s="42" t="str">
        <f t="shared" ref="H24:I26" si="8">IF(S24="","",S24)</f>
        <v>Large:</v>
      </c>
      <c r="I24" s="262" t="str">
        <f t="shared" si="8"/>
        <v/>
      </c>
      <c r="J24" s="38"/>
      <c r="K24" s="57"/>
      <c r="L24" s="465" t="s">
        <v>265</v>
      </c>
      <c r="M24" s="54"/>
      <c r="N24" s="37"/>
      <c r="O24" s="42" t="s">
        <v>249</v>
      </c>
      <c r="P24" s="474" t="str">
        <f>IF(Q24&lt;&gt;"",Q24,IF(OR(AB27=0,AB27=""),"",AB27))</f>
        <v/>
      </c>
      <c r="Q24" s="613"/>
      <c r="R24" s="37"/>
      <c r="S24" s="42" t="s">
        <v>250</v>
      </c>
      <c r="T24" s="473" t="str">
        <f>IF(U24&lt;&gt;"",U24,IF(OR(AB45=0,AB45=""),"",AB45))</f>
        <v/>
      </c>
      <c r="U24" s="508"/>
      <c r="V24" s="37"/>
      <c r="W24" s="57"/>
      <c r="X24" s="455" t="s">
        <v>265</v>
      </c>
      <c r="Y24" s="335"/>
      <c r="Z24" s="335"/>
      <c r="AA24" s="335" t="str">
        <f t="shared" si="7"/>
        <v>Max. mA:</v>
      </c>
      <c r="AB24" s="617"/>
      <c r="AC24" s="377" t="str">
        <f t="shared" si="6"/>
        <v/>
      </c>
      <c r="AD24" s="697" t="str">
        <f>IF(T20="","",T20)</f>
        <v/>
      </c>
      <c r="AE24" s="379" t="s">
        <v>424</v>
      </c>
      <c r="AI24" s="330"/>
      <c r="AJ24" s="330"/>
    </row>
    <row r="25" spans="1:36" ht="11.25" customHeight="1">
      <c r="A25" s="418">
        <v>25</v>
      </c>
      <c r="B25" s="54"/>
      <c r="C25" s="37"/>
      <c r="D25" s="42" t="s">
        <v>241</v>
      </c>
      <c r="E25" s="649" t="str">
        <f>IF(P25="","",P25)</f>
        <v/>
      </c>
      <c r="F25" s="37"/>
      <c r="H25" s="42" t="str">
        <f t="shared" si="8"/>
        <v>Small:</v>
      </c>
      <c r="I25" s="262" t="str">
        <f t="shared" si="8"/>
        <v/>
      </c>
      <c r="J25" s="38"/>
      <c r="K25" s="57"/>
      <c r="L25" s="465" t="s">
        <v>265</v>
      </c>
      <c r="M25" s="54"/>
      <c r="N25" s="37"/>
      <c r="O25" s="42" t="s">
        <v>241</v>
      </c>
      <c r="P25" s="835" t="str">
        <f>IF(Q25&lt;&gt;"",Q25,IF(OR(AB28=0,AB28=""),"",AB28))</f>
        <v/>
      </c>
      <c r="Q25" s="648"/>
      <c r="R25" s="37"/>
      <c r="S25" s="42" t="s">
        <v>251</v>
      </c>
      <c r="T25" s="473" t="str">
        <f>IF(U25&lt;&gt;"",U25,IF(OR(AB46=0,AB46=""),"",AB46))</f>
        <v/>
      </c>
      <c r="U25" s="509"/>
      <c r="V25" s="37"/>
      <c r="W25" s="57"/>
      <c r="X25" s="455" t="s">
        <v>265</v>
      </c>
      <c r="Y25" s="335"/>
      <c r="Z25" s="335"/>
      <c r="AI25" s="330"/>
      <c r="AJ25" s="330"/>
    </row>
    <row r="26" spans="1:36" ht="11.25" customHeight="1">
      <c r="A26" s="418">
        <v>26</v>
      </c>
      <c r="B26" s="54"/>
      <c r="C26" s="37"/>
      <c r="D26" s="42"/>
      <c r="H26" s="42" t="str">
        <f>IF(T26="","",S26)</f>
        <v/>
      </c>
      <c r="I26" s="262" t="str">
        <f t="shared" si="8"/>
        <v/>
      </c>
      <c r="J26" s="38"/>
      <c r="K26" s="57"/>
      <c r="L26" s="465" t="s">
        <v>265</v>
      </c>
      <c r="M26" s="54"/>
      <c r="N26" s="37"/>
      <c r="O26" s="42"/>
      <c r="P26" s="37"/>
      <c r="Q26" s="37"/>
      <c r="R26" s="37"/>
      <c r="S26" s="42" t="s">
        <v>252</v>
      </c>
      <c r="T26" s="473" t="str">
        <f>IF(U26&lt;&gt;"",U26,IF(OR(AB47=0,AB47=""),"",AB47))</f>
        <v/>
      </c>
      <c r="U26" s="509"/>
      <c r="V26" s="37"/>
      <c r="W26" s="57"/>
      <c r="X26" s="455" t="s">
        <v>265</v>
      </c>
      <c r="Y26" s="335"/>
      <c r="Z26" s="335"/>
      <c r="AA26" s="115" t="s">
        <v>247</v>
      </c>
      <c r="AB26" s="335"/>
      <c r="AC26" s="377" t="str">
        <f t="shared" ref="AC26:AC37" si="9">IF(AND(OR(AB26="",AB26=0),OR(AD26="",AD26=0)),"",IF(AB26&lt;&gt;AD26,"Change",""))</f>
        <v/>
      </c>
      <c r="AD26" s="330"/>
      <c r="AI26" s="330"/>
      <c r="AJ26" s="330"/>
    </row>
    <row r="27" spans="1:36" ht="11.25" customHeight="1">
      <c r="A27" s="418">
        <v>27</v>
      </c>
      <c r="B27" s="54"/>
      <c r="C27" s="37"/>
      <c r="D27" s="42" t="s">
        <v>253</v>
      </c>
      <c r="E27" s="45" t="str">
        <f>IF(P27="","",P27)</f>
        <v/>
      </c>
      <c r="F27" s="37"/>
      <c r="I27" s="87" t="s">
        <v>254</v>
      </c>
      <c r="K27" s="57"/>
      <c r="L27" s="465" t="s">
        <v>265</v>
      </c>
      <c r="M27" s="54"/>
      <c r="N27" s="37"/>
      <c r="O27" s="42" t="s">
        <v>253</v>
      </c>
      <c r="P27" s="474" t="str">
        <f>IF(Q27&lt;&gt;"",Q27,IF(OR(AB30=0,AB30=""),"",AB30))</f>
        <v/>
      </c>
      <c r="Q27" s="613"/>
      <c r="R27" s="37"/>
      <c r="S27" s="37"/>
      <c r="T27" s="746" t="s">
        <v>254</v>
      </c>
      <c r="U27" s="38"/>
      <c r="V27" s="37"/>
      <c r="W27" s="57"/>
      <c r="X27" s="455" t="s">
        <v>265</v>
      </c>
      <c r="Y27" s="335"/>
      <c r="Z27" s="335"/>
      <c r="AA27" s="335" t="str">
        <f t="shared" ref="AA27:AA37" si="10">IF(O24="","",O24)</f>
        <v>Tube Designation/Use:</v>
      </c>
      <c r="AB27" s="617"/>
      <c r="AC27" s="377" t="str">
        <f t="shared" si="9"/>
        <v/>
      </c>
      <c r="AD27" s="612" t="str">
        <f>IF(P24="","",P24)</f>
        <v/>
      </c>
      <c r="AE27" s="379" t="s">
        <v>410</v>
      </c>
      <c r="AI27" s="330"/>
      <c r="AJ27" s="330"/>
    </row>
    <row r="28" spans="1:36" ht="11.25" customHeight="1">
      <c r="A28" s="418">
        <v>28</v>
      </c>
      <c r="B28" s="54"/>
      <c r="C28" s="42"/>
      <c r="D28" s="42" t="s">
        <v>255</v>
      </c>
      <c r="E28" s="48" t="str">
        <f>IF(P28="","",P28)</f>
        <v/>
      </c>
      <c r="F28" s="37"/>
      <c r="G28" s="37"/>
      <c r="H28" s="42" t="s">
        <v>256</v>
      </c>
      <c r="I28" s="642" t="str">
        <f>IF(T28="","",T28)</f>
        <v/>
      </c>
      <c r="K28" s="57"/>
      <c r="L28" s="465" t="s">
        <v>265</v>
      </c>
      <c r="M28" s="54"/>
      <c r="N28" s="42"/>
      <c r="O28" s="42" t="s">
        <v>255</v>
      </c>
      <c r="P28" s="474" t="str">
        <f>IF(Q28&lt;&gt;"",Q28,IF(OR(AB31=0,AB31=""),"",AB31))</f>
        <v/>
      </c>
      <c r="Q28" s="505"/>
      <c r="R28" s="37"/>
      <c r="S28" s="42" t="s">
        <v>256</v>
      </c>
      <c r="T28" s="476" t="str">
        <f>IF(U28&lt;&gt;"",U28,IF(OR(AB49=0,AB49=""),"",AB49))</f>
        <v/>
      </c>
      <c r="U28" s="613"/>
      <c r="V28" s="38"/>
      <c r="W28" s="57"/>
      <c r="X28" s="455" t="s">
        <v>265</v>
      </c>
      <c r="Y28" s="335"/>
      <c r="Z28" s="335"/>
      <c r="AA28" s="335" t="str">
        <f t="shared" si="10"/>
        <v>Date of Manufacture:</v>
      </c>
      <c r="AB28" s="570"/>
      <c r="AC28" s="377" t="str">
        <f t="shared" si="9"/>
        <v/>
      </c>
      <c r="AD28" s="647" t="str">
        <f>IF(P25="","",P25)</f>
        <v/>
      </c>
      <c r="AE28" s="379" t="s">
        <v>411</v>
      </c>
      <c r="AI28" s="330"/>
      <c r="AJ28" s="330"/>
    </row>
    <row r="29" spans="1:36" ht="11.25" customHeight="1">
      <c r="A29" s="418">
        <v>29</v>
      </c>
      <c r="B29" s="54"/>
      <c r="C29" s="37"/>
      <c r="D29" s="42" t="s">
        <v>257</v>
      </c>
      <c r="E29" s="48" t="str">
        <f>IF(P29="","",P29)</f>
        <v/>
      </c>
      <c r="F29" s="37"/>
      <c r="G29" s="37"/>
      <c r="H29" s="42" t="s">
        <v>258</v>
      </c>
      <c r="I29" s="642" t="str">
        <f>IF(T29="","",T29)</f>
        <v/>
      </c>
      <c r="J29" s="38"/>
      <c r="K29" s="58"/>
      <c r="L29" s="465" t="s">
        <v>265</v>
      </c>
      <c r="M29" s="54"/>
      <c r="N29" s="37"/>
      <c r="O29" s="42" t="s">
        <v>257</v>
      </c>
      <c r="P29" s="474" t="str">
        <f>IF(Q29&lt;&gt;"",Q29,IF(OR(AB32=0,AB32=""),"",AB32))</f>
        <v/>
      </c>
      <c r="Q29" s="645"/>
      <c r="R29" s="37"/>
      <c r="S29" s="42" t="s">
        <v>258</v>
      </c>
      <c r="T29" s="476" t="str">
        <f>IF(U29&lt;&gt;"",U29,IF(OR(AB50=0,AB50=""),"",AB50))</f>
        <v/>
      </c>
      <c r="U29" s="505"/>
      <c r="V29" s="38"/>
      <c r="W29" s="57"/>
      <c r="X29" s="455" t="s">
        <v>265</v>
      </c>
      <c r="Y29" s="335"/>
      <c r="Z29" s="335"/>
      <c r="AA29" s="335" t="str">
        <f t="shared" si="10"/>
        <v/>
      </c>
      <c r="AB29" s="335"/>
      <c r="AC29" s="377" t="str">
        <f t="shared" si="9"/>
        <v/>
      </c>
      <c r="AD29" s="335"/>
      <c r="AI29" s="330"/>
      <c r="AJ29" s="330"/>
    </row>
    <row r="30" spans="1:36" ht="11.25" customHeight="1">
      <c r="A30" s="418">
        <v>30</v>
      </c>
      <c r="B30" s="54"/>
      <c r="D30" s="37"/>
      <c r="E30" s="37"/>
      <c r="F30" s="37"/>
      <c r="G30" s="43"/>
      <c r="H30" s="37"/>
      <c r="I30" s="38"/>
      <c r="J30" s="38"/>
      <c r="K30" s="58"/>
      <c r="L30" s="465" t="s">
        <v>265</v>
      </c>
      <c r="M30" s="54"/>
      <c r="N30" s="37"/>
      <c r="O30" s="37"/>
      <c r="P30" s="37"/>
      <c r="Q30" s="37"/>
      <c r="R30" s="37"/>
      <c r="S30" s="42"/>
      <c r="T30" s="37"/>
      <c r="U30" s="37"/>
      <c r="V30" s="37"/>
      <c r="W30" s="57"/>
      <c r="X30" s="455" t="s">
        <v>265</v>
      </c>
      <c r="Y30" s="335"/>
      <c r="Z30" s="335"/>
      <c r="AA30" s="335" t="str">
        <f t="shared" si="10"/>
        <v>Insert Manufacturer:</v>
      </c>
      <c r="AB30" s="617"/>
      <c r="AC30" s="377" t="str">
        <f t="shared" si="9"/>
        <v/>
      </c>
      <c r="AD30" s="612" t="str">
        <f>IF(P27="","",P27)</f>
        <v/>
      </c>
      <c r="AE30" s="379" t="s">
        <v>412</v>
      </c>
      <c r="AI30" s="330"/>
      <c r="AJ30" s="330"/>
    </row>
    <row r="31" spans="1:36" ht="11.25" customHeight="1">
      <c r="A31" s="418">
        <v>31</v>
      </c>
      <c r="B31" s="54"/>
      <c r="C31" s="42"/>
      <c r="D31" s="42" t="s">
        <v>259</v>
      </c>
      <c r="E31" s="45" t="str">
        <f>IF(P31="","",P31)</f>
        <v/>
      </c>
      <c r="F31" s="37"/>
      <c r="I31" s="89" t="s">
        <v>260</v>
      </c>
      <c r="J31" s="41"/>
      <c r="K31" s="57"/>
      <c r="L31" s="465" t="s">
        <v>265</v>
      </c>
      <c r="M31" s="54"/>
      <c r="N31" s="42"/>
      <c r="O31" s="42" t="s">
        <v>259</v>
      </c>
      <c r="P31" s="474" t="str">
        <f>IF(Q31&lt;&gt;"",Q31,IF(OR(AB34=0,AB34=""),"",AB34))</f>
        <v/>
      </c>
      <c r="Q31" s="613"/>
      <c r="R31" s="43"/>
      <c r="S31" s="37"/>
      <c r="T31" s="746" t="s">
        <v>260</v>
      </c>
      <c r="U31" s="111"/>
      <c r="V31" s="38"/>
      <c r="W31" s="57"/>
      <c r="X31" s="455" t="s">
        <v>265</v>
      </c>
      <c r="Y31" s="335"/>
      <c r="Z31" s="335"/>
      <c r="AA31" s="335" t="str">
        <f t="shared" si="10"/>
        <v>Insert Model:</v>
      </c>
      <c r="AB31" s="617"/>
      <c r="AC31" s="377" t="str">
        <f t="shared" si="9"/>
        <v/>
      </c>
      <c r="AD31" s="630" t="str">
        <f>IF(P28="","",P28)</f>
        <v/>
      </c>
      <c r="AE31" s="379" t="s">
        <v>413</v>
      </c>
      <c r="AI31" s="330"/>
      <c r="AJ31" s="330"/>
    </row>
    <row r="32" spans="1:36" ht="11.25" customHeight="1">
      <c r="A32" s="418">
        <v>32</v>
      </c>
      <c r="B32" s="54"/>
      <c r="C32" s="37"/>
      <c r="D32" s="42" t="s">
        <v>261</v>
      </c>
      <c r="E32" s="48" t="str">
        <f>IF(P32="","",P32)</f>
        <v/>
      </c>
      <c r="F32" s="37"/>
      <c r="H32" s="42" t="s">
        <v>262</v>
      </c>
      <c r="I32" s="45" t="str">
        <f>IF(T32="","",T32)</f>
        <v/>
      </c>
      <c r="J32" s="36"/>
      <c r="K32" s="58"/>
      <c r="L32" s="465" t="s">
        <v>265</v>
      </c>
      <c r="M32" s="54"/>
      <c r="N32" s="37"/>
      <c r="O32" s="42" t="s">
        <v>261</v>
      </c>
      <c r="P32" s="474" t="str">
        <f>IF(Q32&lt;&gt;"",Q32,IF(OR(AB35=0,AB35=""),"",AB35))</f>
        <v/>
      </c>
      <c r="Q32" s="505"/>
      <c r="R32" s="37"/>
      <c r="S32" s="42" t="s">
        <v>262</v>
      </c>
      <c r="T32" s="476" t="str">
        <f>IF(U32&lt;&gt;"",U32,IF(OR(AB53=0,AB53=""),"",AB53))</f>
        <v/>
      </c>
      <c r="U32" s="613"/>
      <c r="W32" s="57"/>
      <c r="X32" s="455" t="s">
        <v>265</v>
      </c>
      <c r="Y32" s="335"/>
      <c r="Z32" s="335"/>
      <c r="AA32" s="335" t="str">
        <f t="shared" si="10"/>
        <v>Insert Serial Number:</v>
      </c>
      <c r="AB32" s="617"/>
      <c r="AC32" s="377" t="str">
        <f t="shared" si="9"/>
        <v/>
      </c>
      <c r="AD32" s="630" t="str">
        <f>IF(P29="","",P29)</f>
        <v/>
      </c>
      <c r="AE32" s="379" t="s">
        <v>414</v>
      </c>
      <c r="AI32" s="330"/>
      <c r="AJ32" s="330"/>
    </row>
    <row r="33" spans="1:36" ht="11.25" customHeight="1">
      <c r="A33" s="418">
        <v>33</v>
      </c>
      <c r="B33" s="54"/>
      <c r="C33" s="37"/>
      <c r="D33" s="42" t="s">
        <v>263</v>
      </c>
      <c r="E33" s="48" t="str">
        <f>IF(P33="","",P33)</f>
        <v/>
      </c>
      <c r="F33" s="37"/>
      <c r="H33" s="42" t="s">
        <v>264</v>
      </c>
      <c r="I33" s="45" t="str">
        <f>IF(T33="","",T33)</f>
        <v/>
      </c>
      <c r="J33" s="36"/>
      <c r="K33" s="57"/>
      <c r="L33" s="465" t="s">
        <v>265</v>
      </c>
      <c r="M33" s="54"/>
      <c r="N33" s="37"/>
      <c r="O33" s="42" t="s">
        <v>263</v>
      </c>
      <c r="P33" s="474" t="str">
        <f>IF(Q33&lt;&gt;"",Q33,IF(OR(AB36=0,AB36=""),"",AB36))</f>
        <v/>
      </c>
      <c r="Q33" s="645"/>
      <c r="R33" s="37"/>
      <c r="S33" s="42" t="s">
        <v>264</v>
      </c>
      <c r="T33" s="476" t="str">
        <f>IF(U33&lt;&gt;"",U33,IF(OR(AB54=0,AB54=""),"",AB54))</f>
        <v/>
      </c>
      <c r="U33" s="505"/>
      <c r="W33" s="57"/>
      <c r="X33" s="455" t="s">
        <v>265</v>
      </c>
      <c r="Y33" s="335"/>
      <c r="Z33" s="335"/>
      <c r="AA33" s="335" t="str">
        <f t="shared" si="10"/>
        <v/>
      </c>
      <c r="AB33" s="335"/>
      <c r="AC33" s="377" t="str">
        <f t="shared" si="9"/>
        <v/>
      </c>
      <c r="AD33" s="330"/>
      <c r="AI33" s="330"/>
      <c r="AJ33" s="330"/>
    </row>
    <row r="34" spans="1:36" ht="11.25" customHeight="1">
      <c r="A34" s="418">
        <v>34</v>
      </c>
      <c r="B34" s="54"/>
      <c r="C34" s="37"/>
      <c r="D34" s="42"/>
      <c r="E34" s="42"/>
      <c r="F34" s="37"/>
      <c r="G34" s="37"/>
      <c r="H34" s="42"/>
      <c r="I34" s="37"/>
      <c r="K34" s="57"/>
      <c r="L34" s="465" t="s">
        <v>265</v>
      </c>
      <c r="M34" s="54"/>
      <c r="N34" s="37"/>
      <c r="O34" s="42"/>
      <c r="P34" s="37"/>
      <c r="Q34" s="37"/>
      <c r="R34" s="37"/>
      <c r="S34" s="37"/>
      <c r="T34" s="37" t="s">
        <v>265</v>
      </c>
      <c r="U34" s="37"/>
      <c r="V34" s="37"/>
      <c r="W34" s="57"/>
      <c r="X34" s="455" t="s">
        <v>265</v>
      </c>
      <c r="Y34" s="335"/>
      <c r="Z34" s="335"/>
      <c r="AA34" s="335" t="str">
        <f t="shared" si="10"/>
        <v>Housing Manufacturer:</v>
      </c>
      <c r="AB34" s="617"/>
      <c r="AC34" s="377" t="str">
        <f t="shared" si="9"/>
        <v/>
      </c>
      <c r="AD34" s="612" t="str">
        <f>IF(P31="","",P31)</f>
        <v/>
      </c>
      <c r="AE34" s="379" t="s">
        <v>415</v>
      </c>
      <c r="AI34" s="330"/>
      <c r="AJ34" s="330"/>
    </row>
    <row r="35" spans="1:36" ht="11.25" customHeight="1">
      <c r="A35" s="418">
        <v>35</v>
      </c>
      <c r="B35" s="55"/>
      <c r="C35" s="51"/>
      <c r="D35" s="66"/>
      <c r="E35" s="51"/>
      <c r="F35" s="51"/>
      <c r="G35" s="51"/>
      <c r="H35" s="63"/>
      <c r="I35" s="51"/>
      <c r="J35" s="51"/>
      <c r="K35" s="56"/>
      <c r="L35" s="465" t="s">
        <v>265</v>
      </c>
      <c r="M35" s="54"/>
      <c r="N35" s="37"/>
      <c r="O35" s="42"/>
      <c r="P35" s="37"/>
      <c r="Q35" s="37"/>
      <c r="R35" s="37"/>
      <c r="S35" s="42"/>
      <c r="T35" s="37" t="s">
        <v>265</v>
      </c>
      <c r="U35" s="37"/>
      <c r="V35" s="37"/>
      <c r="W35" s="57"/>
      <c r="X35" s="455" t="s">
        <v>265</v>
      </c>
      <c r="Y35" s="335"/>
      <c r="AA35" s="335" t="str">
        <f t="shared" si="10"/>
        <v>Housing Model:</v>
      </c>
      <c r="AB35" s="617"/>
      <c r="AC35" s="377" t="str">
        <f t="shared" si="9"/>
        <v/>
      </c>
      <c r="AD35" s="612" t="str">
        <f>IF(P32="","",P32)</f>
        <v/>
      </c>
      <c r="AE35" s="379" t="s">
        <v>416</v>
      </c>
      <c r="AJ35" s="330"/>
    </row>
    <row r="36" spans="1:36" ht="11.25" customHeight="1">
      <c r="A36" s="418">
        <v>36</v>
      </c>
      <c r="B36" s="54"/>
      <c r="K36" s="57"/>
      <c r="L36" s="465" t="s">
        <v>265</v>
      </c>
      <c r="M36" s="54"/>
      <c r="N36" s="88"/>
      <c r="V36" s="38"/>
      <c r="W36" s="57"/>
      <c r="X36" s="455" t="s">
        <v>265</v>
      </c>
      <c r="Y36" s="335"/>
      <c r="Z36" s="335"/>
      <c r="AA36" s="335" t="str">
        <f t="shared" si="10"/>
        <v>Housing Serial Number:</v>
      </c>
      <c r="AB36" s="617"/>
      <c r="AC36" s="377" t="str">
        <f t="shared" si="9"/>
        <v/>
      </c>
      <c r="AD36" s="612" t="str">
        <f>IF(P33="","",P33)</f>
        <v/>
      </c>
      <c r="AE36" s="379" t="s">
        <v>417</v>
      </c>
      <c r="AJ36" s="330"/>
    </row>
    <row r="37" spans="1:36" ht="11.25" customHeight="1">
      <c r="A37" s="418">
        <v>37</v>
      </c>
      <c r="B37" s="54"/>
      <c r="K37" s="59"/>
      <c r="L37" s="465" t="s">
        <v>265</v>
      </c>
      <c r="M37" s="54"/>
      <c r="N37" s="42"/>
      <c r="V37" s="38"/>
      <c r="W37" s="57"/>
      <c r="X37" s="455" t="s">
        <v>265</v>
      </c>
      <c r="Y37" s="335"/>
      <c r="Z37" s="335"/>
      <c r="AA37" s="335" t="str">
        <f t="shared" si="10"/>
        <v/>
      </c>
      <c r="AB37" s="335"/>
      <c r="AC37" s="377" t="str">
        <f t="shared" si="9"/>
        <v/>
      </c>
      <c r="AD37" s="335"/>
      <c r="AG37" s="644"/>
      <c r="AJ37" s="330"/>
    </row>
    <row r="38" spans="1:36" ht="11.25" customHeight="1">
      <c r="A38" s="418">
        <v>38</v>
      </c>
      <c r="B38" s="54"/>
      <c r="K38" s="59"/>
      <c r="L38" s="465" t="s">
        <v>265</v>
      </c>
      <c r="M38" s="54"/>
      <c r="N38" s="42"/>
      <c r="V38" s="38"/>
      <c r="W38" s="57"/>
      <c r="X38" s="455" t="s">
        <v>265</v>
      </c>
      <c r="Y38" s="335"/>
      <c r="Z38" s="335"/>
      <c r="AA38" s="42" t="str">
        <f>IF(S11="","",S11)</f>
        <v>Site Number:</v>
      </c>
      <c r="AB38" s="617"/>
      <c r="AC38" s="377" t="str">
        <f t="shared" ref="AC38:AC42" si="11">IF(AND(OR(AB38="",AB38=0),OR(AD38="",AD38=0)),"",IF(AB38&lt;&gt;AD38,"Change",""))</f>
        <v/>
      </c>
      <c r="AD38" s="691" t="str">
        <f>IF(T11="","",T11)</f>
        <v/>
      </c>
      <c r="AE38" s="379" t="s">
        <v>418</v>
      </c>
      <c r="AG38" s="644"/>
      <c r="AJ38" s="330"/>
    </row>
    <row r="39" spans="1:36" ht="11.25" customHeight="1">
      <c r="A39" s="418">
        <v>39</v>
      </c>
      <c r="B39" s="54"/>
      <c r="K39" s="59"/>
      <c r="L39" s="465" t="s">
        <v>265</v>
      </c>
      <c r="M39" s="54"/>
      <c r="N39" s="42"/>
      <c r="V39" s="37"/>
      <c r="W39" s="57"/>
      <c r="X39" s="455" t="s">
        <v>265</v>
      </c>
      <c r="Y39" s="335"/>
      <c r="Z39" s="335"/>
      <c r="AA39" s="42" t="str">
        <f>IF(S12="","",S12)</f>
        <v>Authorized Use:</v>
      </c>
      <c r="AB39" s="617"/>
      <c r="AC39" s="377" t="str">
        <f t="shared" si="11"/>
        <v/>
      </c>
      <c r="AD39" s="691" t="str">
        <f>IF(T12="","",T12)</f>
        <v/>
      </c>
      <c r="AE39" s="379" t="s">
        <v>419</v>
      </c>
      <c r="AG39" s="644"/>
    </row>
    <row r="40" spans="1:36" ht="11.25" customHeight="1">
      <c r="A40" s="418">
        <v>40</v>
      </c>
      <c r="B40" s="54"/>
      <c r="K40" s="57"/>
      <c r="L40" s="465" t="s">
        <v>265</v>
      </c>
      <c r="M40" s="54"/>
      <c r="N40" s="42"/>
      <c r="V40" s="37"/>
      <c r="W40" s="57"/>
      <c r="X40" s="455" t="s">
        <v>265</v>
      </c>
      <c r="Y40" s="335"/>
      <c r="Z40" s="335"/>
      <c r="AA40" s="42" t="str">
        <f>IF(S13="","",S13)</f>
        <v>Date of Installation:</v>
      </c>
      <c r="AB40" s="617"/>
      <c r="AC40" s="377" t="str">
        <f t="shared" si="11"/>
        <v/>
      </c>
      <c r="AD40" s="691" t="str">
        <f>IF(T13="","",T13)</f>
        <v/>
      </c>
      <c r="AE40" s="379" t="s">
        <v>420</v>
      </c>
      <c r="AG40" s="644"/>
    </row>
    <row r="41" spans="1:36" ht="11.25" customHeight="1">
      <c r="A41" s="418">
        <v>41</v>
      </c>
      <c r="B41" s="54"/>
      <c r="K41" s="57"/>
      <c r="L41" s="465" t="s">
        <v>265</v>
      </c>
      <c r="M41" s="54"/>
      <c r="N41" s="42"/>
      <c r="V41" s="38"/>
      <c r="W41" s="57"/>
      <c r="X41" s="455" t="s">
        <v>265</v>
      </c>
      <c r="Y41" s="335"/>
      <c r="Z41" s="335"/>
      <c r="AA41" s="42" t="str">
        <f>IF(S14="","",S14)</f>
        <v>Number of X-ray Tubes:</v>
      </c>
      <c r="AB41" s="617"/>
      <c r="AC41" s="377" t="str">
        <f t="shared" si="11"/>
        <v/>
      </c>
      <c r="AD41" s="691" t="str">
        <f>IF(T14="","",T14)</f>
        <v/>
      </c>
      <c r="AE41" s="379" t="s">
        <v>421</v>
      </c>
      <c r="AG41" s="644"/>
    </row>
    <row r="42" spans="1:36" ht="11.25" customHeight="1">
      <c r="A42" s="418">
        <v>42</v>
      </c>
      <c r="B42" s="54"/>
      <c r="K42" s="58"/>
      <c r="L42" s="465" t="s">
        <v>265</v>
      </c>
      <c r="M42" s="54"/>
      <c r="N42" s="42"/>
      <c r="V42" s="38"/>
      <c r="W42" s="57"/>
      <c r="X42" s="455" t="s">
        <v>265</v>
      </c>
      <c r="Y42" s="335"/>
      <c r="Z42" s="335"/>
      <c r="AA42" s="42" t="str">
        <f>IF(S15="","",S15)</f>
        <v>Accession Number:</v>
      </c>
      <c r="AB42" s="617"/>
      <c r="AC42" s="377" t="str">
        <f t="shared" si="11"/>
        <v/>
      </c>
      <c r="AD42" s="691" t="str">
        <f>IF(T15="","",T15)</f>
        <v/>
      </c>
      <c r="AE42" s="379" t="s">
        <v>6</v>
      </c>
      <c r="AG42" s="644"/>
    </row>
    <row r="43" spans="1:36" ht="11.25" customHeight="1">
      <c r="A43" s="418">
        <v>43</v>
      </c>
      <c r="B43" s="54"/>
      <c r="K43" s="58"/>
      <c r="L43" s="465" t="s">
        <v>265</v>
      </c>
      <c r="M43" s="54"/>
      <c r="N43" s="42"/>
      <c r="V43" s="38"/>
      <c r="W43" s="57"/>
      <c r="X43" s="455" t="s">
        <v>265</v>
      </c>
      <c r="Y43" s="335"/>
      <c r="Z43" s="335"/>
      <c r="AG43" s="644"/>
    </row>
    <row r="44" spans="1:36" ht="11.25" customHeight="1">
      <c r="A44" s="418">
        <v>44</v>
      </c>
      <c r="B44" s="54"/>
      <c r="K44" s="58"/>
      <c r="L44" s="465" t="s">
        <v>265</v>
      </c>
      <c r="M44" s="54"/>
      <c r="N44" s="42"/>
      <c r="V44" s="37"/>
      <c r="W44" s="57"/>
      <c r="X44" s="455" t="s">
        <v>265</v>
      </c>
      <c r="Y44" s="335"/>
      <c r="Z44" s="335"/>
      <c r="AA44" s="115" t="s">
        <v>246</v>
      </c>
      <c r="AB44" s="330"/>
      <c r="AC44" s="377" t="str">
        <f t="shared" ref="AC44:AC55" si="12">IF(AND(OR(AB44="",AB44=0),OR(AD44="",AD44=0)),"",IF(AB44&lt;&gt;AD44,"Change",""))</f>
        <v/>
      </c>
      <c r="AD44" s="579"/>
      <c r="AG44" s="644"/>
    </row>
    <row r="45" spans="1:36" ht="11.25" customHeight="1">
      <c r="A45" s="418">
        <v>45</v>
      </c>
      <c r="B45" s="54"/>
      <c r="K45" s="57"/>
      <c r="L45" s="465" t="s">
        <v>265</v>
      </c>
      <c r="M45" s="54"/>
      <c r="N45" s="42"/>
      <c r="V45" s="37"/>
      <c r="W45" s="57"/>
      <c r="X45" s="455" t="s">
        <v>265</v>
      </c>
      <c r="Y45" s="335"/>
      <c r="Z45" s="335"/>
      <c r="AA45" s="335" t="str">
        <f>IF(S24="","",S24)</f>
        <v>Large:</v>
      </c>
      <c r="AB45" s="618"/>
      <c r="AC45" s="377" t="str">
        <f t="shared" si="12"/>
        <v/>
      </c>
      <c r="AD45" s="630" t="str">
        <f>IF(T24="","",T24)</f>
        <v/>
      </c>
      <c r="AE45" s="379" t="s">
        <v>425</v>
      </c>
      <c r="AG45" s="644"/>
    </row>
    <row r="46" spans="1:36" ht="11.25" customHeight="1">
      <c r="A46" s="418">
        <v>46</v>
      </c>
      <c r="B46" s="54"/>
      <c r="K46" s="57"/>
      <c r="L46" s="465" t="s">
        <v>265</v>
      </c>
      <c r="M46" s="54"/>
      <c r="N46" s="42"/>
      <c r="V46" s="37"/>
      <c r="W46" s="57"/>
      <c r="X46" s="455" t="s">
        <v>265</v>
      </c>
      <c r="Y46" s="335"/>
      <c r="Z46" s="335"/>
      <c r="AA46" s="335" t="str">
        <f>IF(S25="","",S25)</f>
        <v>Small:</v>
      </c>
      <c r="AB46" s="618"/>
      <c r="AC46" s="377" t="str">
        <f t="shared" si="12"/>
        <v/>
      </c>
      <c r="AD46" s="630" t="str">
        <f>IF(T25="","",T25)</f>
        <v/>
      </c>
      <c r="AE46" s="379" t="s">
        <v>426</v>
      </c>
    </row>
    <row r="47" spans="1:36" ht="11.25" customHeight="1" thickBot="1">
      <c r="A47" s="418">
        <v>47</v>
      </c>
      <c r="B47" s="60"/>
      <c r="C47" s="71"/>
      <c r="D47" s="71"/>
      <c r="E47" s="71"/>
      <c r="F47" s="71"/>
      <c r="G47" s="71"/>
      <c r="H47" s="71"/>
      <c r="I47" s="71"/>
      <c r="J47" s="61"/>
      <c r="K47" s="62"/>
      <c r="L47" s="465" t="s">
        <v>265</v>
      </c>
      <c r="M47" s="60"/>
      <c r="N47" s="116"/>
      <c r="O47" s="61"/>
      <c r="P47" s="61"/>
      <c r="Q47" s="61"/>
      <c r="R47" s="117"/>
      <c r="S47" s="61"/>
      <c r="T47" s="118"/>
      <c r="U47" s="118"/>
      <c r="V47" s="118"/>
      <c r="W47" s="62"/>
      <c r="X47" s="455" t="s">
        <v>265</v>
      </c>
      <c r="Y47" s="335"/>
      <c r="Z47" s="38"/>
      <c r="AA47" s="335" t="str">
        <f>IF(S26="","",S26)</f>
        <v>Micro:</v>
      </c>
      <c r="AB47" s="618"/>
      <c r="AC47" s="377" t="str">
        <f t="shared" si="12"/>
        <v/>
      </c>
      <c r="AD47" s="630" t="str">
        <f>IF(T26="","",T26)</f>
        <v/>
      </c>
      <c r="AE47" s="379" t="s">
        <v>427</v>
      </c>
    </row>
    <row r="48" spans="1:36" ht="11.25" customHeight="1" thickTop="1">
      <c r="A48" s="418">
        <v>48</v>
      </c>
      <c r="B48" s="1"/>
      <c r="C48" s="1"/>
      <c r="D48" s="1"/>
      <c r="E48" s="1"/>
      <c r="F48" s="1"/>
      <c r="G48" s="1"/>
      <c r="H48" s="1"/>
      <c r="I48" s="1"/>
      <c r="J48" s="1"/>
      <c r="L48" s="465" t="s">
        <v>265</v>
      </c>
      <c r="M48" s="1"/>
      <c r="N48" s="1"/>
      <c r="O48" s="1"/>
      <c r="P48" s="1"/>
      <c r="Q48" s="1"/>
      <c r="R48" s="1"/>
      <c r="S48" s="1"/>
      <c r="T48" s="1"/>
      <c r="U48" s="1"/>
      <c r="V48" s="1"/>
      <c r="W48" s="1"/>
      <c r="X48" s="455" t="s">
        <v>265</v>
      </c>
      <c r="Y48" s="335"/>
      <c r="Z48" s="37"/>
      <c r="AA48" s="115" t="s">
        <v>254</v>
      </c>
      <c r="AB48" s="330"/>
      <c r="AC48" s="377" t="str">
        <f t="shared" si="12"/>
        <v/>
      </c>
      <c r="AD48" s="579"/>
    </row>
    <row r="49" spans="1:35" ht="11.25" customHeight="1">
      <c r="A49" s="418">
        <v>49</v>
      </c>
      <c r="F49" s="70" t="s">
        <v>266</v>
      </c>
      <c r="L49" s="465" t="s">
        <v>265</v>
      </c>
      <c r="M49" s="37"/>
      <c r="R49" s="70" t="str">
        <f>$F$49</f>
        <v>Inspection Results</v>
      </c>
      <c r="X49" s="455" t="s">
        <v>265</v>
      </c>
      <c r="Y49" s="335"/>
      <c r="Z49" s="37"/>
      <c r="AA49" s="335" t="str">
        <f>IF(S28="","",S28)</f>
        <v>Inherent:</v>
      </c>
      <c r="AB49" s="618"/>
      <c r="AC49" s="377" t="str">
        <f t="shared" si="12"/>
        <v/>
      </c>
      <c r="AD49" s="612" t="str">
        <f>IF(T28="","",T28)</f>
        <v/>
      </c>
      <c r="AE49" s="379" t="s">
        <v>428</v>
      </c>
    </row>
    <row r="50" spans="1:35" ht="11.25" customHeight="1" thickBot="1">
      <c r="A50" s="418">
        <v>50</v>
      </c>
      <c r="L50" s="465" t="s">
        <v>265</v>
      </c>
      <c r="N50" s="75"/>
      <c r="O50" s="75"/>
      <c r="P50" s="1"/>
      <c r="X50" s="455" t="s">
        <v>265</v>
      </c>
      <c r="Y50" s="335"/>
      <c r="Z50" s="37"/>
      <c r="AA50" s="335" t="str">
        <f>IF(S29="","",S29)</f>
        <v>Added:</v>
      </c>
      <c r="AB50" s="618"/>
      <c r="AC50" s="377" t="str">
        <f t="shared" si="12"/>
        <v/>
      </c>
      <c r="AD50" s="612" t="str">
        <f>IF(T29="","",T29)</f>
        <v/>
      </c>
      <c r="AE50" s="379" t="s">
        <v>429</v>
      </c>
    </row>
    <row r="51" spans="1:35" ht="11.25" customHeight="1" thickTop="1">
      <c r="A51" s="418">
        <v>51</v>
      </c>
      <c r="B51" s="52"/>
      <c r="C51" s="100"/>
      <c r="D51" s="100"/>
      <c r="E51" s="100"/>
      <c r="F51" s="100"/>
      <c r="G51" s="100"/>
      <c r="H51" s="100"/>
      <c r="I51" s="100"/>
      <c r="J51" s="100"/>
      <c r="K51" s="53"/>
      <c r="L51" s="465" t="s">
        <v>265</v>
      </c>
      <c r="M51" s="113" t="s">
        <v>270</v>
      </c>
      <c r="N51" s="100"/>
      <c r="O51" s="100"/>
      <c r="P51" s="100"/>
      <c r="Q51" s="100"/>
      <c r="R51" s="100"/>
      <c r="S51" s="100"/>
      <c r="T51" s="100"/>
      <c r="U51" s="100"/>
      <c r="V51" s="100"/>
      <c r="W51" s="53"/>
      <c r="X51" s="455" t="s">
        <v>265</v>
      </c>
      <c r="Y51" s="335"/>
      <c r="Z51" s="37"/>
      <c r="AA51" s="335" t="str">
        <f>IF(S30="","",S30)</f>
        <v/>
      </c>
      <c r="AB51" s="330"/>
      <c r="AC51" s="377" t="str">
        <f t="shared" si="12"/>
        <v/>
      </c>
      <c r="AD51" s="330"/>
    </row>
    <row r="52" spans="1:35" ht="11.25" customHeight="1">
      <c r="A52" s="418">
        <v>52</v>
      </c>
      <c r="B52" s="95" t="s">
        <v>267</v>
      </c>
      <c r="C52" s="111"/>
      <c r="D52" s="37"/>
      <c r="E52" s="37"/>
      <c r="F52" s="87" t="s">
        <v>268</v>
      </c>
      <c r="G52" s="37"/>
      <c r="H52" s="37"/>
      <c r="I52" s="37"/>
      <c r="J52" s="196" t="s">
        <v>269</v>
      </c>
      <c r="K52" s="150"/>
      <c r="L52" s="465" t="s">
        <v>265</v>
      </c>
      <c r="M52" s="536">
        <f>IF(N52&lt;&gt;"",N52,IF(OR(AB56=0,AB56=""),"",AB56))</f>
        <v>2</v>
      </c>
      <c r="N52" s="499">
        <v>2</v>
      </c>
      <c r="O52" s="254" t="s">
        <v>541</v>
      </c>
      <c r="P52" s="37"/>
      <c r="R52" s="496"/>
      <c r="V52" s="37"/>
      <c r="W52" s="57"/>
      <c r="X52" s="455" t="s">
        <v>265</v>
      </c>
      <c r="Y52" s="335"/>
      <c r="Z52" s="37"/>
      <c r="AA52" s="115" t="s">
        <v>260</v>
      </c>
      <c r="AB52" s="330"/>
      <c r="AC52" s="377" t="str">
        <f t="shared" si="12"/>
        <v/>
      </c>
      <c r="AD52" s="579"/>
    </row>
    <row r="53" spans="1:35" ht="11.25" customHeight="1">
      <c r="A53" s="418">
        <v>53</v>
      </c>
      <c r="B53" s="97"/>
      <c r="C53" s="111"/>
      <c r="D53" s="38"/>
      <c r="E53" s="37"/>
      <c r="F53" s="37"/>
      <c r="G53" s="37"/>
      <c r="H53" s="37"/>
      <c r="I53" s="37"/>
      <c r="J53" s="277"/>
      <c r="K53" s="257" t="str">
        <f>IF($M$53=1,"",IF(M55=2,"NO",""))</f>
        <v/>
      </c>
      <c r="L53" s="465" t="s">
        <v>265</v>
      </c>
      <c r="M53" s="692"/>
      <c r="W53" s="59"/>
      <c r="X53" s="455" t="s">
        <v>265</v>
      </c>
      <c r="Y53" s="335"/>
      <c r="Z53" s="37"/>
      <c r="AA53" s="335" t="str">
        <f>IF(S32="","",S32)</f>
        <v>Film:</v>
      </c>
      <c r="AB53" s="617"/>
      <c r="AC53" s="377" t="str">
        <f t="shared" si="12"/>
        <v/>
      </c>
      <c r="AD53" s="612" t="str">
        <f>IF(T32="","",T32)</f>
        <v/>
      </c>
      <c r="AE53" s="379" t="s">
        <v>430</v>
      </c>
    </row>
    <row r="54" spans="1:35" ht="11.25" customHeight="1">
      <c r="A54" s="418">
        <v>54</v>
      </c>
      <c r="B54" s="97" t="s">
        <v>690</v>
      </c>
      <c r="C54" s="111"/>
      <c r="D54" s="38" t="s">
        <v>691</v>
      </c>
      <c r="E54" s="37"/>
      <c r="F54" s="37"/>
      <c r="G54" s="37"/>
      <c r="H54" s="37"/>
      <c r="I54" s="37"/>
      <c r="J54" s="101" t="str">
        <f>IF($M$53=1,$T$52,IF(M56="","TBD",IF(M56=1,"YES",IF(M56=3,"NA",""))))</f>
        <v>TBD</v>
      </c>
      <c r="K54" s="257" t="str">
        <f>IF($M$53=1,"",IF(M56=2,"NO",""))</f>
        <v/>
      </c>
      <c r="L54" s="465" t="s">
        <v>265</v>
      </c>
      <c r="M54" s="110"/>
      <c r="Q54" s="87" t="s">
        <v>268</v>
      </c>
      <c r="T54" s="499">
        <v>1</v>
      </c>
      <c r="U54" s="537">
        <f>IF(T54&lt;&gt;"",T54,IF(OR(AB57=0,AB57=""),"",AB57))</f>
        <v>1</v>
      </c>
      <c r="V54" s="88" t="s">
        <v>271</v>
      </c>
      <c r="W54" s="59"/>
      <c r="X54" s="455" t="s">
        <v>265</v>
      </c>
      <c r="Y54" s="335"/>
      <c r="Z54" s="37"/>
      <c r="AA54" s="335" t="str">
        <f>IF(S33="","",S33)</f>
        <v>Screen:</v>
      </c>
      <c r="AB54" s="617"/>
      <c r="AC54" s="377" t="str">
        <f t="shared" si="12"/>
        <v/>
      </c>
      <c r="AD54" s="612" t="str">
        <f>IF(T33="","",T33)</f>
        <v/>
      </c>
      <c r="AE54" s="379" t="s">
        <v>431</v>
      </c>
    </row>
    <row r="55" spans="1:35" ht="11.25" customHeight="1">
      <c r="A55" s="418">
        <v>55</v>
      </c>
      <c r="B55" s="97" t="s">
        <v>692</v>
      </c>
      <c r="C55" s="111"/>
      <c r="D55" s="38" t="s">
        <v>693</v>
      </c>
      <c r="E55" s="37"/>
      <c r="F55" s="37"/>
      <c r="G55" s="37"/>
      <c r="H55" s="37"/>
      <c r="I55" s="37"/>
      <c r="J55" s="101" t="str">
        <f>IF($M$53=1,$T$52,IF(M57="","TBD",IF(M57=1,"YES",IF(M57=3,"NA",""))))</f>
        <v>TBD</v>
      </c>
      <c r="K55" s="257" t="str">
        <f>IF($M$53=1,"",IF(M57=2,"NO",""))</f>
        <v/>
      </c>
      <c r="L55" s="465" t="s">
        <v>265</v>
      </c>
      <c r="M55" s="423"/>
      <c r="N55" s="38"/>
      <c r="O55" s="38"/>
      <c r="P55" s="37"/>
      <c r="Q55" s="37"/>
      <c r="R55" s="37"/>
      <c r="S55" s="37"/>
      <c r="T55" s="37"/>
      <c r="V55" s="88" t="s">
        <v>272</v>
      </c>
      <c r="W55" s="57"/>
      <c r="X55" s="455" t="s">
        <v>265</v>
      </c>
      <c r="Y55" s="335"/>
      <c r="Z55" s="37"/>
      <c r="AA55" s="335" t="str">
        <f>IF(S34="","",S34)</f>
        <v/>
      </c>
      <c r="AB55" s="330"/>
      <c r="AC55" s="377" t="str">
        <f t="shared" si="12"/>
        <v/>
      </c>
      <c r="AD55" s="330"/>
    </row>
    <row r="56" spans="1:35" ht="11.25" customHeight="1">
      <c r="A56" s="418">
        <v>56</v>
      </c>
      <c r="B56" s="97" t="s">
        <v>694</v>
      </c>
      <c r="C56" s="111"/>
      <c r="D56" s="38" t="s">
        <v>7</v>
      </c>
      <c r="E56" s="37"/>
      <c r="F56" s="37"/>
      <c r="G56" s="37"/>
      <c r="H56" s="37"/>
      <c r="I56" s="37"/>
      <c r="J56" s="101" t="str">
        <f>IF($M$53=1,$T$52,IF(M58="","TBD",IF(M58=1,"YES",IF(M58=3,"NA",""))))</f>
        <v>NA</v>
      </c>
      <c r="K56" s="257" t="str">
        <f>IF($M$53=1,"",IF(M58=2,"NO",""))</f>
        <v/>
      </c>
      <c r="L56" s="465" t="s">
        <v>265</v>
      </c>
      <c r="M56" s="423"/>
      <c r="N56" s="38"/>
      <c r="O56" s="38" t="str">
        <f>IF(M53=1,"","DES registration sticker is present, clearly visible and legible.")</f>
        <v>DES registration sticker is present, clearly visible and legible.</v>
      </c>
      <c r="P56" s="37"/>
      <c r="Q56" s="37"/>
      <c r="R56" s="37"/>
      <c r="S56" s="37"/>
      <c r="T56" s="37"/>
      <c r="V56" s="88" t="s">
        <v>273</v>
      </c>
      <c r="W56" s="57"/>
      <c r="X56" s="455" t="s">
        <v>265</v>
      </c>
      <c r="Y56" s="335"/>
      <c r="Z56" s="37"/>
      <c r="AA56" s="42" t="s">
        <v>542</v>
      </c>
      <c r="AB56" s="618"/>
      <c r="AC56" s="377" t="str">
        <f t="shared" ref="AC56" si="13">IF(AND(OR(AB56="",AB56=0),OR(AD56="",AD56=0)),"",IF(AB56&lt;&gt;AD56,"Change",""))</f>
        <v>Change</v>
      </c>
      <c r="AD56" s="630">
        <f>IF(M52="","",M52)</f>
        <v>2</v>
      </c>
      <c r="AE56" s="379" t="s">
        <v>543</v>
      </c>
    </row>
    <row r="57" spans="1:35" ht="11.25" customHeight="1">
      <c r="A57" s="418">
        <v>57</v>
      </c>
      <c r="B57" s="97" t="s">
        <v>695</v>
      </c>
      <c r="C57" s="111"/>
      <c r="D57" s="38" t="s">
        <v>274</v>
      </c>
      <c r="E57" s="37"/>
      <c r="F57" s="37"/>
      <c r="G57" s="37"/>
      <c r="H57" s="37"/>
      <c r="I57" s="37"/>
      <c r="J57" s="101" t="str">
        <f>IF($M$53=1,$T$52,IF(M59="","TBD",IF(M59=1,"YES",IF(M59=3,"NA",""))))</f>
        <v>TBD</v>
      </c>
      <c r="K57" s="257" t="str">
        <f>IF($M$53=1,"",IF(M59=2,"NO",""))</f>
        <v/>
      </c>
      <c r="L57" s="465" t="s">
        <v>265</v>
      </c>
      <c r="M57" s="423"/>
      <c r="N57" s="38"/>
      <c r="O57" s="38" t="str">
        <f>IF(M53=1,"","DES form SC-RHA-20 ""Notice to Employees"" posted or referenced.")</f>
        <v>DES form SC-RHA-20 "Notice to Employees" posted or referenced.</v>
      </c>
      <c r="P57" s="37"/>
      <c r="Q57" s="37"/>
      <c r="R57" s="37"/>
      <c r="S57" s="37"/>
      <c r="T57" s="37"/>
      <c r="U57" s="38" t="s">
        <v>275</v>
      </c>
      <c r="V57" s="37"/>
      <c r="W57" s="57"/>
      <c r="X57" s="455" t="s">
        <v>265</v>
      </c>
      <c r="Y57" s="335"/>
      <c r="Z57" s="37"/>
      <c r="AA57" s="42" t="s">
        <v>288</v>
      </c>
      <c r="AB57" s="618"/>
      <c r="AC57" s="377" t="str">
        <f>IF(AND(OR(AB57="",AB57=0),OR(AD57="",AD57=0)),"",IF(AB57&lt;&gt;AD57,"Change",""))</f>
        <v>Change</v>
      </c>
      <c r="AD57" s="630">
        <f>IF(U54="","",U54)</f>
        <v>1</v>
      </c>
      <c r="AE57" s="379" t="s">
        <v>432</v>
      </c>
      <c r="AH57"/>
      <c r="AI57"/>
    </row>
    <row r="58" spans="1:35" ht="11.25" customHeight="1" thickBot="1">
      <c r="A58" s="418">
        <v>58</v>
      </c>
      <c r="B58" s="97" t="s">
        <v>696</v>
      </c>
      <c r="C58" s="111"/>
      <c r="D58" s="38" t="s">
        <v>276</v>
      </c>
      <c r="E58" s="37"/>
      <c r="F58" s="37"/>
      <c r="G58" s="37"/>
      <c r="H58" s="279" t="s">
        <v>277</v>
      </c>
      <c r="I58" s="675" t="str">
        <f>IF(O60="","",O60)</f>
        <v/>
      </c>
      <c r="J58" s="101" t="str">
        <f>IF(M60="","TBD",IF(M60=1,"YES",IF(M60=3,"NA","")))</f>
        <v>NA</v>
      </c>
      <c r="K58" s="257" t="str">
        <f>IF(M60=2,"NO","")</f>
        <v/>
      </c>
      <c r="L58" s="465" t="s">
        <v>265</v>
      </c>
      <c r="M58" s="423">
        <v>3</v>
      </c>
      <c r="N58" s="37"/>
      <c r="O58" s="38" t="s">
        <v>7</v>
      </c>
      <c r="P58" s="37"/>
      <c r="Q58" s="37"/>
      <c r="R58" s="37"/>
      <c r="S58" s="37"/>
      <c r="T58" s="37"/>
      <c r="U58" s="38" t="s">
        <v>278</v>
      </c>
      <c r="V58" s="37"/>
      <c r="W58" s="57"/>
      <c r="X58" s="455" t="s">
        <v>265</v>
      </c>
      <c r="Y58" s="335"/>
      <c r="Z58" s="37"/>
      <c r="AE58"/>
      <c r="AH58"/>
      <c r="AI58"/>
    </row>
    <row r="59" spans="1:35" ht="11.25" customHeight="1" thickTop="1">
      <c r="A59" s="418">
        <v>59</v>
      </c>
      <c r="B59" s="97" t="s">
        <v>508</v>
      </c>
      <c r="C59" s="111"/>
      <c r="D59" s="38" t="s">
        <v>279</v>
      </c>
      <c r="E59" s="37"/>
      <c r="F59" s="37"/>
      <c r="G59" s="37"/>
      <c r="H59" s="280" t="s">
        <v>277</v>
      </c>
      <c r="I59" s="675" t="str">
        <f>IF(O61="","",O61)</f>
        <v/>
      </c>
      <c r="J59" s="101" t="str">
        <f>IF(M61="","TBD",IF(M61=1,"YES",IF(M61=3,"NA","")))</f>
        <v>NA</v>
      </c>
      <c r="K59" s="257" t="str">
        <f>IF(M61=2,"NO","")</f>
        <v/>
      </c>
      <c r="L59" s="465" t="s">
        <v>265</v>
      </c>
      <c r="M59" s="423"/>
      <c r="N59" s="38"/>
      <c r="O59" s="38" t="str">
        <f>IF(M53=1,"","Radiation warning label present on the generator control panel.")</f>
        <v>Radiation warning label present on the generator control panel.</v>
      </c>
      <c r="P59" s="37"/>
      <c r="Q59" s="37"/>
      <c r="R59" s="37"/>
      <c r="S59" s="37"/>
      <c r="T59" s="37"/>
      <c r="U59" s="538">
        <f>IF(U68&lt;&gt;"",U68,IF(AB222="",1,AB222))</f>
        <v>1</v>
      </c>
      <c r="V59" s="539">
        <f>IF(V68&lt;&gt;"",V68,IF(AB230="",2,AB230))</f>
        <v>2</v>
      </c>
      <c r="W59" s="365"/>
      <c r="X59" s="455" t="s">
        <v>265</v>
      </c>
      <c r="Y59" s="335"/>
      <c r="Z59" s="37"/>
      <c r="AA59" s="115" t="s">
        <v>286</v>
      </c>
      <c r="AB59" s="330"/>
      <c r="AC59" s="377" t="str">
        <f t="shared" ref="AC59:AC67" si="14">IF(AND(OR(AB59="",AB59=0),OR(AD59="",AD59=0)),"",IF(AB59&lt;&gt;AD59,"Change",""))</f>
        <v/>
      </c>
      <c r="AD59" s="330"/>
      <c r="AH59"/>
      <c r="AI59"/>
    </row>
    <row r="60" spans="1:35" ht="11.25" customHeight="1">
      <c r="A60" s="418">
        <v>60</v>
      </c>
      <c r="B60" s="97"/>
      <c r="C60" s="111"/>
      <c r="D60" s="38" t="s">
        <v>280</v>
      </c>
      <c r="E60" s="37"/>
      <c r="F60" s="37"/>
      <c r="G60" s="37"/>
      <c r="H60" s="37"/>
      <c r="I60" s="37"/>
      <c r="J60" s="101" t="str">
        <f>IF(M62="","TBD",IF(M62=1,"YES",IF(M62=3,"NA","")))</f>
        <v>NA</v>
      </c>
      <c r="K60" s="257" t="str">
        <f>IF(M62=2,"NO","")</f>
        <v/>
      </c>
      <c r="L60" s="465" t="s">
        <v>265</v>
      </c>
      <c r="M60" s="423">
        <v>3</v>
      </c>
      <c r="N60" s="42" t="s">
        <v>277</v>
      </c>
      <c r="O60" s="676"/>
      <c r="P60" s="38" t="s">
        <v>281</v>
      </c>
      <c r="Q60" s="37"/>
      <c r="R60" s="37"/>
      <c r="S60" s="37"/>
      <c r="T60" s="37"/>
      <c r="U60" s="540" t="str">
        <f>IF(U69&lt;&gt;"",U69,IF(AB223="","AP",AB223))</f>
        <v>AP</v>
      </c>
      <c r="V60" s="541">
        <f>IF(V69&lt;&gt;"",V69,IF(AB231="",3,AB231))</f>
        <v>3</v>
      </c>
      <c r="W60" s="365"/>
      <c r="X60" s="455" t="s">
        <v>265</v>
      </c>
      <c r="Y60" s="335"/>
      <c r="Z60" s="37"/>
      <c r="AA60" s="37" t="s">
        <v>289</v>
      </c>
      <c r="AB60" s="618"/>
      <c r="AC60" s="377" t="str">
        <f t="shared" si="14"/>
        <v>Change</v>
      </c>
      <c r="AD60" s="631">
        <f>M175</f>
        <v>1</v>
      </c>
      <c r="AE60" s="381" t="s">
        <v>211</v>
      </c>
      <c r="AH60"/>
      <c r="AI60"/>
    </row>
    <row r="61" spans="1:35" ht="11.25" customHeight="1">
      <c r="A61" s="418">
        <v>61</v>
      </c>
      <c r="B61" s="97"/>
      <c r="C61" s="111"/>
      <c r="D61" s="38" t="s">
        <v>282</v>
      </c>
      <c r="E61" s="37"/>
      <c r="F61" s="37"/>
      <c r="G61" s="37"/>
      <c r="H61" s="37"/>
      <c r="I61" s="37"/>
      <c r="J61" s="101" t="str">
        <f>IF(M63="","TBD",IF(M63=1,"YES",IF(M63=3,"NA","")))</f>
        <v>NA</v>
      </c>
      <c r="K61" s="257" t="str">
        <f>IF(M63=2,"NO","")</f>
        <v/>
      </c>
      <c r="L61" s="465" t="s">
        <v>265</v>
      </c>
      <c r="M61" s="423">
        <v>3</v>
      </c>
      <c r="N61" s="42" t="s">
        <v>277</v>
      </c>
      <c r="O61" s="676"/>
      <c r="P61" s="38" t="s">
        <v>283</v>
      </c>
      <c r="Q61" s="37"/>
      <c r="R61" s="37"/>
      <c r="S61" s="37"/>
      <c r="T61" s="37"/>
      <c r="U61" s="540" t="str">
        <f>IF(U70&lt;&gt;"",U70,IF(AB224="","Front",AB224))</f>
        <v>Front</v>
      </c>
      <c r="V61" s="541" t="str">
        <f>IF(V70&lt;&gt;"",V70,IF(AB232="","Lat",AB232))</f>
        <v>Lat</v>
      </c>
      <c r="W61" s="365"/>
      <c r="X61" s="455" t="s">
        <v>265</v>
      </c>
      <c r="Y61" s="335"/>
      <c r="Z61" s="37"/>
      <c r="AA61" s="42" t="s">
        <v>290</v>
      </c>
      <c r="AB61" s="618"/>
      <c r="AC61" s="377" t="str">
        <f t="shared" si="14"/>
        <v>Change</v>
      </c>
      <c r="AD61" s="631">
        <f>M176</f>
        <v>2</v>
      </c>
      <c r="AE61" s="381" t="s">
        <v>212</v>
      </c>
      <c r="AH61"/>
      <c r="AI61"/>
    </row>
    <row r="62" spans="1:35" ht="11.25" customHeight="1">
      <c r="A62" s="418">
        <v>62</v>
      </c>
      <c r="B62" s="97"/>
      <c r="C62" s="111"/>
      <c r="D62" s="38" t="s">
        <v>284</v>
      </c>
      <c r="E62" s="37"/>
      <c r="F62" s="37"/>
      <c r="G62" s="37"/>
      <c r="H62" s="37"/>
      <c r="I62" s="37"/>
      <c r="J62" s="101" t="str">
        <f>IF($M$53=1,$T$52,IF(M64="","TBD",IF(M64=1,"YES",IF(M64=3,"NA",""))))</f>
        <v>TBD</v>
      </c>
      <c r="K62" s="257" t="str">
        <f>IF($M$53=1,"",IF(M64=2,"NO",""))</f>
        <v/>
      </c>
      <c r="L62" s="465" t="s">
        <v>265</v>
      </c>
      <c r="M62" s="423">
        <v>3</v>
      </c>
      <c r="N62" s="38"/>
      <c r="O62" s="38" t="s">
        <v>280</v>
      </c>
      <c r="P62" s="37"/>
      <c r="Q62" s="37"/>
      <c r="R62" s="37"/>
      <c r="S62" s="37"/>
      <c r="T62" s="37"/>
      <c r="U62" s="540" t="str">
        <f>IF(U71&lt;&gt;"",U71,IF(AB225="","Frontal",AB225))</f>
        <v>Frontal</v>
      </c>
      <c r="V62" s="541" t="str">
        <f>IF(V71&lt;&gt;"",V71,IF(AB233="","Lateral",AB233))</f>
        <v>Lateral</v>
      </c>
      <c r="W62" s="365"/>
      <c r="X62" s="455" t="s">
        <v>265</v>
      </c>
      <c r="Y62" s="335"/>
      <c r="Z62" s="37"/>
      <c r="AA62" s="335"/>
      <c r="AB62" s="330"/>
      <c r="AC62" s="377" t="str">
        <f t="shared" si="14"/>
        <v/>
      </c>
      <c r="AD62" s="330"/>
      <c r="AH62"/>
      <c r="AI62"/>
    </row>
    <row r="63" spans="1:35" ht="11.25" customHeight="1">
      <c r="A63" s="418">
        <v>63</v>
      </c>
      <c r="B63" s="97"/>
      <c r="C63" s="111"/>
      <c r="D63" s="38" t="s">
        <v>285</v>
      </c>
      <c r="E63" s="37"/>
      <c r="F63" s="37"/>
      <c r="G63" s="37"/>
      <c r="H63" s="37"/>
      <c r="I63" s="37"/>
      <c r="J63" s="101" t="str">
        <f>IF($M$53=1,$T$52,IF(M65="","TBD",IF(M65=1,"YES",IF(M65=3,"NA",""))))</f>
        <v>TBD</v>
      </c>
      <c r="K63" s="257" t="str">
        <f>IF($M$53=1,"",IF(M65=2,"NO",""))</f>
        <v/>
      </c>
      <c r="L63" s="465" t="s">
        <v>265</v>
      </c>
      <c r="M63" s="423">
        <v>3</v>
      </c>
      <c r="N63" s="37"/>
      <c r="O63" s="38" t="s">
        <v>282</v>
      </c>
      <c r="P63" s="37"/>
      <c r="Q63" s="37"/>
      <c r="R63" s="37"/>
      <c r="S63" s="37"/>
      <c r="T63" s="37"/>
      <c r="U63" s="540" t="str">
        <f>IF(U72&lt;&gt;"",U72,IF(AB226="","Ceph",AB226))</f>
        <v>Ceph</v>
      </c>
      <c r="V63" s="541" t="str">
        <f>IF(V72&lt;&gt;"",V72,IF(AB234="","Pan",AB234))</f>
        <v>Pan</v>
      </c>
      <c r="W63" s="365"/>
      <c r="X63" s="455" t="s">
        <v>265</v>
      </c>
      <c r="Y63" s="335"/>
      <c r="Z63" s="37"/>
      <c r="AA63" s="42" t="s">
        <v>294</v>
      </c>
      <c r="AB63" s="619"/>
      <c r="AC63" s="377" t="str">
        <f t="shared" si="14"/>
        <v>Change</v>
      </c>
      <c r="AD63" s="633">
        <f>M179</f>
        <v>100</v>
      </c>
      <c r="AE63" s="379" t="s">
        <v>213</v>
      </c>
      <c r="AH63"/>
      <c r="AI63"/>
    </row>
    <row r="64" spans="1:35" ht="11.25" customHeight="1" thickBot="1">
      <c r="A64" s="418">
        <v>64</v>
      </c>
      <c r="B64" s="86"/>
      <c r="C64" s="71"/>
      <c r="D64" s="71"/>
      <c r="E64" s="71"/>
      <c r="F64" s="71"/>
      <c r="G64" s="71"/>
      <c r="H64" s="71"/>
      <c r="I64" s="71"/>
      <c r="J64" s="122"/>
      <c r="K64" s="447"/>
      <c r="L64" s="465" t="s">
        <v>265</v>
      </c>
      <c r="M64" s="423"/>
      <c r="N64" s="38"/>
      <c r="O64" s="38" t="str">
        <f>IF(M53=1,"","Operators manuals are available.")</f>
        <v>Operators manuals are available.</v>
      </c>
      <c r="P64" s="37"/>
      <c r="Q64" s="37"/>
      <c r="R64" s="37"/>
      <c r="S64" s="37"/>
      <c r="T64" s="37"/>
      <c r="U64" s="540" t="str">
        <f>IF(U73&lt;&gt;"",U73,IF(AB227="","Mobile",AB227))</f>
        <v>Mobile</v>
      </c>
      <c r="V64" s="541" t="str">
        <f>IF(V73&lt;&gt;"",V73,IF(AB235="","BCM",AB235))</f>
        <v>BCM</v>
      </c>
      <c r="W64" s="365"/>
      <c r="X64" s="455" t="s">
        <v>265</v>
      </c>
      <c r="Y64" s="335"/>
      <c r="Z64" s="37"/>
      <c r="AA64" s="42" t="s">
        <v>295</v>
      </c>
      <c r="AB64" s="619"/>
      <c r="AC64" s="377" t="str">
        <f t="shared" si="14"/>
        <v>Change</v>
      </c>
      <c r="AD64" s="633">
        <f>M180</f>
        <v>50</v>
      </c>
      <c r="AE64" s="379" t="s">
        <v>214</v>
      </c>
    </row>
    <row r="65" spans="1:33" ht="11.25" customHeight="1" thickTop="1" thickBot="1">
      <c r="A65" s="418">
        <v>65</v>
      </c>
      <c r="B65" s="40" t="s">
        <v>227</v>
      </c>
      <c r="C65" s="674" t="str">
        <f>IF($O$8="","",$O$8)</f>
        <v/>
      </c>
      <c r="G65" t="str">
        <f>""</f>
        <v/>
      </c>
      <c r="H65" t="str">
        <f>""</f>
        <v/>
      </c>
      <c r="I65" s="40" t="s">
        <v>228</v>
      </c>
      <c r="J65" s="303" t="str">
        <f>IF($V$8="","",$V$8)</f>
        <v>Eugene Mah</v>
      </c>
      <c r="L65" s="465" t="s">
        <v>265</v>
      </c>
      <c r="M65" s="423"/>
      <c r="N65" s="37"/>
      <c r="O65" s="38" t="str">
        <f>IF(M53=1,"","Monthly radiation monitoring reports are posted.")</f>
        <v>Monthly radiation monitoring reports are posted.</v>
      </c>
      <c r="P65" s="37"/>
      <c r="Q65" s="37"/>
      <c r="R65" s="37"/>
      <c r="S65" s="37"/>
      <c r="T65" s="37"/>
      <c r="U65" s="542" t="str">
        <f>IF(U74&lt;&gt;"",U74,IF(AB228="","",AB228))</f>
        <v/>
      </c>
      <c r="V65" s="543" t="str">
        <f>IF(V74&lt;&gt;"",V74,IF(AB236="","",AB236))</f>
        <v/>
      </c>
      <c r="W65" s="365"/>
      <c r="X65" s="455" t="s">
        <v>265</v>
      </c>
      <c r="Y65" s="335"/>
      <c r="Z65" s="37"/>
      <c r="AA65" s="38"/>
      <c r="AB65" s="330"/>
      <c r="AC65" s="377" t="str">
        <f t="shared" si="14"/>
        <v/>
      </c>
      <c r="AD65" s="330"/>
    </row>
    <row r="66" spans="1:33" ht="11.25" customHeight="1" thickTop="1" thickBot="1">
      <c r="A66" s="418">
        <v>66</v>
      </c>
      <c r="B66" s="40" t="s">
        <v>238</v>
      </c>
      <c r="C66" s="271" t="str">
        <f>IF($P$15="","",$P$15&amp;IF(U54="",""," - Tube "&amp;U54))</f>
        <v/>
      </c>
      <c r="I66" s="40" t="s">
        <v>506</v>
      </c>
      <c r="J66" s="615" t="str">
        <f>IF($E$14="","",$E$14)</f>
        <v/>
      </c>
      <c r="L66" s="465" t="s">
        <v>265</v>
      </c>
      <c r="M66" s="60"/>
      <c r="N66" s="71"/>
      <c r="O66" s="71"/>
      <c r="P66" s="71"/>
      <c r="Q66" s="71"/>
      <c r="R66" s="71"/>
      <c r="S66" s="71"/>
      <c r="T66" s="71"/>
      <c r="U66" s="366"/>
      <c r="V66" s="366"/>
      <c r="W66" s="367"/>
      <c r="X66" s="455" t="s">
        <v>265</v>
      </c>
      <c r="Y66" s="335"/>
      <c r="Z66" s="37"/>
      <c r="AA66" s="335" t="s">
        <v>296</v>
      </c>
      <c r="AB66" s="714"/>
      <c r="AC66" s="377" t="str">
        <f t="shared" si="14"/>
        <v>Change</v>
      </c>
      <c r="AD66" s="630" t="str">
        <f>V182</f>
        <v>cm</v>
      </c>
      <c r="AE66" s="379" t="s">
        <v>433</v>
      </c>
    </row>
    <row r="67" spans="1:33" ht="11.25" customHeight="1" thickTop="1">
      <c r="A67" s="418">
        <v>1</v>
      </c>
      <c r="K67" s="114" t="str">
        <f>$F$2</f>
        <v>Medical University of South Carolina</v>
      </c>
      <c r="L67" s="465" t="s">
        <v>265</v>
      </c>
      <c r="U67" s="849" t="s">
        <v>192</v>
      </c>
      <c r="V67" s="850"/>
      <c r="X67" s="455" t="s">
        <v>265</v>
      </c>
      <c r="Y67" s="335"/>
      <c r="Z67" s="43"/>
      <c r="AA67" s="335" t="s">
        <v>297</v>
      </c>
      <c r="AB67" s="619"/>
      <c r="AC67" s="377" t="str">
        <f t="shared" si="14"/>
        <v>Change</v>
      </c>
      <c r="AD67" s="633">
        <f>U182</f>
        <v>150</v>
      </c>
      <c r="AE67" s="379" t="s">
        <v>434</v>
      </c>
    </row>
    <row r="68" spans="1:33" ht="11.25" customHeight="1">
      <c r="A68" s="418">
        <v>2</v>
      </c>
      <c r="F68" s="70" t="str">
        <f>$F$49</f>
        <v>Inspection Results</v>
      </c>
      <c r="K68" s="115" t="str">
        <f>$F$5</f>
        <v>Radiation Oncology IGRT Compliance Inspection</v>
      </c>
      <c r="L68" s="465" t="s">
        <v>265</v>
      </c>
      <c r="U68" s="485"/>
      <c r="V68" s="486"/>
      <c r="X68" s="455" t="s">
        <v>265</v>
      </c>
      <c r="Y68" s="335"/>
      <c r="Z68" s="37"/>
    </row>
    <row r="69" spans="1:33" ht="11.25" customHeight="1" thickBot="1">
      <c r="A69" s="418">
        <v>3</v>
      </c>
      <c r="K69" s="115"/>
      <c r="L69" s="465" t="s">
        <v>265</v>
      </c>
      <c r="P69" s="586"/>
      <c r="U69" s="481"/>
      <c r="V69" s="482"/>
      <c r="X69" s="455" t="s">
        <v>265</v>
      </c>
      <c r="Y69" s="335"/>
      <c r="Z69" s="37"/>
      <c r="AA69" s="115" t="s">
        <v>570</v>
      </c>
    </row>
    <row r="70" spans="1:33" ht="11.25" customHeight="1" thickTop="1">
      <c r="A70" s="418">
        <v>4</v>
      </c>
      <c r="B70" s="67"/>
      <c r="C70" s="50"/>
      <c r="D70" s="50"/>
      <c r="E70" s="50"/>
      <c r="F70" s="50"/>
      <c r="G70" s="50"/>
      <c r="H70" s="50"/>
      <c r="I70" s="50"/>
      <c r="J70" s="50"/>
      <c r="K70" s="68"/>
      <c r="L70" s="465" t="s">
        <v>265</v>
      </c>
      <c r="U70" s="481"/>
      <c r="V70" s="482"/>
      <c r="X70" s="455" t="s">
        <v>265</v>
      </c>
      <c r="Y70" s="335"/>
      <c r="Z70" s="37"/>
      <c r="AA70" s="42" t="s">
        <v>571</v>
      </c>
      <c r="AB70" s="619"/>
      <c r="AC70" s="377" t="str">
        <f t="shared" ref="AC70:AC73" si="15">IF(AND(OR(AB70="",AB70=0),OR(AD70="",AD70=0)),"",IF(AB70&lt;&gt;AD70,"Change",""))</f>
        <v>Change</v>
      </c>
      <c r="AD70" s="633">
        <f>O189</f>
        <v>5</v>
      </c>
      <c r="AE70" s="379" t="s">
        <v>575</v>
      </c>
    </row>
    <row r="71" spans="1:33" ht="11.25" customHeight="1">
      <c r="A71" s="418">
        <v>5</v>
      </c>
      <c r="B71" s="110"/>
      <c r="F71" s="87" t="s">
        <v>293</v>
      </c>
      <c r="J71" s="847" t="s">
        <v>269</v>
      </c>
      <c r="K71" s="848"/>
      <c r="L71" s="465" t="s">
        <v>265</v>
      </c>
      <c r="U71" s="481"/>
      <c r="V71" s="482"/>
      <c r="X71" s="455" t="s">
        <v>265</v>
      </c>
      <c r="Y71" s="335"/>
      <c r="Z71" s="37"/>
      <c r="AA71" s="42" t="s">
        <v>572</v>
      </c>
      <c r="AB71" s="619"/>
      <c r="AC71" s="377" t="str">
        <f t="shared" si="15"/>
        <v>Change</v>
      </c>
      <c r="AD71" s="633">
        <f>P189</f>
        <v>5</v>
      </c>
      <c r="AE71" s="379" t="s">
        <v>576</v>
      </c>
    </row>
    <row r="72" spans="1:33" ht="11.25" customHeight="1">
      <c r="A72" s="418">
        <v>6</v>
      </c>
      <c r="B72" s="97" t="s">
        <v>697</v>
      </c>
      <c r="C72" s="111"/>
      <c r="D72" s="38" t="str">
        <f t="shared" ref="D72:D78" si="16">D583</f>
        <v>Means are provided to indicate technique factors prior to exposure.</v>
      </c>
      <c r="E72" s="37"/>
      <c r="F72" s="37"/>
      <c r="G72" s="37"/>
      <c r="H72" s="37"/>
      <c r="I72" s="37"/>
      <c r="J72" s="101" t="str">
        <f t="shared" ref="J72:J78" si="17">IF($M$53=1,$T$52,J583)</f>
        <v>TBD</v>
      </c>
      <c r="K72" s="257" t="str">
        <f t="shared" ref="K72:K78" si="18">IF($M$53=1,"",K583)</f>
        <v/>
      </c>
      <c r="L72" s="465" t="s">
        <v>265</v>
      </c>
      <c r="U72" s="481"/>
      <c r="V72" s="482"/>
      <c r="X72" s="455" t="s">
        <v>265</v>
      </c>
      <c r="Y72" s="335"/>
      <c r="Z72" s="37"/>
      <c r="AA72" s="42" t="s">
        <v>573</v>
      </c>
      <c r="AB72" s="619"/>
      <c r="AC72" s="377" t="str">
        <f t="shared" si="15"/>
        <v>Change</v>
      </c>
      <c r="AD72" s="633">
        <f>O190</f>
        <v>10</v>
      </c>
      <c r="AE72" s="379" t="s">
        <v>577</v>
      </c>
    </row>
    <row r="73" spans="1:33" ht="11.25" customHeight="1">
      <c r="A73" s="418">
        <v>7</v>
      </c>
      <c r="B73" s="97"/>
      <c r="C73" s="41"/>
      <c r="D73" s="38" t="str">
        <f t="shared" si="16"/>
        <v>All technique indicators functional and are free of excessive wear.</v>
      </c>
      <c r="F73" s="37"/>
      <c r="G73" s="37"/>
      <c r="H73" s="37"/>
      <c r="I73" s="37"/>
      <c r="J73" s="101" t="str">
        <f t="shared" si="17"/>
        <v>TBD</v>
      </c>
      <c r="K73" s="257" t="str">
        <f t="shared" si="18"/>
        <v/>
      </c>
      <c r="L73" s="465" t="s">
        <v>265</v>
      </c>
      <c r="U73" s="481"/>
      <c r="V73" s="482"/>
      <c r="X73" s="455" t="s">
        <v>265</v>
      </c>
      <c r="Y73" s="335"/>
      <c r="Z73" s="37"/>
      <c r="AA73" s="42" t="s">
        <v>574</v>
      </c>
      <c r="AB73" s="619"/>
      <c r="AC73" s="377" t="str">
        <f t="shared" si="15"/>
        <v>Change</v>
      </c>
      <c r="AD73" s="633">
        <f>P190</f>
        <v>10</v>
      </c>
      <c r="AE73" s="379" t="s">
        <v>578</v>
      </c>
    </row>
    <row r="74" spans="1:33" ht="11.25" customHeight="1" thickBot="1">
      <c r="A74" s="418">
        <v>8</v>
      </c>
      <c r="B74" s="97"/>
      <c r="C74" s="41"/>
      <c r="D74" s="38" t="str">
        <f t="shared" si="16"/>
        <v>Technique overload circuits function to block excessive technique.</v>
      </c>
      <c r="F74" s="37"/>
      <c r="G74" s="37"/>
      <c r="H74" s="37"/>
      <c r="I74" s="37"/>
      <c r="J74" s="101" t="str">
        <f t="shared" si="17"/>
        <v>TBD</v>
      </c>
      <c r="K74" s="257" t="str">
        <f t="shared" si="18"/>
        <v/>
      </c>
      <c r="L74" s="465" t="s">
        <v>265</v>
      </c>
      <c r="U74" s="483"/>
      <c r="V74" s="484"/>
      <c r="X74" s="455" t="s">
        <v>265</v>
      </c>
      <c r="Y74" s="335"/>
      <c r="Z74" s="37"/>
    </row>
    <row r="75" spans="1:33" ht="11.25" customHeight="1" thickTop="1">
      <c r="A75" s="418">
        <v>9</v>
      </c>
      <c r="B75" s="97"/>
      <c r="C75" s="41"/>
      <c r="D75" s="38" t="str">
        <f t="shared" si="16"/>
        <v>Anode heat calculator/indicator is functioning properly.</v>
      </c>
      <c r="F75" s="37"/>
      <c r="G75" s="37"/>
      <c r="H75" s="37"/>
      <c r="I75" s="37"/>
      <c r="J75" s="101" t="str">
        <f t="shared" si="17"/>
        <v>NA</v>
      </c>
      <c r="K75" s="257" t="str">
        <f t="shared" si="18"/>
        <v/>
      </c>
      <c r="L75" s="465" t="s">
        <v>265</v>
      </c>
      <c r="X75" s="455" t="s">
        <v>265</v>
      </c>
      <c r="Y75" s="335"/>
      <c r="Z75" s="37"/>
      <c r="AA75" s="115" t="s">
        <v>319</v>
      </c>
      <c r="AB75" s="330"/>
      <c r="AC75" s="377" t="str">
        <f t="shared" ref="AC75:AC105" si="19">IF(AND(OR(AB75="",AB75=0),OR(AD75="",AD75=0)),"",IF(AB75&lt;&gt;AD75,"Change",""))</f>
        <v/>
      </c>
      <c r="AD75" s="335"/>
    </row>
    <row r="76" spans="1:33" ht="11.25" customHeight="1">
      <c r="A76" s="418">
        <v>10</v>
      </c>
      <c r="B76" s="97" t="s">
        <v>698</v>
      </c>
      <c r="C76" s="41"/>
      <c r="D76" s="38" t="str">
        <f t="shared" si="16"/>
        <v xml:space="preserve">Indicator of the individual x-ray tube selected present and operational. </v>
      </c>
      <c r="F76" s="37"/>
      <c r="G76" s="37"/>
      <c r="H76" s="37"/>
      <c r="I76" s="37"/>
      <c r="J76" s="101" t="str">
        <f t="shared" si="17"/>
        <v>TBD</v>
      </c>
      <c r="K76" s="257" t="str">
        <f t="shared" si="18"/>
        <v/>
      </c>
      <c r="L76" s="465" t="s">
        <v>265</v>
      </c>
      <c r="R76" s="151" t="s">
        <v>376</v>
      </c>
      <c r="X76" s="455" t="s">
        <v>265</v>
      </c>
      <c r="Y76" s="335"/>
      <c r="Z76" s="37" t="s">
        <v>320</v>
      </c>
      <c r="AA76" s="335" t="s">
        <v>321</v>
      </c>
      <c r="AB76" s="714"/>
      <c r="AC76" s="377" t="str">
        <f t="shared" si="19"/>
        <v>Change</v>
      </c>
      <c r="AD76" s="630" t="str">
        <f>P207</f>
        <v>mAs</v>
      </c>
      <c r="AE76" s="379" t="s">
        <v>547</v>
      </c>
    </row>
    <row r="77" spans="1:33" ht="11.25" customHeight="1" thickBot="1">
      <c r="A77" s="418">
        <v>11</v>
      </c>
      <c r="B77" s="97" t="s">
        <v>699</v>
      </c>
      <c r="C77" s="41"/>
      <c r="D77" s="38" t="str">
        <f t="shared" si="16"/>
        <v>Visible "beam on" indicator present and operational.</v>
      </c>
      <c r="F77" s="37"/>
      <c r="G77" s="37"/>
      <c r="H77" s="37"/>
      <c r="I77" s="37"/>
      <c r="J77" s="101" t="str">
        <f t="shared" si="17"/>
        <v>TBD</v>
      </c>
      <c r="K77" s="257" t="str">
        <f t="shared" si="18"/>
        <v/>
      </c>
      <c r="L77" s="465" t="s">
        <v>265</v>
      </c>
      <c r="N77" s="118" t="s">
        <v>187</v>
      </c>
      <c r="X77" s="455" t="s">
        <v>265</v>
      </c>
      <c r="Y77" s="335"/>
      <c r="Z77" s="37"/>
      <c r="AA77" s="335" t="s">
        <v>298</v>
      </c>
      <c r="AB77" s="618"/>
      <c r="AC77" s="377" t="str">
        <f t="shared" si="19"/>
        <v/>
      </c>
      <c r="AD77" s="631" t="str">
        <f>O209</f>
        <v/>
      </c>
      <c r="AE77" s="379" t="s">
        <v>464</v>
      </c>
      <c r="AF77" s="457"/>
      <c r="AG77" s="457"/>
    </row>
    <row r="78" spans="1:33" ht="11.25" customHeight="1" thickTop="1">
      <c r="A78" s="418">
        <v>12</v>
      </c>
      <c r="B78" s="97" t="s">
        <v>700</v>
      </c>
      <c r="C78" s="41"/>
      <c r="D78" s="38" t="str">
        <f t="shared" si="16"/>
        <v>Audible exposure end indicator present and operational.</v>
      </c>
      <c r="F78" s="37"/>
      <c r="G78" s="37"/>
      <c r="H78" s="37"/>
      <c r="I78" s="37"/>
      <c r="J78" s="101" t="str">
        <f t="shared" si="17"/>
        <v>TBD</v>
      </c>
      <c r="K78" s="257" t="str">
        <f t="shared" si="18"/>
        <v/>
      </c>
      <c r="L78" s="465" t="s">
        <v>265</v>
      </c>
      <c r="M78" s="67"/>
      <c r="N78" s="50"/>
      <c r="O78" s="50"/>
      <c r="P78" s="317"/>
      <c r="Q78" s="471" t="s">
        <v>215</v>
      </c>
      <c r="R78" s="50"/>
      <c r="S78" s="50"/>
      <c r="T78" s="50"/>
      <c r="U78" s="50"/>
      <c r="V78" s="50"/>
      <c r="W78" s="68"/>
      <c r="X78" s="455" t="s">
        <v>265</v>
      </c>
      <c r="Y78" s="335"/>
      <c r="Z78" s="37"/>
      <c r="AA78" s="335" t="s">
        <v>300</v>
      </c>
      <c r="AB78" s="618"/>
      <c r="AC78" s="377" t="str">
        <f t="shared" si="19"/>
        <v/>
      </c>
      <c r="AD78" s="631" t="str">
        <f>P209</f>
        <v/>
      </c>
      <c r="AE78" s="379" t="s">
        <v>548</v>
      </c>
      <c r="AF78" s="457"/>
      <c r="AG78" s="457"/>
    </row>
    <row r="79" spans="1:33" ht="11.25" customHeight="1">
      <c r="A79" s="418">
        <v>13</v>
      </c>
      <c r="B79" s="97"/>
      <c r="C79" s="41"/>
      <c r="D79" s="38" t="str">
        <f>$D$590</f>
        <v>Exposure delay time is not excessive.</v>
      </c>
      <c r="F79" s="37"/>
      <c r="G79" s="37"/>
      <c r="H79" s="37"/>
      <c r="I79" s="37"/>
      <c r="J79" s="101" t="str">
        <f>$J$590</f>
        <v>TBD</v>
      </c>
      <c r="K79" s="257" t="str">
        <f>$K$590</f>
        <v/>
      </c>
      <c r="L79" s="465" t="s">
        <v>265</v>
      </c>
      <c r="M79" s="448"/>
      <c r="N79" s="42" t="s">
        <v>346</v>
      </c>
      <c r="O79" s="650"/>
      <c r="P79" s="318"/>
      <c r="Q79" s="466" t="str">
        <f>IF(OR(AB153=0,AB153=""),"",AB153)</f>
        <v/>
      </c>
      <c r="R79" s="36"/>
      <c r="S79" s="36"/>
      <c r="T79" s="36"/>
      <c r="U79" s="36"/>
      <c r="V79" s="36"/>
      <c r="W79" s="57"/>
      <c r="X79" s="455" t="s">
        <v>265</v>
      </c>
      <c r="Y79" s="335"/>
      <c r="Z79" s="37"/>
      <c r="AA79" s="335" t="s">
        <v>301</v>
      </c>
      <c r="AB79" s="620"/>
      <c r="AC79" s="377" t="str">
        <f t="shared" si="19"/>
        <v/>
      </c>
      <c r="AD79" s="636" t="str">
        <f>Q209</f>
        <v/>
      </c>
      <c r="AE79" s="379" t="s">
        <v>549</v>
      </c>
      <c r="AF79" s="457"/>
      <c r="AG79" s="458"/>
    </row>
    <row r="80" spans="1:33" ht="11.25" customHeight="1">
      <c r="A80" s="418">
        <v>14</v>
      </c>
      <c r="B80" s="97" t="s">
        <v>701</v>
      </c>
      <c r="C80" s="98"/>
      <c r="D80" s="38" t="s">
        <v>299</v>
      </c>
      <c r="E80" s="37"/>
      <c r="F80" s="37"/>
      <c r="G80" s="37"/>
      <c r="H80" s="37"/>
      <c r="I80" s="37"/>
      <c r="J80" s="667" t="str">
        <f>IF(AND($E$386="TBD",$J$386="TBD"),"TBD",IF(OR($E$386="NO",$J$386="NO"),"","YES"))</f>
        <v>TBD</v>
      </c>
      <c r="K80" s="283" t="str">
        <f>IF(AND($E$386="TBD",$J$386="TBD"),"",IF(OR($E$386="NO",$J$386="NO"),"NO",""))</f>
        <v/>
      </c>
      <c r="L80" s="465" t="s">
        <v>265</v>
      </c>
      <c r="M80" s="73"/>
      <c r="N80" s="416" t="s">
        <v>188</v>
      </c>
      <c r="O80" s="651"/>
      <c r="P80" s="417">
        <f>LEN(O79)</f>
        <v>0</v>
      </c>
      <c r="Q80" s="467"/>
      <c r="R80" s="470">
        <f>LEN(Q79)</f>
        <v>0</v>
      </c>
      <c r="S80" s="468" t="s">
        <v>702</v>
      </c>
      <c r="T80" s="47"/>
      <c r="U80" s="47"/>
      <c r="V80" s="47"/>
      <c r="W80" s="58"/>
      <c r="X80" s="455" t="s">
        <v>265</v>
      </c>
      <c r="Y80" s="335"/>
      <c r="Z80" s="37"/>
      <c r="AA80" s="335" t="s">
        <v>323</v>
      </c>
      <c r="AB80" s="619"/>
      <c r="AC80" s="377" t="str">
        <f t="shared" si="19"/>
        <v>Change</v>
      </c>
      <c r="AD80" s="633">
        <f>R209</f>
        <v>150</v>
      </c>
      <c r="AE80" s="379" t="s">
        <v>550</v>
      </c>
      <c r="AF80" s="457"/>
      <c r="AG80" s="458"/>
    </row>
    <row r="81" spans="1:33" ht="11.25" customHeight="1">
      <c r="A81" s="418">
        <v>15</v>
      </c>
      <c r="B81" s="97" t="s">
        <v>703</v>
      </c>
      <c r="C81" s="98"/>
      <c r="D81" s="38" t="s">
        <v>539</v>
      </c>
      <c r="E81" s="37"/>
      <c r="F81" s="37"/>
      <c r="G81" s="37"/>
      <c r="H81" s="37"/>
      <c r="I81" s="37"/>
      <c r="J81" s="667" t="str">
        <f>IF(AND($E$430="NA",$F$430="NA",$I$430="NA",$J$430="NA"),"NA",IF(OR($E$430="NO",$F$430="NO",$I$430="NO",$J$430="NO"),"","YES"))</f>
        <v>NA</v>
      </c>
      <c r="K81" s="283" t="str">
        <f>IF(AND($E$430="TBD",$F$430="TBD",$I$430="TBD",$J$430="TBD"),"",IF(OR($E$430="NO",$F$430="NO",$I$430="NO",$J$430="NO"),"NO",""))</f>
        <v/>
      </c>
      <c r="L81" s="465" t="s">
        <v>265</v>
      </c>
      <c r="M81" s="73"/>
      <c r="N81" s="42" t="s">
        <v>56</v>
      </c>
      <c r="O81" s="650"/>
      <c r="P81" s="318"/>
      <c r="Q81" s="466" t="str">
        <f>IF(OR(AB155=0,AB155=""),"",AB155)</f>
        <v/>
      </c>
      <c r="R81" s="36"/>
      <c r="S81" s="36"/>
      <c r="T81" s="36"/>
      <c r="U81" s="36"/>
      <c r="V81" s="36"/>
      <c r="W81" s="57"/>
      <c r="X81" s="455" t="s">
        <v>265</v>
      </c>
      <c r="Y81" s="330"/>
      <c r="Z81" s="37"/>
      <c r="AA81" s="335" t="s">
        <v>325</v>
      </c>
      <c r="AB81" s="619"/>
      <c r="AC81" s="377" t="str">
        <f t="shared" si="19"/>
        <v>Change</v>
      </c>
      <c r="AD81" s="633">
        <f>S209</f>
        <v>100</v>
      </c>
      <c r="AE81" s="379" t="s">
        <v>551</v>
      </c>
      <c r="AF81" s="457"/>
      <c r="AG81" s="457"/>
    </row>
    <row r="82" spans="1:33" ht="11.25" customHeight="1">
      <c r="A82" s="418">
        <v>16</v>
      </c>
      <c r="B82" s="97" t="s">
        <v>701</v>
      </c>
      <c r="C82" s="98"/>
      <c r="D82" s="38" t="s">
        <v>0</v>
      </c>
      <c r="E82" s="37"/>
      <c r="F82" s="37"/>
      <c r="G82" s="37"/>
      <c r="H82" s="37"/>
      <c r="I82" s="37"/>
      <c r="J82" s="667" t="str">
        <f>IF(M53=1,$T$52,IF($H$499="NA","NA",IF(OR($H$499="",$H$499="TBD"),"TBD",IF($H$499="YES","YES",""))))</f>
        <v>NA</v>
      </c>
      <c r="K82" s="283" t="str">
        <f>IF($M$53=1,"",IF(OR($H$499="",$H$499="TBD",$H$499="NA"),"",IF($H$499="YES","","NO")))</f>
        <v/>
      </c>
      <c r="L82" s="465" t="s">
        <v>265</v>
      </c>
      <c r="M82" s="73"/>
      <c r="N82" s="416" t="s">
        <v>188</v>
      </c>
      <c r="O82" s="651"/>
      <c r="P82" s="417">
        <f>LEN(O81)</f>
        <v>0</v>
      </c>
      <c r="Q82" s="467"/>
      <c r="R82" s="470">
        <f>LEN(Q81)</f>
        <v>0</v>
      </c>
      <c r="S82" s="468" t="s">
        <v>704</v>
      </c>
      <c r="T82" s="36"/>
      <c r="U82" s="36"/>
      <c r="V82" s="36"/>
      <c r="W82" s="57"/>
      <c r="X82" s="455" t="s">
        <v>265</v>
      </c>
      <c r="Y82" s="330"/>
      <c r="Z82" s="37"/>
      <c r="AA82" s="335"/>
      <c r="AB82" s="330"/>
      <c r="AC82" s="377" t="str">
        <f t="shared" si="19"/>
        <v/>
      </c>
      <c r="AD82" s="335"/>
      <c r="AF82" s="457"/>
      <c r="AG82" s="457"/>
    </row>
    <row r="83" spans="1:33" ht="11.25" customHeight="1">
      <c r="A83" s="418">
        <v>17</v>
      </c>
      <c r="B83" s="97" t="s">
        <v>705</v>
      </c>
      <c r="C83" s="98"/>
      <c r="D83" s="38" t="s">
        <v>302</v>
      </c>
      <c r="E83" s="37"/>
      <c r="F83" s="37"/>
      <c r="G83" s="37"/>
      <c r="H83" s="37"/>
      <c r="I83" s="37"/>
      <c r="J83" s="667" t="str">
        <f>IF(M53=1,$T$52,IF($K$499="NA","NA",IF(OR($K$499="",$K$499="TBD"),"TBD",IF($K$499="YES","YES",""))))</f>
        <v>NA</v>
      </c>
      <c r="K83" s="283" t="str">
        <f>IF($M$53=1,"",IF(OR($K$499="",$K$499="TBD", $K$499="NA"),"",IF($K$499="YES","","NO")))</f>
        <v/>
      </c>
      <c r="L83" s="465" t="s">
        <v>265</v>
      </c>
      <c r="M83" s="132"/>
      <c r="N83" s="42" t="s">
        <v>56</v>
      </c>
      <c r="O83" s="650"/>
      <c r="P83" s="318"/>
      <c r="Q83" s="466" t="str">
        <f>IF(OR(AB157=0,AB157=""),"",AB157)</f>
        <v/>
      </c>
      <c r="R83" s="47"/>
      <c r="S83" s="47"/>
      <c r="T83" s="47"/>
      <c r="U83" s="47"/>
      <c r="V83" s="47"/>
      <c r="W83" s="58"/>
      <c r="X83" s="455" t="s">
        <v>265</v>
      </c>
      <c r="Y83" s="330"/>
      <c r="Z83" s="330"/>
      <c r="AA83" s="335" t="s">
        <v>328</v>
      </c>
      <c r="AB83" s="621"/>
      <c r="AC83" s="377" t="str">
        <f t="shared" si="19"/>
        <v/>
      </c>
      <c r="AD83" s="632" t="str">
        <f>IF(U209="","",U209)</f>
        <v/>
      </c>
      <c r="AE83" s="379" t="s">
        <v>552</v>
      </c>
      <c r="AG83" s="457"/>
    </row>
    <row r="84" spans="1:33" ht="11.25" customHeight="1">
      <c r="A84" s="418">
        <v>18</v>
      </c>
      <c r="B84" s="97" t="s">
        <v>706</v>
      </c>
      <c r="C84" s="98"/>
      <c r="D84" s="38" t="s">
        <v>303</v>
      </c>
      <c r="E84" s="37"/>
      <c r="F84" s="37"/>
      <c r="G84" s="37"/>
      <c r="H84" s="37"/>
      <c r="I84" s="37"/>
      <c r="J84" s="667" t="str">
        <f>IF(AND($K$541="TBD",$K$544="TBD",$K$556="TBD",$K$559="TBD"),"TBD",IF(OR($K$541="NO",$K$544="NO",$K$556="NO",$K$559="NO",$G$571="NO"),"","YES"))</f>
        <v>TBD</v>
      </c>
      <c r="K84" s="283" t="str">
        <f>IF(AND($K$541="TBD",$K$544="TBD",$K$556="TBD",$K$559="TBD"),"",IF(OR($K$541="NO",$K$544="NO",$K$556="NO",$K$559="NO",$G$571="NO"),"NO",""))</f>
        <v/>
      </c>
      <c r="L84" s="465" t="s">
        <v>265</v>
      </c>
      <c r="M84" s="73"/>
      <c r="N84" s="416" t="s">
        <v>188</v>
      </c>
      <c r="O84" s="651"/>
      <c r="P84" s="417">
        <f>LEN(O83)</f>
        <v>0</v>
      </c>
      <c r="Q84" s="467"/>
      <c r="R84" s="470">
        <f>LEN(Q83)</f>
        <v>0</v>
      </c>
      <c r="S84" s="468" t="s">
        <v>181</v>
      </c>
      <c r="T84" s="36"/>
      <c r="U84" s="36"/>
      <c r="V84" s="36"/>
      <c r="W84" s="57"/>
      <c r="X84" s="455" t="s">
        <v>265</v>
      </c>
      <c r="Y84" s="330"/>
      <c r="Z84" s="330"/>
      <c r="AA84" s="335" t="s">
        <v>330</v>
      </c>
      <c r="AB84" s="621"/>
      <c r="AC84" s="377" t="str">
        <f t="shared" si="19"/>
        <v/>
      </c>
      <c r="AD84" s="632" t="str">
        <f>IF(V209="","",V209)</f>
        <v/>
      </c>
      <c r="AE84" s="379" t="s">
        <v>553</v>
      </c>
      <c r="AF84" s="457"/>
      <c r="AG84" s="458"/>
    </row>
    <row r="85" spans="1:33" ht="11.25" customHeight="1">
      <c r="A85" s="418">
        <v>19</v>
      </c>
      <c r="B85" s="110"/>
      <c r="J85" s="112"/>
      <c r="K85" s="282"/>
      <c r="L85" s="465" t="s">
        <v>265</v>
      </c>
      <c r="M85" s="73"/>
      <c r="N85" s="42" t="s">
        <v>56</v>
      </c>
      <c r="O85" s="650"/>
      <c r="P85" s="318"/>
      <c r="Q85" s="466" t="str">
        <f>IF(OR(AB159=0,AB159=""),"",AB159)</f>
        <v/>
      </c>
      <c r="R85" s="36"/>
      <c r="S85" s="36"/>
      <c r="T85" s="36"/>
      <c r="U85" s="36"/>
      <c r="V85" s="36"/>
      <c r="W85" s="57"/>
      <c r="X85" s="455" t="s">
        <v>265</v>
      </c>
      <c r="Y85" s="330"/>
      <c r="Z85" s="330"/>
      <c r="AA85" s="335"/>
      <c r="AB85" s="330"/>
      <c r="AC85" s="377" t="str">
        <f t="shared" si="19"/>
        <v/>
      </c>
      <c r="AD85" s="335"/>
      <c r="AF85" s="459"/>
    </row>
    <row r="86" spans="1:33" ht="11.25" customHeight="1">
      <c r="A86" s="418">
        <v>20</v>
      </c>
      <c r="B86" s="110"/>
      <c r="F86" s="87" t="s">
        <v>316</v>
      </c>
      <c r="K86" s="278"/>
      <c r="L86" s="465" t="s">
        <v>265</v>
      </c>
      <c r="M86" s="132"/>
      <c r="N86" s="416" t="s">
        <v>188</v>
      </c>
      <c r="O86" s="651"/>
      <c r="P86" s="417">
        <f>LEN(O85)</f>
        <v>0</v>
      </c>
      <c r="Q86" s="467"/>
      <c r="R86" s="470">
        <f>LEN(Q85)</f>
        <v>0</v>
      </c>
      <c r="S86" s="468" t="s">
        <v>182</v>
      </c>
      <c r="T86" s="47"/>
      <c r="U86" s="47"/>
      <c r="V86" s="47"/>
      <c r="W86" s="58"/>
      <c r="X86" s="455" t="s">
        <v>265</v>
      </c>
      <c r="Y86" s="330"/>
      <c r="Z86" s="330" t="s">
        <v>331</v>
      </c>
      <c r="AA86" s="335" t="s">
        <v>321</v>
      </c>
      <c r="AB86" s="714"/>
      <c r="AC86" s="377" t="str">
        <f t="shared" si="19"/>
        <v>Change</v>
      </c>
      <c r="AD86" s="630" t="str">
        <f>P212</f>
        <v>mAs</v>
      </c>
      <c r="AE86" s="379" t="s">
        <v>554</v>
      </c>
      <c r="AF86" s="460"/>
      <c r="AG86" s="457"/>
    </row>
    <row r="87" spans="1:33" ht="11.25" customHeight="1">
      <c r="A87" s="418">
        <v>21</v>
      </c>
      <c r="B87" s="110"/>
      <c r="D87" s="38" t="s">
        <v>317</v>
      </c>
      <c r="J87" s="101" t="str">
        <f>IF($J$349="NO","",$J$349)</f>
        <v>TBD</v>
      </c>
      <c r="K87" s="257" t="str">
        <f>IF($J$349="NO","NO","")</f>
        <v/>
      </c>
      <c r="L87" s="465" t="s">
        <v>265</v>
      </c>
      <c r="M87" s="73"/>
      <c r="N87" s="42" t="s">
        <v>56</v>
      </c>
      <c r="O87" s="650"/>
      <c r="P87" s="318"/>
      <c r="Q87" s="466" t="str">
        <f>IF(OR(AB161=0,AB161=""),"",AB161)</f>
        <v/>
      </c>
      <c r="R87" s="36"/>
      <c r="S87" s="36"/>
      <c r="T87" s="36"/>
      <c r="U87" s="36"/>
      <c r="V87" s="36"/>
      <c r="W87" s="57"/>
      <c r="X87" s="455" t="s">
        <v>265</v>
      </c>
      <c r="Y87" s="330"/>
      <c r="Z87" s="330"/>
      <c r="AA87" s="335" t="s">
        <v>298</v>
      </c>
      <c r="AB87" s="618"/>
      <c r="AC87" s="377" t="str">
        <f t="shared" si="19"/>
        <v/>
      </c>
      <c r="AD87" s="631" t="str">
        <f>O214</f>
        <v/>
      </c>
      <c r="AE87" s="379" t="s">
        <v>555</v>
      </c>
      <c r="AF87" s="460"/>
      <c r="AG87" s="457"/>
    </row>
    <row r="88" spans="1:33" ht="11.25" customHeight="1">
      <c r="A88" s="418">
        <v>22</v>
      </c>
      <c r="B88" s="97"/>
      <c r="C88" s="98"/>
      <c r="D88" s="38" t="s">
        <v>318</v>
      </c>
      <c r="E88" s="37"/>
      <c r="F88" s="37"/>
      <c r="G88" s="37"/>
      <c r="H88" s="37"/>
      <c r="I88" s="37"/>
      <c r="J88" s="101" t="str">
        <f>IF(OR(J675="NO",J686="NO"),"",IF(AND(J675="NA",J686="NA"),"NA",IF(OR(J675="YES",J686="YES"),"YES","TBD")))</f>
        <v>NA</v>
      </c>
      <c r="K88" s="257" t="str">
        <f>IF(OR(J675="NO",J686="NO"),"NO","")</f>
        <v/>
      </c>
      <c r="L88" s="465" t="s">
        <v>265</v>
      </c>
      <c r="M88" s="73"/>
      <c r="N88" s="416" t="s">
        <v>188</v>
      </c>
      <c r="O88" s="651"/>
      <c r="P88" s="417">
        <f>LEN(O87)</f>
        <v>0</v>
      </c>
      <c r="Q88" s="467"/>
      <c r="R88" s="470">
        <f>LEN(Q87)</f>
        <v>0</v>
      </c>
      <c r="S88" s="468" t="s">
        <v>183</v>
      </c>
      <c r="T88" s="36"/>
      <c r="U88" s="36"/>
      <c r="V88" s="36"/>
      <c r="W88" s="57"/>
      <c r="X88" s="455" t="s">
        <v>265</v>
      </c>
      <c r="Y88" s="330"/>
      <c r="Z88" s="330"/>
      <c r="AA88" s="335" t="s">
        <v>300</v>
      </c>
      <c r="AB88" s="618"/>
      <c r="AC88" s="377" t="str">
        <f t="shared" si="19"/>
        <v/>
      </c>
      <c r="AD88" s="631" t="str">
        <f>P214</f>
        <v/>
      </c>
      <c r="AE88" s="379" t="s">
        <v>556</v>
      </c>
      <c r="AG88" s="461"/>
    </row>
    <row r="89" spans="1:33" ht="11.25" customHeight="1">
      <c r="A89" s="418">
        <v>23</v>
      </c>
      <c r="B89" s="110"/>
      <c r="K89" s="59"/>
      <c r="L89" s="465" t="s">
        <v>265</v>
      </c>
      <c r="M89" s="132"/>
      <c r="N89" s="42" t="s">
        <v>56</v>
      </c>
      <c r="O89" s="650"/>
      <c r="P89" s="318"/>
      <c r="Q89" s="466" t="str">
        <f>IF(OR(AB163=0,AB163=""),"",AB163)</f>
        <v/>
      </c>
      <c r="R89" s="47"/>
      <c r="S89" s="47"/>
      <c r="T89" s="47"/>
      <c r="U89" s="47"/>
      <c r="V89" s="47"/>
      <c r="W89" s="58"/>
      <c r="X89" s="455" t="s">
        <v>265</v>
      </c>
      <c r="Y89" s="330"/>
      <c r="Z89" s="330"/>
      <c r="AA89" s="335" t="s">
        <v>301</v>
      </c>
      <c r="AB89" s="620"/>
      <c r="AC89" s="377" t="str">
        <f t="shared" si="19"/>
        <v/>
      </c>
      <c r="AD89" s="636" t="str">
        <f>Q214</f>
        <v/>
      </c>
      <c r="AE89" s="379" t="s">
        <v>557</v>
      </c>
      <c r="AF89" s="457"/>
      <c r="AG89" s="381"/>
    </row>
    <row r="90" spans="1:33" ht="11.25" customHeight="1">
      <c r="A90" s="418">
        <v>24</v>
      </c>
      <c r="B90" s="110"/>
      <c r="F90" s="87" t="s">
        <v>304</v>
      </c>
      <c r="J90" s="101"/>
      <c r="K90" s="257"/>
      <c r="L90" s="465" t="s">
        <v>265</v>
      </c>
      <c r="M90" s="73"/>
      <c r="N90" s="416" t="s">
        <v>188</v>
      </c>
      <c r="O90" s="651"/>
      <c r="P90" s="417">
        <f>LEN(O89)</f>
        <v>0</v>
      </c>
      <c r="Q90" s="467"/>
      <c r="R90" s="470">
        <f>LEN(Q89)</f>
        <v>0</v>
      </c>
      <c r="S90" s="468" t="s">
        <v>184</v>
      </c>
      <c r="T90" s="36"/>
      <c r="U90" s="36"/>
      <c r="V90" s="36"/>
      <c r="W90" s="57"/>
      <c r="X90" s="455" t="s">
        <v>265</v>
      </c>
      <c r="Y90" s="330"/>
      <c r="Z90" s="330"/>
      <c r="AA90" s="335" t="s">
        <v>323</v>
      </c>
      <c r="AB90" s="619"/>
      <c r="AC90" s="377" t="str">
        <f t="shared" si="19"/>
        <v>Change</v>
      </c>
      <c r="AD90" s="633">
        <f>R214</f>
        <v>150</v>
      </c>
      <c r="AE90" s="379" t="s">
        <v>558</v>
      </c>
      <c r="AF90" s="457"/>
      <c r="AG90" s="458"/>
    </row>
    <row r="91" spans="1:33" ht="11.25" customHeight="1">
      <c r="A91" s="418">
        <v>25</v>
      </c>
      <c r="B91" s="97" t="s">
        <v>707</v>
      </c>
      <c r="C91" s="98"/>
      <c r="D91" s="38" t="s">
        <v>305</v>
      </c>
      <c r="E91" s="38"/>
      <c r="F91" s="38"/>
      <c r="G91" s="38"/>
      <c r="H91" s="38"/>
      <c r="I91" s="38"/>
      <c r="J91" s="101" t="str">
        <f t="shared" ref="J91:J96" si="20">IF(M514="","TBD",IF(M514=1,"YES",IF(M514=3,"NA","")))</f>
        <v>TBD</v>
      </c>
      <c r="K91" s="257" t="str">
        <f t="shared" ref="K91:K96" si="21">IF(M514=2,"NO","")</f>
        <v/>
      </c>
      <c r="L91" s="465" t="s">
        <v>265</v>
      </c>
      <c r="M91" s="73"/>
      <c r="N91" s="42" t="s">
        <v>56</v>
      </c>
      <c r="O91" s="650"/>
      <c r="P91" s="318"/>
      <c r="Q91" s="466" t="str">
        <f>IF(OR(AB165=0,AB165=""),"",AB165)</f>
        <v/>
      </c>
      <c r="R91" s="36"/>
      <c r="S91" s="36"/>
      <c r="T91" s="36"/>
      <c r="U91" s="36"/>
      <c r="V91" s="36"/>
      <c r="W91" s="57"/>
      <c r="X91" s="455" t="s">
        <v>265</v>
      </c>
      <c r="Y91" s="330"/>
      <c r="Z91" s="330"/>
      <c r="AA91" s="335" t="s">
        <v>325</v>
      </c>
      <c r="AB91" s="619"/>
      <c r="AC91" s="377" t="str">
        <f t="shared" si="19"/>
        <v>Change</v>
      </c>
      <c r="AD91" s="633">
        <f>S214</f>
        <v>100</v>
      </c>
      <c r="AE91" s="379" t="s">
        <v>559</v>
      </c>
      <c r="AF91" s="457"/>
      <c r="AG91" s="457"/>
    </row>
    <row r="92" spans="1:33" ht="11.25" customHeight="1">
      <c r="A92" s="418">
        <v>26</v>
      </c>
      <c r="B92" s="97"/>
      <c r="C92" s="131"/>
      <c r="D92" s="38" t="s">
        <v>500</v>
      </c>
      <c r="J92" s="101" t="str">
        <f t="shared" si="20"/>
        <v>NA</v>
      </c>
      <c r="K92" s="257" t="str">
        <f t="shared" si="21"/>
        <v/>
      </c>
      <c r="L92" s="465" t="s">
        <v>265</v>
      </c>
      <c r="M92" s="132"/>
      <c r="N92" s="416" t="s">
        <v>188</v>
      </c>
      <c r="O92" s="651"/>
      <c r="P92" s="417">
        <f>LEN(O91)</f>
        <v>0</v>
      </c>
      <c r="Q92" s="467"/>
      <c r="R92" s="470">
        <f>LEN(Q91)</f>
        <v>0</v>
      </c>
      <c r="S92" s="468" t="s">
        <v>8</v>
      </c>
      <c r="T92" s="47"/>
      <c r="U92" s="47"/>
      <c r="V92" s="47"/>
      <c r="W92" s="58"/>
      <c r="X92" s="455" t="s">
        <v>265</v>
      </c>
      <c r="Y92" s="330"/>
      <c r="Z92" s="330"/>
      <c r="AA92" s="335"/>
      <c r="AB92" s="330"/>
      <c r="AC92" s="377" t="str">
        <f t="shared" si="19"/>
        <v/>
      </c>
      <c r="AD92" s="335"/>
      <c r="AF92" s="457"/>
      <c r="AG92" s="457"/>
    </row>
    <row r="93" spans="1:33" ht="11.25" customHeight="1">
      <c r="A93" s="418">
        <v>27</v>
      </c>
      <c r="B93" s="97"/>
      <c r="C93" s="131"/>
      <c r="D93" s="38" t="s">
        <v>501</v>
      </c>
      <c r="J93" s="101" t="str">
        <f t="shared" si="20"/>
        <v>NA</v>
      </c>
      <c r="K93" s="257" t="str">
        <f t="shared" si="21"/>
        <v/>
      </c>
      <c r="L93" s="465" t="s">
        <v>265</v>
      </c>
      <c r="M93" s="73"/>
      <c r="N93" s="42" t="s">
        <v>56</v>
      </c>
      <c r="O93" s="650"/>
      <c r="P93" s="318"/>
      <c r="Q93" s="466" t="str">
        <f>IF(OR(AB167=0,AB167=""),"",AB167)</f>
        <v/>
      </c>
      <c r="R93" s="36"/>
      <c r="S93" s="36"/>
      <c r="T93" s="36"/>
      <c r="U93" s="36"/>
      <c r="V93" s="36"/>
      <c r="W93" s="57"/>
      <c r="X93" s="455" t="s">
        <v>265</v>
      </c>
      <c r="Y93" s="330"/>
      <c r="Z93" s="330"/>
      <c r="AA93" s="335" t="s">
        <v>334</v>
      </c>
      <c r="AB93" s="621"/>
      <c r="AC93" s="377" t="str">
        <f t="shared" si="19"/>
        <v/>
      </c>
      <c r="AD93" s="632">
        <f>U214</f>
        <v>0</v>
      </c>
      <c r="AE93" s="379" t="s">
        <v>560</v>
      </c>
      <c r="AF93" s="457"/>
      <c r="AG93" s="458"/>
    </row>
    <row r="94" spans="1:33" ht="11.25" customHeight="1">
      <c r="A94" s="418">
        <v>28</v>
      </c>
      <c r="B94" s="97" t="s">
        <v>503</v>
      </c>
      <c r="C94" s="131"/>
      <c r="D94" s="38" t="s">
        <v>502</v>
      </c>
      <c r="J94" s="101" t="str">
        <f t="shared" si="20"/>
        <v>NA</v>
      </c>
      <c r="K94" s="257" t="str">
        <f t="shared" si="21"/>
        <v/>
      </c>
      <c r="L94" s="465" t="s">
        <v>265</v>
      </c>
      <c r="M94" s="73"/>
      <c r="N94" s="416" t="s">
        <v>188</v>
      </c>
      <c r="O94" s="651"/>
      <c r="P94" s="417">
        <f>LEN(O93)</f>
        <v>0</v>
      </c>
      <c r="Q94" s="467"/>
      <c r="R94" s="470">
        <f>LEN(Q93)</f>
        <v>0</v>
      </c>
      <c r="S94" s="469"/>
      <c r="T94" s="36"/>
      <c r="U94" s="36"/>
      <c r="V94" s="36"/>
      <c r="W94" s="57"/>
      <c r="X94" s="455" t="s">
        <v>265</v>
      </c>
      <c r="Y94" s="330"/>
      <c r="Z94" s="330"/>
      <c r="AA94" s="335" t="s">
        <v>335</v>
      </c>
      <c r="AB94" s="621"/>
      <c r="AC94" s="377" t="str">
        <f t="shared" si="19"/>
        <v/>
      </c>
      <c r="AD94" s="632" t="str">
        <f>V214</f>
        <v/>
      </c>
      <c r="AE94" s="379" t="s">
        <v>561</v>
      </c>
      <c r="AF94" s="457"/>
      <c r="AG94" s="458"/>
    </row>
    <row r="95" spans="1:33" ht="11.25" customHeight="1">
      <c r="A95" s="418">
        <v>29</v>
      </c>
      <c r="B95" s="97" t="s">
        <v>708</v>
      </c>
      <c r="C95" s="98"/>
      <c r="D95" s="38" t="s">
        <v>306</v>
      </c>
      <c r="E95" s="37"/>
      <c r="F95" s="37"/>
      <c r="G95" s="37"/>
      <c r="H95" s="37"/>
      <c r="I95" s="37"/>
      <c r="J95" s="101" t="str">
        <f t="shared" si="20"/>
        <v>TBD</v>
      </c>
      <c r="K95" s="257" t="str">
        <f t="shared" si="21"/>
        <v/>
      </c>
      <c r="L95" s="465" t="s">
        <v>265</v>
      </c>
      <c r="M95" s="132"/>
      <c r="N95" s="42" t="s">
        <v>56</v>
      </c>
      <c r="O95" s="650"/>
      <c r="P95" s="318"/>
      <c r="Q95" s="466" t="str">
        <f>IF(OR(AB169=0,AB169=""),"",AB169)</f>
        <v/>
      </c>
      <c r="R95" s="47"/>
      <c r="S95" s="47"/>
      <c r="T95" s="47"/>
      <c r="U95" s="47"/>
      <c r="V95" s="47"/>
      <c r="W95" s="58"/>
      <c r="X95" s="455" t="s">
        <v>265</v>
      </c>
      <c r="Y95" s="330"/>
      <c r="Z95" s="330"/>
      <c r="AA95" s="335"/>
      <c r="AB95" s="330"/>
      <c r="AC95" s="377" t="str">
        <f t="shared" si="19"/>
        <v/>
      </c>
      <c r="AD95" s="335"/>
      <c r="AF95" s="457"/>
      <c r="AG95" s="457"/>
    </row>
    <row r="96" spans="1:33" ht="11.25" customHeight="1">
      <c r="A96" s="418">
        <v>30</v>
      </c>
      <c r="B96" s="97" t="s">
        <v>709</v>
      </c>
      <c r="C96" s="98"/>
      <c r="D96" s="38" t="s">
        <v>307</v>
      </c>
      <c r="J96" s="101" t="str">
        <f t="shared" si="20"/>
        <v>TBD</v>
      </c>
      <c r="K96" s="257" t="str">
        <f t="shared" si="21"/>
        <v/>
      </c>
      <c r="L96" s="465" t="s">
        <v>265</v>
      </c>
      <c r="M96" s="73"/>
      <c r="N96" s="416" t="s">
        <v>188</v>
      </c>
      <c r="O96" s="651"/>
      <c r="P96" s="417">
        <f>LEN(O95)</f>
        <v>0</v>
      </c>
      <c r="Q96" s="467"/>
      <c r="R96" s="470">
        <f>LEN(Q95)</f>
        <v>0</v>
      </c>
      <c r="S96" s="469"/>
      <c r="T96" s="36"/>
      <c r="U96" s="36"/>
      <c r="V96" s="36"/>
      <c r="W96" s="57"/>
      <c r="X96" s="455" t="s">
        <v>265</v>
      </c>
      <c r="Y96" s="330"/>
      <c r="Z96" s="335"/>
      <c r="AA96" s="115" t="s">
        <v>336</v>
      </c>
      <c r="AB96" s="617"/>
      <c r="AC96" s="377" t="str">
        <f t="shared" si="19"/>
        <v>Change</v>
      </c>
      <c r="AD96" s="612" t="str">
        <f>O227</f>
        <v>Piranha CB2-19020491</v>
      </c>
      <c r="AE96" s="379" t="s">
        <v>562</v>
      </c>
      <c r="AF96" s="457"/>
      <c r="AG96" s="457"/>
    </row>
    <row r="97" spans="1:35" ht="11.25" customHeight="1">
      <c r="A97" s="418">
        <v>31</v>
      </c>
      <c r="B97" s="97" t="s">
        <v>710</v>
      </c>
      <c r="C97" s="98"/>
      <c r="D97" s="38" t="s">
        <v>308</v>
      </c>
      <c r="E97" s="38"/>
      <c r="F97" s="38" t="str">
        <f>IF(R520="","Half:  ","Half:  "&amp;R520)</f>
        <v>Half:  0</v>
      </c>
      <c r="G97" s="42"/>
      <c r="H97" s="38" t="str">
        <f>IF(T520="","Full:  ","Full:  "&amp;T520)</f>
        <v>Full:  0</v>
      </c>
      <c r="J97" s="101" t="str">
        <f t="shared" ref="J97:J102" si="22">IF($M$53=1,$T$52,IF(M520="","TBD",IF(M520=1,"YES",IF(M520=3,"NA",""))))</f>
        <v>NA</v>
      </c>
      <c r="K97" s="257" t="str">
        <f t="shared" ref="K97:K102" si="23">IF($M$53=1,"",IF(M520=2,"NO",""))</f>
        <v/>
      </c>
      <c r="L97" s="465" t="s">
        <v>265</v>
      </c>
      <c r="M97" s="73"/>
      <c r="N97" s="38"/>
      <c r="O97" s="402"/>
      <c r="P97" s="318"/>
      <c r="Q97" s="466"/>
      <c r="R97" s="37"/>
      <c r="S97" s="37"/>
      <c r="T97" s="37"/>
      <c r="U97" s="37"/>
      <c r="V97" s="37"/>
      <c r="W97" s="57"/>
      <c r="X97" s="455" t="s">
        <v>265</v>
      </c>
      <c r="Y97" s="330"/>
      <c r="Z97" s="335"/>
      <c r="AA97" s="463" t="s">
        <v>537</v>
      </c>
      <c r="AB97" s="330"/>
      <c r="AC97" s="377" t="str">
        <f t="shared" si="19"/>
        <v/>
      </c>
      <c r="AD97" s="335"/>
      <c r="AF97" s="457"/>
      <c r="AG97" s="457"/>
    </row>
    <row r="98" spans="1:35" ht="11.25" customHeight="1">
      <c r="A98" s="418">
        <v>32</v>
      </c>
      <c r="B98" s="97" t="s">
        <v>710</v>
      </c>
      <c r="C98" s="98"/>
      <c r="D98" s="38" t="s">
        <v>309</v>
      </c>
      <c r="E98" s="38"/>
      <c r="F98" s="38"/>
      <c r="G98" s="42" t="s">
        <v>310</v>
      </c>
      <c r="H98" s="695">
        <f>IF(R521="","",R521)</f>
        <v>0</v>
      </c>
      <c r="J98" s="101" t="str">
        <f t="shared" si="22"/>
        <v>NA</v>
      </c>
      <c r="K98" s="257" t="str">
        <f t="shared" si="23"/>
        <v/>
      </c>
      <c r="L98" s="465" t="s">
        <v>265</v>
      </c>
      <c r="M98" s="132"/>
      <c r="N98" s="403"/>
      <c r="O98" s="403"/>
      <c r="P98" s="362"/>
      <c r="Q98" s="359"/>
      <c r="R98" s="359"/>
      <c r="S98" s="359"/>
      <c r="T98" s="359"/>
      <c r="U98" s="359"/>
      <c r="V98" s="359"/>
      <c r="W98" s="58"/>
      <c r="X98" s="455" t="s">
        <v>265</v>
      </c>
      <c r="Y98" s="330"/>
      <c r="Z98" s="335"/>
      <c r="AA98" s="335"/>
      <c r="AB98" s="330"/>
      <c r="AC98" s="377" t="str">
        <f t="shared" si="19"/>
        <v/>
      </c>
      <c r="AD98" s="335"/>
      <c r="AF98" s="457"/>
      <c r="AG98" s="458"/>
    </row>
    <row r="99" spans="1:35" ht="11.25" customHeight="1">
      <c r="A99" s="418">
        <v>33</v>
      </c>
      <c r="B99" s="97"/>
      <c r="C99" s="98"/>
      <c r="D99" s="38" t="s">
        <v>311</v>
      </c>
      <c r="E99" s="37"/>
      <c r="F99" s="37"/>
      <c r="G99" s="37"/>
      <c r="H99" s="37"/>
      <c r="I99" s="37"/>
      <c r="J99" s="101" t="str">
        <f t="shared" si="22"/>
        <v>NA</v>
      </c>
      <c r="K99" s="257" t="str">
        <f t="shared" si="23"/>
        <v/>
      </c>
      <c r="L99" s="465" t="s">
        <v>265</v>
      </c>
      <c r="M99" s="73"/>
      <c r="N99" s="404"/>
      <c r="O99" s="404"/>
      <c r="P99" s="357"/>
      <c r="Q99" s="358"/>
      <c r="R99" s="358"/>
      <c r="S99" s="358"/>
      <c r="T99" s="358"/>
      <c r="U99" s="358"/>
      <c r="V99" s="358"/>
      <c r="W99" s="57"/>
      <c r="X99" s="455" t="s">
        <v>265</v>
      </c>
      <c r="Y99" s="330"/>
      <c r="Z99" s="335"/>
      <c r="AA99" s="115" t="s">
        <v>337</v>
      </c>
      <c r="AB99" s="618"/>
      <c r="AC99" s="377" t="str">
        <f t="shared" si="19"/>
        <v>Change</v>
      </c>
      <c r="AD99" s="630" t="str">
        <f>N233</f>
        <v>cm</v>
      </c>
      <c r="AE99" s="379" t="s">
        <v>563</v>
      </c>
      <c r="AF99" s="457"/>
      <c r="AG99" s="458"/>
    </row>
    <row r="100" spans="1:35" ht="11.25" customHeight="1">
      <c r="A100" s="418">
        <v>34</v>
      </c>
      <c r="B100" s="97" t="s">
        <v>710</v>
      </c>
      <c r="C100" s="98"/>
      <c r="D100" s="38" t="s">
        <v>312</v>
      </c>
      <c r="J100" s="101" t="str">
        <f t="shared" si="22"/>
        <v>NA</v>
      </c>
      <c r="K100" s="257" t="str">
        <f t="shared" si="23"/>
        <v/>
      </c>
      <c r="L100" s="465" t="s">
        <v>265</v>
      </c>
      <c r="M100" s="73"/>
      <c r="N100" s="404"/>
      <c r="O100" s="404"/>
      <c r="P100" s="357"/>
      <c r="Q100" s="358"/>
      <c r="R100" s="358"/>
      <c r="S100" s="358"/>
      <c r="T100" s="358"/>
      <c r="U100" s="358"/>
      <c r="V100" s="358"/>
      <c r="W100" s="57"/>
      <c r="X100" s="455" t="s">
        <v>265</v>
      </c>
      <c r="Y100" s="330"/>
      <c r="Z100" s="335"/>
      <c r="AA100" s="115" t="s">
        <v>338</v>
      </c>
      <c r="AB100" s="618"/>
      <c r="AC100" s="377" t="str">
        <f t="shared" si="19"/>
        <v>Change</v>
      </c>
      <c r="AD100" s="630" t="str">
        <f>N251</f>
        <v>cm</v>
      </c>
      <c r="AE100" s="379" t="s">
        <v>564</v>
      </c>
      <c r="AF100" s="457"/>
      <c r="AG100" s="457"/>
    </row>
    <row r="101" spans="1:35" ht="11.25" customHeight="1">
      <c r="A101" s="418">
        <v>35</v>
      </c>
      <c r="B101" s="97"/>
      <c r="C101" s="98"/>
      <c r="D101" s="38" t="s">
        <v>313</v>
      </c>
      <c r="E101" s="37"/>
      <c r="F101" s="37"/>
      <c r="G101" s="37"/>
      <c r="H101" s="42"/>
      <c r="I101" s="37"/>
      <c r="J101" s="101" t="str">
        <f t="shared" si="22"/>
        <v>TBD</v>
      </c>
      <c r="K101" s="257" t="str">
        <f t="shared" si="23"/>
        <v/>
      </c>
      <c r="L101" s="465" t="s">
        <v>265</v>
      </c>
      <c r="M101" s="132"/>
      <c r="N101" s="404"/>
      <c r="O101" s="404"/>
      <c r="P101" s="357"/>
      <c r="Q101" s="356" t="s">
        <v>185</v>
      </c>
      <c r="R101" s="38"/>
      <c r="S101" s="38"/>
      <c r="T101" s="358"/>
      <c r="U101" s="358"/>
      <c r="V101" s="358"/>
      <c r="W101" s="58"/>
      <c r="X101" s="455" t="s">
        <v>265</v>
      </c>
      <c r="Y101" s="330"/>
      <c r="Z101" s="335"/>
      <c r="AA101" s="330"/>
      <c r="AB101" s="330"/>
      <c r="AC101" s="377" t="str">
        <f t="shared" si="19"/>
        <v/>
      </c>
      <c r="AD101" s="330"/>
      <c r="AE101" s="330"/>
    </row>
    <row r="102" spans="1:35" ht="11.25" customHeight="1">
      <c r="A102" s="418">
        <v>36</v>
      </c>
      <c r="B102" s="97" t="s">
        <v>711</v>
      </c>
      <c r="C102" s="98"/>
      <c r="D102" s="38" t="s">
        <v>314</v>
      </c>
      <c r="E102" s="37"/>
      <c r="F102" s="37"/>
      <c r="G102" s="37"/>
      <c r="H102" s="37"/>
      <c r="I102" s="37"/>
      <c r="J102" s="101" t="str">
        <f t="shared" si="22"/>
        <v>NA</v>
      </c>
      <c r="K102" s="257" t="str">
        <f t="shared" si="23"/>
        <v/>
      </c>
      <c r="L102" s="465" t="s">
        <v>265</v>
      </c>
      <c r="M102" s="73"/>
      <c r="N102" s="404"/>
      <c r="O102" s="404"/>
      <c r="P102" s="357"/>
      <c r="Q102" s="358"/>
      <c r="R102" s="357"/>
      <c r="S102" s="358"/>
      <c r="T102" s="357"/>
      <c r="U102" s="358"/>
      <c r="V102" s="358"/>
      <c r="W102" s="57"/>
      <c r="X102" s="455" t="s">
        <v>265</v>
      </c>
      <c r="Y102" s="330"/>
      <c r="Z102" s="335"/>
      <c r="AA102" s="115" t="s">
        <v>339</v>
      </c>
      <c r="AB102" s="330"/>
      <c r="AC102" s="377" t="str">
        <f t="shared" si="19"/>
        <v/>
      </c>
      <c r="AD102" s="330"/>
      <c r="AE102" s="330"/>
    </row>
    <row r="103" spans="1:35" ht="11.25" customHeight="1">
      <c r="A103" s="418">
        <v>37</v>
      </c>
      <c r="B103" s="97"/>
      <c r="C103" s="98"/>
      <c r="D103" s="38" t="s">
        <v>315</v>
      </c>
      <c r="E103" s="37"/>
      <c r="F103" s="37"/>
      <c r="G103" s="37"/>
      <c r="H103" s="37"/>
      <c r="I103" s="37"/>
      <c r="J103" s="101" t="str">
        <f>IF(M526="","TBD",IF(M526=1,"YES",IF(M526=3,"NA","")))</f>
        <v>NA</v>
      </c>
      <c r="K103" s="257" t="str">
        <f>IF(M526=2,"NO","")</f>
        <v/>
      </c>
      <c r="L103" s="465" t="s">
        <v>265</v>
      </c>
      <c r="M103" s="73"/>
      <c r="N103" s="404"/>
      <c r="O103" s="404"/>
      <c r="P103" s="357"/>
      <c r="Q103" s="358"/>
      <c r="R103" s="357"/>
      <c r="S103" s="358"/>
      <c r="T103" s="357"/>
      <c r="U103" s="358"/>
      <c r="V103" s="358"/>
      <c r="W103" s="57"/>
      <c r="X103" s="455" t="s">
        <v>265</v>
      </c>
      <c r="Y103" s="330"/>
      <c r="Z103" s="335"/>
      <c r="AA103" s="335" t="s">
        <v>340</v>
      </c>
      <c r="AB103" s="618"/>
      <c r="AC103" s="377" t="str">
        <f t="shared" si="19"/>
        <v>Change</v>
      </c>
      <c r="AD103" s="630" t="str">
        <f>O331</f>
        <v>HF</v>
      </c>
      <c r="AE103" s="379" t="s">
        <v>465</v>
      </c>
    </row>
    <row r="104" spans="1:35" ht="11.25" customHeight="1">
      <c r="A104" s="418">
        <v>38</v>
      </c>
      <c r="B104" s="110"/>
      <c r="K104" s="59"/>
      <c r="L104" s="465" t="s">
        <v>265</v>
      </c>
      <c r="M104" s="132"/>
      <c r="N104" s="405"/>
      <c r="O104" s="405"/>
      <c r="P104" s="361"/>
      <c r="Q104" s="360"/>
      <c r="R104" s="361"/>
      <c r="S104" s="360"/>
      <c r="T104" s="361"/>
      <c r="U104" s="360"/>
      <c r="V104" s="360"/>
      <c r="W104" s="58"/>
      <c r="X104" s="455" t="s">
        <v>265</v>
      </c>
      <c r="Y104" s="330"/>
      <c r="AA104" s="335" t="s">
        <v>341</v>
      </c>
      <c r="AB104" s="618"/>
      <c r="AC104" s="377" t="str">
        <f t="shared" si="19"/>
        <v>Change</v>
      </c>
      <c r="AD104" s="631">
        <f>M332</f>
        <v>2</v>
      </c>
      <c r="AE104" s="37" t="s">
        <v>565</v>
      </c>
    </row>
    <row r="105" spans="1:35" ht="11.25" customHeight="1" thickBot="1">
      <c r="A105" s="418">
        <v>39</v>
      </c>
      <c r="B105" s="110"/>
      <c r="F105" s="87" t="s">
        <v>322</v>
      </c>
      <c r="J105" s="101"/>
      <c r="K105" s="257"/>
      <c r="L105" s="465" t="s">
        <v>265</v>
      </c>
      <c r="M105" s="125"/>
      <c r="N105" s="61"/>
      <c r="O105" s="406"/>
      <c r="P105" s="319"/>
      <c r="Q105" s="61"/>
      <c r="R105" s="61"/>
      <c r="S105" s="61"/>
      <c r="T105" s="61"/>
      <c r="U105" s="61"/>
      <c r="V105" s="61"/>
      <c r="W105" s="62"/>
      <c r="X105" s="455" t="s">
        <v>265</v>
      </c>
      <c r="Y105" s="330"/>
      <c r="Z105" s="330"/>
      <c r="AA105" s="330"/>
      <c r="AB105" s="330"/>
      <c r="AC105" s="377" t="str">
        <f t="shared" si="19"/>
        <v/>
      </c>
      <c r="AD105" s="330"/>
      <c r="AE105" s="330"/>
    </row>
    <row r="106" spans="1:35" ht="11.25" customHeight="1" thickTop="1">
      <c r="A106" s="418">
        <v>40</v>
      </c>
      <c r="B106" s="97"/>
      <c r="C106" s="98"/>
      <c r="D106" s="38" t="s">
        <v>324</v>
      </c>
      <c r="E106" s="37"/>
      <c r="F106" s="37"/>
      <c r="G106" s="37"/>
      <c r="H106" s="37"/>
      <c r="I106" s="37"/>
      <c r="J106" s="101" t="str">
        <f t="shared" ref="J106:J111" si="24">IF(M529="","TBD",IF(M529=1,"YES",IF(M529=3,"NA","")))</f>
        <v>TBD</v>
      </c>
      <c r="K106" s="257" t="str">
        <f t="shared" ref="K106:K111" si="25">IF(M529=2,"NO","")</f>
        <v/>
      </c>
      <c r="L106" s="465" t="s">
        <v>265</v>
      </c>
      <c r="O106" s="402"/>
      <c r="P106" s="320"/>
      <c r="X106" s="455" t="s">
        <v>265</v>
      </c>
      <c r="Y106" s="330"/>
      <c r="Z106" s="330"/>
      <c r="AE106"/>
    </row>
    <row r="107" spans="1:35" ht="11.25" customHeight="1">
      <c r="A107" s="418">
        <v>41</v>
      </c>
      <c r="B107" s="97"/>
      <c r="C107" s="98"/>
      <c r="D107" s="38" t="s">
        <v>326</v>
      </c>
      <c r="E107" s="37"/>
      <c r="F107" s="37"/>
      <c r="G107" s="37"/>
      <c r="H107" s="37"/>
      <c r="I107" s="37"/>
      <c r="J107" s="101" t="str">
        <f t="shared" si="24"/>
        <v>TBD</v>
      </c>
      <c r="K107" s="257" t="str">
        <f t="shared" si="25"/>
        <v/>
      </c>
      <c r="L107" s="465" t="s">
        <v>265</v>
      </c>
      <c r="O107" s="402"/>
      <c r="P107" s="320"/>
      <c r="X107" s="455" t="s">
        <v>265</v>
      </c>
      <c r="Y107" s="330"/>
      <c r="Z107" s="330"/>
      <c r="AB107" s="330"/>
      <c r="AC107" s="377" t="str">
        <f t="shared" ref="AC107:AC121" si="26">IF(AND(OR(AB107="",AB107=0),OR(AD107="",AD107=0)),"",IF(AB107&lt;&gt;AD107,"Change",""))</f>
        <v/>
      </c>
      <c r="AD107" s="330"/>
      <c r="AE107"/>
    </row>
    <row r="108" spans="1:35" ht="11.25" customHeight="1">
      <c r="A108" s="418">
        <v>42</v>
      </c>
      <c r="B108" s="97"/>
      <c r="C108" s="98"/>
      <c r="D108" s="38" t="s">
        <v>327</v>
      </c>
      <c r="E108" s="37"/>
      <c r="F108" s="37"/>
      <c r="G108" s="37"/>
      <c r="H108" s="37"/>
      <c r="I108" s="37"/>
      <c r="J108" s="101" t="str">
        <f t="shared" si="24"/>
        <v>TBD</v>
      </c>
      <c r="K108" s="257" t="str">
        <f t="shared" si="25"/>
        <v/>
      </c>
      <c r="L108" s="465" t="s">
        <v>265</v>
      </c>
      <c r="M108" s="1"/>
      <c r="N108" s="1"/>
      <c r="O108" s="407"/>
      <c r="P108" s="320"/>
      <c r="Q108" s="1"/>
      <c r="R108" s="1"/>
      <c r="S108" s="1"/>
      <c r="T108" s="1"/>
      <c r="U108" s="1"/>
      <c r="V108" s="1"/>
      <c r="W108" s="114"/>
      <c r="X108" s="455" t="s">
        <v>265</v>
      </c>
      <c r="Y108" s="330"/>
      <c r="Z108" s="330"/>
      <c r="AA108" s="115" t="s">
        <v>342</v>
      </c>
      <c r="AB108" s="330"/>
      <c r="AC108" s="377" t="str">
        <f t="shared" si="26"/>
        <v/>
      </c>
      <c r="AD108" s="330"/>
      <c r="AE108" s="330"/>
      <c r="AF108" s="379" t="str">
        <f>X423</f>
        <v/>
      </c>
    </row>
    <row r="109" spans="1:35" ht="11.25" customHeight="1">
      <c r="A109" s="418">
        <v>43</v>
      </c>
      <c r="B109" s="97"/>
      <c r="C109" s="98"/>
      <c r="D109" s="38" t="s">
        <v>329</v>
      </c>
      <c r="E109" s="38"/>
      <c r="F109" s="38"/>
      <c r="G109" s="38"/>
      <c r="H109" s="38"/>
      <c r="I109" s="38"/>
      <c r="J109" s="101" t="str">
        <f t="shared" si="24"/>
        <v>TBD</v>
      </c>
      <c r="K109" s="257" t="str">
        <f t="shared" si="25"/>
        <v/>
      </c>
      <c r="L109" s="465" t="s">
        <v>265</v>
      </c>
      <c r="M109" s="1"/>
      <c r="N109" s="1"/>
      <c r="O109" s="407"/>
      <c r="P109" s="320"/>
      <c r="Q109" s="1"/>
      <c r="R109" s="1"/>
      <c r="S109" s="1"/>
      <c r="T109" s="1"/>
      <c r="U109" s="1"/>
      <c r="V109" s="1"/>
      <c r="W109" s="115"/>
      <c r="X109" s="455" t="s">
        <v>265</v>
      </c>
      <c r="Y109" s="330"/>
      <c r="Z109" s="330"/>
      <c r="AA109" s="335" t="s">
        <v>343</v>
      </c>
      <c r="AB109" s="618"/>
      <c r="AC109" s="377" t="str">
        <f t="shared" si="26"/>
        <v/>
      </c>
      <c r="AD109" s="635">
        <f>IF(Tables!I49="",AB109,Tables!I49/2.54)</f>
        <v>0</v>
      </c>
      <c r="AE109" s="379" t="s">
        <v>190</v>
      </c>
      <c r="AF109" s="379" t="str">
        <f>X424</f>
        <v/>
      </c>
    </row>
    <row r="110" spans="1:35" ht="11.25" customHeight="1">
      <c r="A110" s="418">
        <v>44</v>
      </c>
      <c r="B110" s="97"/>
      <c r="C110" s="98"/>
      <c r="D110" s="38" t="s">
        <v>332</v>
      </c>
      <c r="E110" s="38"/>
      <c r="F110" s="38"/>
      <c r="G110" s="38"/>
      <c r="H110" s="38"/>
      <c r="I110" s="38"/>
      <c r="J110" s="101" t="str">
        <f t="shared" si="24"/>
        <v>TBD</v>
      </c>
      <c r="K110" s="257" t="str">
        <f t="shared" si="25"/>
        <v/>
      </c>
      <c r="L110" s="465" t="s">
        <v>265</v>
      </c>
      <c r="M110" s="1"/>
      <c r="N110" s="1"/>
      <c r="O110" s="407"/>
      <c r="P110" s="320"/>
      <c r="Q110" s="1"/>
      <c r="R110" s="1"/>
      <c r="S110" s="1"/>
      <c r="T110" s="1"/>
      <c r="U110" s="1"/>
      <c r="V110" s="1"/>
      <c r="W110" s="1"/>
      <c r="X110" s="455" t="s">
        <v>265</v>
      </c>
      <c r="Y110" s="330"/>
      <c r="Z110" s="330"/>
      <c r="AA110" s="330"/>
      <c r="AB110" s="330"/>
      <c r="AC110" s="377" t="str">
        <f t="shared" si="26"/>
        <v/>
      </c>
      <c r="AD110" s="330"/>
      <c r="AE110" s="330"/>
      <c r="AF110" s="379" t="str">
        <f>X425</f>
        <v/>
      </c>
    </row>
    <row r="111" spans="1:35" ht="11.25" customHeight="1">
      <c r="A111" s="418">
        <v>45</v>
      </c>
      <c r="B111" s="97"/>
      <c r="C111" s="98"/>
      <c r="D111" s="38" t="s">
        <v>333</v>
      </c>
      <c r="E111" s="37"/>
      <c r="F111" s="37"/>
      <c r="G111" s="37"/>
      <c r="H111" s="37"/>
      <c r="I111" s="37"/>
      <c r="J111" s="101" t="str">
        <f t="shared" si="24"/>
        <v>TBD</v>
      </c>
      <c r="K111" s="257" t="str">
        <f t="shared" si="25"/>
        <v/>
      </c>
      <c r="L111" s="465" t="s">
        <v>265</v>
      </c>
      <c r="O111" s="402"/>
      <c r="P111" s="320"/>
      <c r="R111" s="151" t="s">
        <v>186</v>
      </c>
      <c r="X111" s="455" t="s">
        <v>265</v>
      </c>
      <c r="Y111" s="330"/>
      <c r="Z111" s="330"/>
      <c r="AA111" s="87" t="s">
        <v>298</v>
      </c>
      <c r="AB111" s="619"/>
      <c r="AC111" s="377" t="str">
        <f t="shared" si="26"/>
        <v/>
      </c>
      <c r="AD111" s="633" t="str">
        <f t="shared" ref="AD111:AD118" si="27">IF(P485="","",P485)</f>
        <v/>
      </c>
      <c r="AE111" s="330" t="s">
        <v>435</v>
      </c>
    </row>
    <row r="112" spans="1:35" ht="11.25" customHeight="1" thickBot="1">
      <c r="A112" s="418">
        <v>46</v>
      </c>
      <c r="B112" s="97"/>
      <c r="C112" s="98"/>
      <c r="D112" s="38"/>
      <c r="E112" s="38"/>
      <c r="F112" s="38"/>
      <c r="G112" s="38"/>
      <c r="H112" s="38"/>
      <c r="I112" s="38"/>
      <c r="J112" s="101"/>
      <c r="K112" s="257"/>
      <c r="L112" s="465" t="s">
        <v>265</v>
      </c>
      <c r="O112" s="402"/>
      <c r="P112" s="320"/>
      <c r="X112" s="455" t="s">
        <v>265</v>
      </c>
      <c r="Y112" s="330"/>
      <c r="Z112" s="330"/>
      <c r="AA112" s="330"/>
      <c r="AB112" s="619"/>
      <c r="AC112" s="377" t="str">
        <f t="shared" si="26"/>
        <v/>
      </c>
      <c r="AD112" s="633" t="str">
        <f t="shared" si="27"/>
        <v/>
      </c>
      <c r="AE112" s="330" t="s">
        <v>436</v>
      </c>
      <c r="AH112"/>
      <c r="AI112"/>
    </row>
    <row r="113" spans="1:35" ht="11.25" customHeight="1" thickTop="1">
      <c r="A113" s="418">
        <v>47</v>
      </c>
      <c r="B113" s="97"/>
      <c r="C113" s="98"/>
      <c r="K113" s="257"/>
      <c r="L113" s="465" t="s">
        <v>265</v>
      </c>
      <c r="M113" s="67"/>
      <c r="N113" s="50"/>
      <c r="O113" s="408"/>
      <c r="P113" s="317"/>
      <c r="Q113" s="471" t="s">
        <v>215</v>
      </c>
      <c r="R113" s="50"/>
      <c r="S113" s="50"/>
      <c r="T113" s="50"/>
      <c r="U113" s="50"/>
      <c r="V113" s="50"/>
      <c r="W113" s="68"/>
      <c r="X113" s="455" t="s">
        <v>265</v>
      </c>
      <c r="Y113" s="330"/>
      <c r="Z113" s="330"/>
      <c r="AA113" s="330"/>
      <c r="AB113" s="619"/>
      <c r="AC113" s="377" t="str">
        <f t="shared" si="26"/>
        <v/>
      </c>
      <c r="AD113" s="633" t="str">
        <f t="shared" si="27"/>
        <v/>
      </c>
      <c r="AE113" s="330" t="s">
        <v>437</v>
      </c>
    </row>
    <row r="114" spans="1:35" ht="11.25" customHeight="1">
      <c r="A114" s="418">
        <v>48</v>
      </c>
      <c r="B114" s="97"/>
      <c r="C114" s="98"/>
      <c r="K114" s="257"/>
      <c r="L114" s="465" t="s">
        <v>265</v>
      </c>
      <c r="M114" s="110"/>
      <c r="N114" s="42" t="s">
        <v>346</v>
      </c>
      <c r="O114" s="650" t="s">
        <v>653</v>
      </c>
      <c r="P114" s="318"/>
      <c r="Q114" s="466" t="str">
        <f>IF(OR(AB171=0,AB171=""),"",AB171)</f>
        <v/>
      </c>
      <c r="R114" s="36"/>
      <c r="S114" s="36"/>
      <c r="T114" s="36"/>
      <c r="U114" s="36"/>
      <c r="V114" s="36"/>
      <c r="W114" s="57"/>
      <c r="X114" s="455" t="s">
        <v>265</v>
      </c>
      <c r="Y114" s="330"/>
      <c r="Z114" s="330"/>
      <c r="AA114" s="330"/>
      <c r="AB114" s="619"/>
      <c r="AC114" s="377" t="str">
        <f t="shared" si="26"/>
        <v/>
      </c>
      <c r="AD114" s="633" t="str">
        <f t="shared" si="27"/>
        <v/>
      </c>
      <c r="AE114" s="330" t="s">
        <v>438</v>
      </c>
    </row>
    <row r="115" spans="1:35" ht="11.25" customHeight="1">
      <c r="A115" s="418">
        <v>49</v>
      </c>
      <c r="B115" s="110"/>
      <c r="K115" s="59"/>
      <c r="L115" s="465" t="s">
        <v>265</v>
      </c>
      <c r="M115" s="73"/>
      <c r="N115" s="416" t="s">
        <v>188</v>
      </c>
      <c r="O115" s="651"/>
      <c r="P115" s="417">
        <f>LEN(O114)</f>
        <v>17</v>
      </c>
      <c r="Q115" s="467"/>
      <c r="R115" s="470">
        <f>LEN(Q114)</f>
        <v>0</v>
      </c>
      <c r="S115" s="47"/>
      <c r="T115" s="47"/>
      <c r="U115" s="47"/>
      <c r="V115" s="47"/>
      <c r="W115" s="58"/>
      <c r="X115" s="455" t="s">
        <v>265</v>
      </c>
      <c r="Y115" s="330"/>
      <c r="Z115" s="330"/>
      <c r="AA115" s="330"/>
      <c r="AB115" s="619"/>
      <c r="AC115" s="377" t="str">
        <f t="shared" si="26"/>
        <v/>
      </c>
      <c r="AD115" s="633" t="str">
        <f t="shared" si="27"/>
        <v/>
      </c>
      <c r="AE115" s="330" t="s">
        <v>439</v>
      </c>
    </row>
    <row r="116" spans="1:35" ht="11.25" customHeight="1">
      <c r="A116" s="418">
        <v>50</v>
      </c>
      <c r="B116" s="110"/>
      <c r="K116" s="59"/>
      <c r="L116" s="465" t="s">
        <v>265</v>
      </c>
      <c r="M116" s="54"/>
      <c r="N116" s="42" t="s">
        <v>56</v>
      </c>
      <c r="O116" s="650" t="s">
        <v>654</v>
      </c>
      <c r="P116" s="318"/>
      <c r="Q116" s="466" t="str">
        <f>IF(OR(AB173=0,AB173=""),"",AB173)</f>
        <v/>
      </c>
      <c r="R116" s="36"/>
      <c r="S116" s="36"/>
      <c r="T116" s="36"/>
      <c r="U116" s="36"/>
      <c r="V116" s="36"/>
      <c r="W116" s="57"/>
      <c r="X116" s="455" t="s">
        <v>265</v>
      </c>
      <c r="Y116" s="330"/>
      <c r="Z116" s="330"/>
      <c r="AA116" s="330"/>
      <c r="AB116" s="619"/>
      <c r="AC116" s="377" t="str">
        <f t="shared" si="26"/>
        <v/>
      </c>
      <c r="AD116" s="633" t="str">
        <f t="shared" si="27"/>
        <v/>
      </c>
      <c r="AE116" s="330" t="s">
        <v>440</v>
      </c>
    </row>
    <row r="117" spans="1:35" ht="11.25" customHeight="1">
      <c r="A117" s="418">
        <v>51</v>
      </c>
      <c r="B117" s="110"/>
      <c r="K117" s="59"/>
      <c r="L117" s="465" t="s">
        <v>265</v>
      </c>
      <c r="M117" s="73"/>
      <c r="N117" s="416" t="s">
        <v>188</v>
      </c>
      <c r="O117" s="651"/>
      <c r="P117" s="417">
        <f>LEN(O116)</f>
        <v>35</v>
      </c>
      <c r="Q117" s="467"/>
      <c r="R117" s="470">
        <f>LEN(Q116)</f>
        <v>0</v>
      </c>
      <c r="S117" s="36"/>
      <c r="T117" s="36"/>
      <c r="U117" s="36"/>
      <c r="V117" s="36"/>
      <c r="W117" s="57"/>
      <c r="X117" s="455" t="s">
        <v>265</v>
      </c>
      <c r="Y117" s="330"/>
      <c r="Z117" s="330"/>
      <c r="AA117" s="330"/>
      <c r="AB117" s="619"/>
      <c r="AC117" s="377" t="str">
        <f t="shared" si="26"/>
        <v/>
      </c>
      <c r="AD117" s="633" t="str">
        <f t="shared" si="27"/>
        <v/>
      </c>
      <c r="AE117" s="330" t="s">
        <v>441</v>
      </c>
    </row>
    <row r="118" spans="1:35" ht="11.25" customHeight="1">
      <c r="A118" s="418">
        <v>52</v>
      </c>
      <c r="B118" s="110"/>
      <c r="K118" s="59"/>
      <c r="L118" s="465" t="s">
        <v>265</v>
      </c>
      <c r="M118" s="156"/>
      <c r="N118" s="42" t="s">
        <v>56</v>
      </c>
      <c r="O118" s="650" t="s">
        <v>655</v>
      </c>
      <c r="P118" s="318"/>
      <c r="Q118" s="466" t="str">
        <f>IF(OR(AB175=0,AB175=""),"",AB175)</f>
        <v/>
      </c>
      <c r="R118" s="36"/>
      <c r="S118" s="47"/>
      <c r="T118" s="47"/>
      <c r="U118" s="47"/>
      <c r="V118" s="47"/>
      <c r="W118" s="58"/>
      <c r="X118" s="455" t="s">
        <v>265</v>
      </c>
      <c r="Y118" s="330"/>
      <c r="Z118" s="330"/>
      <c r="AA118" s="330"/>
      <c r="AB118" s="619"/>
      <c r="AC118" s="377" t="str">
        <f t="shared" si="26"/>
        <v/>
      </c>
      <c r="AD118" s="633" t="str">
        <f t="shared" si="27"/>
        <v/>
      </c>
      <c r="AE118" s="330" t="s">
        <v>442</v>
      </c>
    </row>
    <row r="119" spans="1:35" ht="11.25" customHeight="1">
      <c r="A119" s="418">
        <v>53</v>
      </c>
      <c r="B119" s="110"/>
      <c r="K119" s="59"/>
      <c r="L119" s="465" t="s">
        <v>265</v>
      </c>
      <c r="M119" s="54"/>
      <c r="N119" s="416" t="s">
        <v>188</v>
      </c>
      <c r="O119" s="651"/>
      <c r="P119" s="417">
        <f>LEN(O118)</f>
        <v>71</v>
      </c>
      <c r="Q119" s="467"/>
      <c r="R119" s="470">
        <f>LEN(Q118)</f>
        <v>0</v>
      </c>
      <c r="S119" s="36"/>
      <c r="T119" s="36"/>
      <c r="U119" s="36"/>
      <c r="V119" s="36"/>
      <c r="W119" s="57"/>
      <c r="X119" s="455" t="s">
        <v>265</v>
      </c>
      <c r="Y119" s="330"/>
      <c r="Z119" s="330"/>
      <c r="AA119" s="330"/>
      <c r="AB119" s="330"/>
      <c r="AC119" s="377" t="str">
        <f t="shared" si="26"/>
        <v/>
      </c>
      <c r="AD119" s="330"/>
      <c r="AE119" s="330"/>
    </row>
    <row r="120" spans="1:35" ht="11.25" customHeight="1">
      <c r="A120" s="418">
        <v>54</v>
      </c>
      <c r="B120" s="110"/>
      <c r="K120" s="59"/>
      <c r="L120" s="465" t="s">
        <v>265</v>
      </c>
      <c r="M120" s="73"/>
      <c r="N120" s="42" t="s">
        <v>56</v>
      </c>
      <c r="O120" s="650" t="s">
        <v>656</v>
      </c>
      <c r="P120" s="318"/>
      <c r="Q120" s="466" t="str">
        <f>IF(OR(AB177=0,AB177=""),"",AB177)</f>
        <v/>
      </c>
      <c r="R120" s="36"/>
      <c r="S120" s="36"/>
      <c r="T120" s="36"/>
      <c r="U120" s="36"/>
      <c r="V120" s="36"/>
      <c r="W120" s="57"/>
      <c r="X120" s="455" t="s">
        <v>265</v>
      </c>
      <c r="Y120" s="330"/>
      <c r="Z120" s="330"/>
      <c r="AA120" s="87" t="s">
        <v>513</v>
      </c>
      <c r="AB120" s="620"/>
      <c r="AC120" s="377" t="str">
        <f t="shared" si="26"/>
        <v/>
      </c>
      <c r="AD120" s="666" t="str">
        <f>IF(R485="","",R485)</f>
        <v/>
      </c>
      <c r="AE120" s="330" t="s">
        <v>443</v>
      </c>
    </row>
    <row r="121" spans="1:35" ht="11.25" customHeight="1">
      <c r="A121" s="418">
        <v>55</v>
      </c>
      <c r="B121" s="110"/>
      <c r="K121" s="59"/>
      <c r="L121" s="465" t="s">
        <v>265</v>
      </c>
      <c r="M121" s="156"/>
      <c r="N121" s="416" t="s">
        <v>188</v>
      </c>
      <c r="O121" s="651"/>
      <c r="P121" s="417">
        <f>LEN(O120)</f>
        <v>50</v>
      </c>
      <c r="Q121" s="467"/>
      <c r="R121" s="470">
        <f>LEN(Q120)</f>
        <v>0</v>
      </c>
      <c r="S121" s="47"/>
      <c r="T121" s="47"/>
      <c r="U121" s="47"/>
      <c r="V121" s="47"/>
      <c r="W121" s="58"/>
      <c r="X121" s="455" t="s">
        <v>265</v>
      </c>
      <c r="Y121" s="330"/>
      <c r="Z121" s="330"/>
      <c r="AA121" s="87" t="str">
        <f>"@ "&amp;ROUND(AD109,1)&amp;" in."</f>
        <v>@ 0 in.</v>
      </c>
      <c r="AB121" s="620"/>
      <c r="AC121" s="377" t="str">
        <f t="shared" si="26"/>
        <v/>
      </c>
      <c r="AD121" s="666" t="str">
        <f t="shared" ref="AD121:AD127" si="28">IF(R486="","",R486)</f>
        <v/>
      </c>
      <c r="AE121" s="330" t="s">
        <v>444</v>
      </c>
    </row>
    <row r="122" spans="1:35" ht="11.25" customHeight="1">
      <c r="A122" s="418">
        <v>56</v>
      </c>
      <c r="B122" s="110"/>
      <c r="K122" s="59"/>
      <c r="L122" s="465" t="s">
        <v>265</v>
      </c>
      <c r="M122" s="54"/>
      <c r="N122" s="42" t="s">
        <v>56</v>
      </c>
      <c r="O122" s="650" t="s">
        <v>657</v>
      </c>
      <c r="P122" s="318"/>
      <c r="Q122" s="466" t="str">
        <f>IF(OR(AB179=0,AB179=""),"",AB179)</f>
        <v/>
      </c>
      <c r="R122" s="36"/>
      <c r="S122" s="36"/>
      <c r="T122" s="36"/>
      <c r="U122" s="36"/>
      <c r="V122" s="36"/>
      <c r="W122" s="57"/>
      <c r="X122" s="455" t="s">
        <v>265</v>
      </c>
      <c r="Y122" s="330"/>
      <c r="Z122" s="330"/>
      <c r="AA122" s="330"/>
      <c r="AB122" s="620"/>
      <c r="AC122" s="377" t="str">
        <f t="shared" ref="AC122:AC145" si="29">IF(AND(OR(AB122="",AB122=0),OR(AD122="",AD122=0)),"",IF(AB122&lt;&gt;AD122,"Change",""))</f>
        <v/>
      </c>
      <c r="AD122" s="666" t="str">
        <f t="shared" si="28"/>
        <v/>
      </c>
      <c r="AE122" s="330" t="s">
        <v>445</v>
      </c>
    </row>
    <row r="123" spans="1:35" ht="11.25" customHeight="1">
      <c r="A123" s="418">
        <v>57</v>
      </c>
      <c r="B123" s="110"/>
      <c r="K123" s="59"/>
      <c r="L123" s="465" t="s">
        <v>265</v>
      </c>
      <c r="M123" s="73"/>
      <c r="N123" s="416" t="s">
        <v>188</v>
      </c>
      <c r="O123" s="651"/>
      <c r="P123" s="417">
        <f>LEN(O122)</f>
        <v>62</v>
      </c>
      <c r="Q123" s="467"/>
      <c r="R123" s="470">
        <f>LEN(Q122)</f>
        <v>0</v>
      </c>
      <c r="S123" s="36"/>
      <c r="T123" s="36"/>
      <c r="U123" s="36"/>
      <c r="V123" s="36"/>
      <c r="W123" s="57"/>
      <c r="X123" s="455" t="s">
        <v>265</v>
      </c>
      <c r="Y123" s="330"/>
      <c r="Z123" s="330"/>
      <c r="AA123" s="330"/>
      <c r="AB123" s="620"/>
      <c r="AC123" s="377" t="str">
        <f t="shared" si="29"/>
        <v/>
      </c>
      <c r="AD123" s="666" t="str">
        <f t="shared" si="28"/>
        <v/>
      </c>
      <c r="AE123" s="330" t="s">
        <v>446</v>
      </c>
    </row>
    <row r="124" spans="1:35" ht="11.25" customHeight="1">
      <c r="A124" s="418">
        <v>58</v>
      </c>
      <c r="B124" s="110"/>
      <c r="K124" s="59"/>
      <c r="L124" s="465" t="s">
        <v>265</v>
      </c>
      <c r="M124" s="156"/>
      <c r="N124" s="42" t="s">
        <v>56</v>
      </c>
      <c r="O124" s="650"/>
      <c r="P124" s="318"/>
      <c r="Q124" s="466" t="str">
        <f>IF(OR(AB181=0,AB181=""),"",AB181)</f>
        <v/>
      </c>
      <c r="R124" s="36"/>
      <c r="S124" s="47"/>
      <c r="T124" s="47"/>
      <c r="U124" s="47"/>
      <c r="V124" s="47"/>
      <c r="W124" s="58"/>
      <c r="X124" s="455" t="s">
        <v>265</v>
      </c>
      <c r="Y124" s="330"/>
      <c r="AA124" s="330"/>
      <c r="AB124" s="620"/>
      <c r="AC124" s="377" t="str">
        <f t="shared" si="29"/>
        <v/>
      </c>
      <c r="AD124" s="666" t="str">
        <f t="shared" si="28"/>
        <v/>
      </c>
      <c r="AE124" s="330" t="s">
        <v>447</v>
      </c>
    </row>
    <row r="125" spans="1:35" ht="11.25" customHeight="1">
      <c r="A125" s="418">
        <v>59</v>
      </c>
      <c r="B125" s="110"/>
      <c r="K125" s="59"/>
      <c r="L125" s="465" t="s">
        <v>265</v>
      </c>
      <c r="M125" s="54"/>
      <c r="N125" s="416" t="s">
        <v>188</v>
      </c>
      <c r="O125" s="651"/>
      <c r="P125" s="417">
        <f>LEN(O124)</f>
        <v>0</v>
      </c>
      <c r="Q125" s="467"/>
      <c r="R125" s="470">
        <f>LEN(Q124)</f>
        <v>0</v>
      </c>
      <c r="S125" s="36"/>
      <c r="T125" s="36"/>
      <c r="U125" s="36"/>
      <c r="V125" s="36"/>
      <c r="W125" s="57"/>
      <c r="X125" s="455" t="s">
        <v>265</v>
      </c>
      <c r="Y125" s="330"/>
      <c r="AA125" s="330"/>
      <c r="AB125" s="620"/>
      <c r="AC125" s="377" t="str">
        <f t="shared" si="29"/>
        <v/>
      </c>
      <c r="AD125" s="666" t="str">
        <f t="shared" si="28"/>
        <v/>
      </c>
      <c r="AE125" s="330" t="s">
        <v>448</v>
      </c>
      <c r="AH125"/>
      <c r="AI125"/>
    </row>
    <row r="126" spans="1:35" ht="11.25" customHeight="1" thickBot="1">
      <c r="A126" s="418">
        <v>60</v>
      </c>
      <c r="B126" s="110"/>
      <c r="K126" s="59"/>
      <c r="L126" s="465" t="s">
        <v>265</v>
      </c>
      <c r="M126" s="73"/>
      <c r="N126" s="42" t="s">
        <v>56</v>
      </c>
      <c r="O126" s="650"/>
      <c r="P126" s="318"/>
      <c r="Q126" s="466" t="str">
        <f>IF(OR(AB183=0,AB183=""),"",AB183)</f>
        <v/>
      </c>
      <c r="R126" s="36"/>
      <c r="S126" s="36"/>
      <c r="T126" s="36"/>
      <c r="U126" s="36"/>
      <c r="V126" s="36"/>
      <c r="W126" s="57"/>
      <c r="X126" s="455" t="s">
        <v>265</v>
      </c>
      <c r="Y126" s="330"/>
      <c r="Z126" s="330"/>
      <c r="AA126" s="330"/>
      <c r="AB126" s="620"/>
      <c r="AC126" s="377" t="str">
        <f t="shared" si="29"/>
        <v/>
      </c>
      <c r="AD126" s="666" t="str">
        <f t="shared" si="28"/>
        <v/>
      </c>
      <c r="AE126" s="330" t="s">
        <v>449</v>
      </c>
      <c r="AH126" s="841" t="str">
        <f>ROUND(I605,1)&amp;" kV"</f>
        <v>80 kV</v>
      </c>
      <c r="AI126" s="841"/>
    </row>
    <row r="127" spans="1:35" ht="11.25" customHeight="1" thickBot="1">
      <c r="A127" s="418">
        <v>61</v>
      </c>
      <c r="B127" s="110"/>
      <c r="K127" s="59"/>
      <c r="L127" s="465" t="s">
        <v>265</v>
      </c>
      <c r="M127" s="156"/>
      <c r="N127" s="416" t="s">
        <v>188</v>
      </c>
      <c r="O127" s="651"/>
      <c r="P127" s="417">
        <f>LEN(O126)</f>
        <v>0</v>
      </c>
      <c r="Q127" s="467"/>
      <c r="R127" s="470">
        <f>LEN(Q126)</f>
        <v>0</v>
      </c>
      <c r="S127" s="47"/>
      <c r="T127" s="47"/>
      <c r="U127" s="47"/>
      <c r="V127" s="47"/>
      <c r="W127" s="58"/>
      <c r="X127" s="455" t="s">
        <v>265</v>
      </c>
      <c r="Y127" s="330"/>
      <c r="Z127" s="330"/>
      <c r="AA127" s="330"/>
      <c r="AB127" s="620"/>
      <c r="AC127" s="377" t="str">
        <f t="shared" si="29"/>
        <v/>
      </c>
      <c r="AD127" s="666" t="str">
        <f t="shared" si="28"/>
        <v/>
      </c>
      <c r="AE127" s="330" t="s">
        <v>450</v>
      </c>
      <c r="AH127" s="550" t="s">
        <v>147</v>
      </c>
      <c r="AI127" s="551" t="s">
        <v>148</v>
      </c>
    </row>
    <row r="128" spans="1:35" ht="11.25" customHeight="1">
      <c r="A128" s="418">
        <v>62</v>
      </c>
      <c r="B128" s="110"/>
      <c r="K128" s="59"/>
      <c r="L128" s="465" t="s">
        <v>265</v>
      </c>
      <c r="M128" s="54"/>
      <c r="N128" s="42" t="s">
        <v>56</v>
      </c>
      <c r="O128" s="650"/>
      <c r="P128" s="318"/>
      <c r="Q128" s="466" t="str">
        <f>IF(OR(AB185=0,AB185=""),"",AB185)</f>
        <v/>
      </c>
      <c r="R128" s="36"/>
      <c r="S128" s="36"/>
      <c r="T128" s="36"/>
      <c r="U128" s="36"/>
      <c r="V128" s="36"/>
      <c r="W128" s="57"/>
      <c r="X128" s="455" t="s">
        <v>265</v>
      </c>
      <c r="Y128" s="330"/>
      <c r="Z128" s="335"/>
      <c r="AA128" s="330"/>
      <c r="AB128" s="330"/>
      <c r="AC128" s="377" t="str">
        <f t="shared" si="29"/>
        <v/>
      </c>
      <c r="AD128" s="330"/>
      <c r="AE128" s="330"/>
      <c r="AH128" s="552" t="e">
        <f>IF(HVL="TBD","TBD",SMALL($M$465:$M$471,2))</f>
        <v>#DIV/0!</v>
      </c>
      <c r="AI128" s="553" t="e">
        <f t="shared" ref="AI128:AI133" si="30">IF(HVL="TBD","TBD",IF(AH128="",NA(),INDEX($N$465:$N$471,MATCH(AH128,$M$465:$M$471,0))))</f>
        <v>#DIV/0!</v>
      </c>
    </row>
    <row r="129" spans="1:35" ht="11.25" customHeight="1">
      <c r="A129" s="418">
        <v>63</v>
      </c>
      <c r="B129" s="97"/>
      <c r="C129" s="131"/>
      <c r="D129" s="38"/>
      <c r="J129" s="101"/>
      <c r="K129" s="257"/>
      <c r="L129" s="465" t="s">
        <v>265</v>
      </c>
      <c r="M129" s="73"/>
      <c r="N129" s="416" t="s">
        <v>188</v>
      </c>
      <c r="O129" s="651"/>
      <c r="P129" s="417">
        <f>LEN(O128)</f>
        <v>0</v>
      </c>
      <c r="Q129" s="467"/>
      <c r="R129" s="470">
        <f>LEN(Q128)</f>
        <v>0</v>
      </c>
      <c r="S129" s="36"/>
      <c r="T129" s="36"/>
      <c r="U129" s="36"/>
      <c r="V129" s="36"/>
      <c r="W129" s="57"/>
      <c r="X129" s="455" t="s">
        <v>265</v>
      </c>
      <c r="Y129" s="330"/>
      <c r="Z129" s="335"/>
      <c r="AA129" s="115" t="s">
        <v>345</v>
      </c>
      <c r="AB129" s="330"/>
      <c r="AC129" s="377" t="str">
        <f t="shared" si="29"/>
        <v/>
      </c>
      <c r="AD129" s="330"/>
      <c r="AE129" s="330"/>
      <c r="AH129" s="554" t="e">
        <f>IF(HVL="TBD","TBD",SMALL($M$465:$M$471,3))</f>
        <v>#DIV/0!</v>
      </c>
      <c r="AI129" s="553" t="e">
        <f t="shared" si="30"/>
        <v>#DIV/0!</v>
      </c>
    </row>
    <row r="130" spans="1:35" ht="11.25" customHeight="1" thickBot="1">
      <c r="A130" s="418">
        <v>64</v>
      </c>
      <c r="B130" s="86"/>
      <c r="C130" s="71"/>
      <c r="D130" s="71"/>
      <c r="E130" s="71"/>
      <c r="F130" s="71"/>
      <c r="G130" s="71"/>
      <c r="H130" s="71"/>
      <c r="I130" s="71"/>
      <c r="J130" s="281"/>
      <c r="K130" s="284"/>
      <c r="L130" s="465" t="s">
        <v>265</v>
      </c>
      <c r="M130" s="156"/>
      <c r="N130" s="42" t="s">
        <v>56</v>
      </c>
      <c r="O130" s="650"/>
      <c r="P130" s="318"/>
      <c r="Q130" s="466" t="str">
        <f>IF(OR(AB187=0,AB187=""),"",AB187)</f>
        <v/>
      </c>
      <c r="R130" s="36"/>
      <c r="S130" s="47"/>
      <c r="T130" s="47"/>
      <c r="U130" s="47"/>
      <c r="V130" s="47"/>
      <c r="W130" s="58"/>
      <c r="X130" s="455" t="s">
        <v>265</v>
      </c>
      <c r="Y130" s="330"/>
      <c r="Z130" s="335"/>
      <c r="AA130" s="335" t="s">
        <v>343</v>
      </c>
      <c r="AB130" s="619"/>
      <c r="AC130" s="377" t="str">
        <f t="shared" si="29"/>
        <v/>
      </c>
      <c r="AD130" s="635">
        <f>IF(Tables!I71="",AB130,Tables!I71/2.54)</f>
        <v>0</v>
      </c>
      <c r="AE130" s="379" t="s">
        <v>191</v>
      </c>
      <c r="AH130" s="554" t="e">
        <f>IF(HVL="TBD","TBD",SMALL($M$465:$M$471,4))</f>
        <v>#DIV/0!</v>
      </c>
      <c r="AI130" s="553" t="e">
        <f t="shared" si="30"/>
        <v>#DIV/0!</v>
      </c>
    </row>
    <row r="131" spans="1:35" ht="11.25" customHeight="1" thickTop="1">
      <c r="A131" s="418">
        <v>65</v>
      </c>
      <c r="B131" s="40" t="str">
        <f t="array" ref="B131:C132">$B$65:$C$66</f>
        <v>Date:</v>
      </c>
      <c r="C131" s="674" t="str">
        <v/>
      </c>
      <c r="D131" s="102"/>
      <c r="E131" s="39"/>
      <c r="F131" s="39"/>
      <c r="G131" s="39"/>
      <c r="H131" s="39"/>
      <c r="I131" s="40" t="str">
        <f t="array" ref="I131:J132">$I$65:$J$66</f>
        <v>Inspector:</v>
      </c>
      <c r="J131" s="303" t="str">
        <v>Eugene Mah</v>
      </c>
      <c r="L131" s="465" t="s">
        <v>265</v>
      </c>
      <c r="M131" s="54"/>
      <c r="N131" s="416" t="s">
        <v>188</v>
      </c>
      <c r="O131" s="651"/>
      <c r="P131" s="417">
        <f>LEN(O130)</f>
        <v>0</v>
      </c>
      <c r="Q131" s="467"/>
      <c r="R131" s="470">
        <f>LEN(Q130)</f>
        <v>0</v>
      </c>
      <c r="S131" s="36"/>
      <c r="T131" s="36"/>
      <c r="U131" s="36"/>
      <c r="V131" s="36"/>
      <c r="W131" s="57"/>
      <c r="X131" s="455" t="s">
        <v>265</v>
      </c>
      <c r="Y131" s="330"/>
      <c r="Z131" s="335"/>
      <c r="AA131" s="330"/>
      <c r="AB131" s="330"/>
      <c r="AC131" s="377" t="str">
        <f t="shared" si="29"/>
        <v/>
      </c>
      <c r="AD131" s="330"/>
      <c r="AE131" s="330"/>
      <c r="AH131" s="554" t="e">
        <f>IF(HVL="TBD","TBD",IF(ALUM_3="",NA(),SMALL($M$465:$M$471,5)))</f>
        <v>#DIV/0!</v>
      </c>
      <c r="AI131" s="553" t="e">
        <f t="shared" si="30"/>
        <v>#DIV/0!</v>
      </c>
    </row>
    <row r="132" spans="1:35" ht="11.25" customHeight="1">
      <c r="A132" s="418">
        <v>66</v>
      </c>
      <c r="B132" s="40" t="str">
        <v>Room Number:</v>
      </c>
      <c r="C132" s="271" t="str">
        <v/>
      </c>
      <c r="E132" s="39"/>
      <c r="F132" s="39"/>
      <c r="G132" s="39"/>
      <c r="H132" s="39"/>
      <c r="I132" s="40" t="str">
        <v>Survey ID:</v>
      </c>
      <c r="J132" s="615" t="str">
        <v/>
      </c>
      <c r="L132" s="465" t="s">
        <v>265</v>
      </c>
      <c r="M132" s="73"/>
      <c r="N132" s="42" t="s">
        <v>56</v>
      </c>
      <c r="O132" s="650"/>
      <c r="P132" s="318"/>
      <c r="Q132" s="466" t="str">
        <f>IF(OR(AB189=0,AB189=""),"",AB189)</f>
        <v/>
      </c>
      <c r="R132" s="36"/>
      <c r="S132" s="36"/>
      <c r="T132" s="36"/>
      <c r="U132" s="36"/>
      <c r="V132" s="36"/>
      <c r="W132" s="57"/>
      <c r="X132" s="455" t="s">
        <v>265</v>
      </c>
      <c r="Y132" s="330"/>
      <c r="Z132" s="335"/>
      <c r="AA132" s="87" t="s">
        <v>298</v>
      </c>
      <c r="AB132" s="619"/>
      <c r="AC132" s="377" t="str">
        <f t="shared" si="29"/>
        <v/>
      </c>
      <c r="AD132" s="637" t="str">
        <f t="shared" ref="AD132:AD137" si="31">IF(P502="","",P502)</f>
        <v/>
      </c>
      <c r="AE132" s="330" t="s">
        <v>451</v>
      </c>
      <c r="AH132" s="554" t="e">
        <f>IF(HVL="TBD","TBD",IF(ALUM_4="",NA(),SMALL($M$465:$M$471,6)))</f>
        <v>#DIV/0!</v>
      </c>
      <c r="AI132" s="553" t="e">
        <f t="shared" si="30"/>
        <v>#DIV/0!</v>
      </c>
    </row>
    <row r="133" spans="1:35" ht="11.25" customHeight="1" thickBot="1">
      <c r="A133" s="418">
        <v>1</v>
      </c>
      <c r="K133" s="114" t="str">
        <f>$F$2</f>
        <v>Medical University of South Carolina</v>
      </c>
      <c r="L133" s="465" t="s">
        <v>265</v>
      </c>
      <c r="M133" s="156"/>
      <c r="N133" s="416" t="s">
        <v>188</v>
      </c>
      <c r="O133" s="651"/>
      <c r="P133" s="417">
        <f>LEN(O132)</f>
        <v>0</v>
      </c>
      <c r="Q133" s="467"/>
      <c r="R133" s="470">
        <f>LEN(Q132)</f>
        <v>0</v>
      </c>
      <c r="S133" s="47"/>
      <c r="T133" s="47"/>
      <c r="U133" s="47"/>
      <c r="V133" s="47"/>
      <c r="W133" s="58"/>
      <c r="X133" s="455" t="s">
        <v>265</v>
      </c>
      <c r="Y133" s="330"/>
      <c r="Z133" s="335"/>
      <c r="AA133" s="330"/>
      <c r="AB133" s="619"/>
      <c r="AC133" s="377" t="str">
        <f t="shared" si="29"/>
        <v/>
      </c>
      <c r="AD133" s="637" t="str">
        <f t="shared" si="31"/>
        <v/>
      </c>
      <c r="AE133" s="330" t="s">
        <v>452</v>
      </c>
      <c r="AH133" s="555" t="e">
        <f>IF(HVL="TBD","TBD",IF(ALUM_5="",NA(),SMALL($M$465:$M$471,7)))</f>
        <v>#DIV/0!</v>
      </c>
      <c r="AI133" s="556" t="e">
        <f t="shared" si="30"/>
        <v>#DIV/0!</v>
      </c>
    </row>
    <row r="134" spans="1:35" ht="11.25" customHeight="1">
      <c r="A134" s="418">
        <v>2</v>
      </c>
      <c r="F134" s="70" t="s">
        <v>566</v>
      </c>
      <c r="K134" s="115" t="str">
        <f>$F$5</f>
        <v>Radiation Oncology IGRT Compliance Inspection</v>
      </c>
      <c r="L134" s="465" t="s">
        <v>265</v>
      </c>
      <c r="M134" s="54"/>
      <c r="N134" s="42" t="s">
        <v>56</v>
      </c>
      <c r="O134" s="650"/>
      <c r="P134" s="318"/>
      <c r="Q134" s="466" t="str">
        <f>IF(OR(AB191=0,AB191=""),"",AB191)</f>
        <v/>
      </c>
      <c r="R134" s="36"/>
      <c r="S134" s="36"/>
      <c r="T134" s="36"/>
      <c r="U134" s="36"/>
      <c r="V134" s="36"/>
      <c r="W134" s="57"/>
      <c r="X134" s="455" t="s">
        <v>265</v>
      </c>
      <c r="Y134" s="330"/>
      <c r="Z134" s="335"/>
      <c r="AA134" s="330"/>
      <c r="AB134" s="619"/>
      <c r="AC134" s="377" t="str">
        <f t="shared" si="29"/>
        <v/>
      </c>
      <c r="AD134" s="637" t="str">
        <f t="shared" si="31"/>
        <v/>
      </c>
      <c r="AE134" s="330" t="s">
        <v>453</v>
      </c>
    </row>
    <row r="135" spans="1:35" ht="11.25" customHeight="1" thickBot="1">
      <c r="A135" s="418">
        <v>3</v>
      </c>
      <c r="L135" s="465" t="s">
        <v>265</v>
      </c>
      <c r="M135" s="73"/>
      <c r="N135" s="416" t="s">
        <v>188</v>
      </c>
      <c r="O135" s="651"/>
      <c r="P135" s="417">
        <f>LEN(O134)</f>
        <v>0</v>
      </c>
      <c r="Q135" s="467"/>
      <c r="R135" s="470">
        <f>LEN(Q134)</f>
        <v>0</v>
      </c>
      <c r="S135" s="36"/>
      <c r="T135" s="36"/>
      <c r="U135" s="36"/>
      <c r="V135" s="36"/>
      <c r="W135" s="57"/>
      <c r="X135" s="455" t="s">
        <v>265</v>
      </c>
      <c r="Y135" s="330"/>
      <c r="Z135" s="335"/>
      <c r="AA135" s="330"/>
      <c r="AB135" s="619"/>
      <c r="AC135" s="377" t="str">
        <f t="shared" si="29"/>
        <v/>
      </c>
      <c r="AD135" s="637" t="str">
        <f t="shared" si="31"/>
        <v/>
      </c>
      <c r="AE135" s="330" t="s">
        <v>454</v>
      </c>
    </row>
    <row r="136" spans="1:35" ht="11.25" customHeight="1" thickTop="1">
      <c r="A136" s="418">
        <v>4</v>
      </c>
      <c r="B136" s="67"/>
      <c r="C136" s="50"/>
      <c r="D136" s="50"/>
      <c r="E136" s="50"/>
      <c r="F136" s="50"/>
      <c r="G136" s="50"/>
      <c r="H136" s="50"/>
      <c r="I136" s="50"/>
      <c r="J136" s="50"/>
      <c r="K136" s="68"/>
      <c r="L136" s="465" t="s">
        <v>265</v>
      </c>
      <c r="M136" s="156"/>
      <c r="N136" s="42" t="s">
        <v>56</v>
      </c>
      <c r="O136" s="650"/>
      <c r="P136" s="318"/>
      <c r="Q136" s="466" t="str">
        <f>IF(OR(AB193=0,AB193=""),"",AB193)</f>
        <v/>
      </c>
      <c r="R136" s="36"/>
      <c r="S136" s="47"/>
      <c r="T136" s="47"/>
      <c r="U136" s="47"/>
      <c r="V136" s="47"/>
      <c r="W136" s="58"/>
      <c r="X136" s="455" t="s">
        <v>265</v>
      </c>
      <c r="Y136" s="330"/>
      <c r="Z136" s="335"/>
      <c r="AA136" s="330"/>
      <c r="AB136" s="619"/>
      <c r="AC136" s="377" t="str">
        <f t="shared" si="29"/>
        <v/>
      </c>
      <c r="AD136" s="637" t="str">
        <f t="shared" si="31"/>
        <v/>
      </c>
      <c r="AE136" s="330" t="s">
        <v>455</v>
      </c>
    </row>
    <row r="137" spans="1:35" ht="11.25" customHeight="1">
      <c r="A137" s="418">
        <v>5</v>
      </c>
      <c r="B137" s="90" t="s">
        <v>346</v>
      </c>
      <c r="C137" s="420" t="str">
        <f>IF(O79="","",IF(LEN(O79)&lt;=135,O79,IF(LEN(O79)&lt;=260,LEFT(O79,SEARCH(" ",O79,125)),LEFT(O79,SEARCH(" ",O79,130)))))</f>
        <v/>
      </c>
      <c r="D137" s="273"/>
      <c r="E137" s="273"/>
      <c r="F137" s="273"/>
      <c r="G137" s="273"/>
      <c r="H137" s="273"/>
      <c r="I137" s="273"/>
      <c r="J137" s="273"/>
      <c r="K137" s="57"/>
      <c r="L137" s="465" t="s">
        <v>265</v>
      </c>
      <c r="M137" s="54"/>
      <c r="N137" s="416" t="s">
        <v>188</v>
      </c>
      <c r="O137" s="651"/>
      <c r="P137" s="417">
        <f>LEN(O136)</f>
        <v>0</v>
      </c>
      <c r="Q137" s="467"/>
      <c r="R137" s="470">
        <f>LEN(Q136)</f>
        <v>0</v>
      </c>
      <c r="S137" s="36"/>
      <c r="T137" s="36"/>
      <c r="U137" s="36"/>
      <c r="V137" s="36"/>
      <c r="W137" s="57"/>
      <c r="X137" s="455" t="s">
        <v>265</v>
      </c>
      <c r="Y137" s="330"/>
      <c r="Z137" s="335"/>
      <c r="AA137" s="330"/>
      <c r="AB137" s="619"/>
      <c r="AC137" s="377" t="str">
        <f t="shared" si="29"/>
        <v/>
      </c>
      <c r="AD137" s="637" t="str">
        <f t="shared" si="31"/>
        <v/>
      </c>
      <c r="AE137" s="330" t="s">
        <v>456</v>
      </c>
    </row>
    <row r="138" spans="1:35" ht="11.25" customHeight="1">
      <c r="A138" s="418">
        <v>6</v>
      </c>
      <c r="B138" s="73"/>
      <c r="C138" s="420" t="str">
        <f>IF(LEN(O79)&lt;=135,"",IF(LEN(O79)&lt;=260,RIGHT(O79,LEN(O79)-SEARCH(" ",O79,125)),MID(O79,SEARCH(" ",O79,130),IF(LEN(O79)&lt;=265,LEN(O79),SEARCH(" ",O79,255)-SEARCH(" ",O79,130)))))</f>
        <v/>
      </c>
      <c r="D138" s="273"/>
      <c r="E138" s="273"/>
      <c r="F138" s="273"/>
      <c r="G138" s="273"/>
      <c r="H138" s="273"/>
      <c r="I138" s="273"/>
      <c r="J138" s="273"/>
      <c r="K138" s="57"/>
      <c r="L138" s="465" t="s">
        <v>265</v>
      </c>
      <c r="M138" s="73"/>
      <c r="N138" s="42" t="s">
        <v>56</v>
      </c>
      <c r="O138" s="650"/>
      <c r="P138" s="318"/>
      <c r="Q138" s="466" t="str">
        <f>IF(OR(AB195=0,AB195=""),"",AB195)</f>
        <v/>
      </c>
      <c r="R138" s="36"/>
      <c r="S138" s="36"/>
      <c r="T138" s="36"/>
      <c r="U138" s="36"/>
      <c r="V138" s="36"/>
      <c r="W138" s="57"/>
      <c r="X138" s="455" t="s">
        <v>265</v>
      </c>
      <c r="Y138" s="330"/>
      <c r="Z138" s="330"/>
      <c r="AA138" s="330"/>
      <c r="AB138" s="330"/>
      <c r="AC138" s="377" t="str">
        <f t="shared" si="29"/>
        <v/>
      </c>
      <c r="AD138" s="330"/>
      <c r="AE138" s="330"/>
    </row>
    <row r="139" spans="1:35" ht="11.25" customHeight="1">
      <c r="A139" s="418">
        <v>7</v>
      </c>
      <c r="B139" s="73"/>
      <c r="C139" s="420" t="str">
        <f>IF(LEN(O79)&lt;=265,"",RIGHT(O79,LEN(O79)-SEARCH(" ",O79,255)))</f>
        <v/>
      </c>
      <c r="D139" s="273"/>
      <c r="E139" s="273"/>
      <c r="F139" s="273"/>
      <c r="G139" s="273"/>
      <c r="H139" s="273"/>
      <c r="I139" s="273"/>
      <c r="J139" s="273"/>
      <c r="K139" s="57"/>
      <c r="L139" s="465" t="s">
        <v>265</v>
      </c>
      <c r="M139" s="156"/>
      <c r="N139" s="416" t="s">
        <v>188</v>
      </c>
      <c r="O139" s="651"/>
      <c r="P139" s="417">
        <f>LEN(O138)</f>
        <v>0</v>
      </c>
      <c r="Q139" s="467"/>
      <c r="R139" s="470">
        <f>LEN(Q138)</f>
        <v>0</v>
      </c>
      <c r="S139" s="47"/>
      <c r="T139" s="47"/>
      <c r="U139" s="47"/>
      <c r="V139" s="47"/>
      <c r="W139" s="58"/>
      <c r="X139" s="455" t="s">
        <v>265</v>
      </c>
      <c r="Z139" s="330"/>
      <c r="AA139" s="87" t="s">
        <v>513</v>
      </c>
      <c r="AB139" s="620"/>
      <c r="AC139" s="377" t="str">
        <f t="shared" si="29"/>
        <v/>
      </c>
      <c r="AD139" s="666" t="str">
        <f t="shared" ref="AD139:AD144" si="32">IF(R502="","",R502)</f>
        <v/>
      </c>
      <c r="AE139" s="330" t="s">
        <v>457</v>
      </c>
    </row>
    <row r="140" spans="1:35" ht="11.25" customHeight="1">
      <c r="A140" s="418">
        <v>8</v>
      </c>
      <c r="B140" s="419"/>
      <c r="C140" s="420" t="str">
        <f>IF(O81="","",IF(LEN(O81)&lt;=135,O81,IF(LEN(O81)&lt;=260,LEFT(O81,SEARCH(" ",O81,125)),LEFT(O81,SEARCH(" ",O81,130)))))</f>
        <v/>
      </c>
      <c r="D140" s="273"/>
      <c r="E140" s="273"/>
      <c r="F140" s="273"/>
      <c r="G140" s="273"/>
      <c r="H140" s="273"/>
      <c r="I140" s="273"/>
      <c r="J140" s="273"/>
      <c r="K140" s="57"/>
      <c r="L140" s="465" t="s">
        <v>265</v>
      </c>
      <c r="M140" s="110"/>
      <c r="N140" s="42" t="s">
        <v>56</v>
      </c>
      <c r="O140" s="650"/>
      <c r="P140" s="318"/>
      <c r="Q140" s="466" t="str">
        <f>IF(OR(AB197=0,AB197=""),"",AB197)</f>
        <v/>
      </c>
      <c r="R140" s="36"/>
      <c r="S140" s="47"/>
      <c r="T140" s="47"/>
      <c r="U140" s="47"/>
      <c r="V140" s="47"/>
      <c r="W140" s="59"/>
      <c r="X140" s="455" t="s">
        <v>265</v>
      </c>
      <c r="Z140" s="330"/>
      <c r="AA140" s="87" t="str">
        <f>"@ "&amp;ROUND(AD130,1)&amp;" in."</f>
        <v>@ 0 in.</v>
      </c>
      <c r="AB140" s="620"/>
      <c r="AC140" s="377" t="str">
        <f t="shared" si="29"/>
        <v/>
      </c>
      <c r="AD140" s="666" t="str">
        <f t="shared" si="32"/>
        <v/>
      </c>
      <c r="AE140" s="330" t="s">
        <v>458</v>
      </c>
    </row>
    <row r="141" spans="1:35" ht="11.25" customHeight="1">
      <c r="A141" s="418">
        <v>9</v>
      </c>
      <c r="B141" s="419"/>
      <c r="C141" s="420" t="str">
        <f>IF(LEN(O81)&lt;=135,"",IF(LEN(O81)&lt;=260,RIGHT(O81,LEN(O81)-SEARCH(" ",O81,125)),MID(O81,SEARCH(" ",O81,130),IF(LEN(O81)&lt;=265,LEN(O81),SEARCH(" ",O81,255)-SEARCH(" ",O81,130)))))</f>
        <v/>
      </c>
      <c r="D141" s="273"/>
      <c r="E141" s="273"/>
      <c r="F141" s="273"/>
      <c r="G141" s="273"/>
      <c r="H141" s="273"/>
      <c r="I141" s="273"/>
      <c r="J141" s="273"/>
      <c r="K141" s="57"/>
      <c r="L141" s="465" t="s">
        <v>265</v>
      </c>
      <c r="M141" s="110"/>
      <c r="N141" s="416" t="s">
        <v>188</v>
      </c>
      <c r="O141" s="651"/>
      <c r="P141" s="417">
        <f>LEN(O140)</f>
        <v>0</v>
      </c>
      <c r="Q141" s="467"/>
      <c r="R141" s="470">
        <f>LEN(Q140)</f>
        <v>0</v>
      </c>
      <c r="S141" s="36"/>
      <c r="T141" s="36"/>
      <c r="U141" s="36"/>
      <c r="V141" s="36"/>
      <c r="W141" s="59"/>
      <c r="X141" s="455" t="s">
        <v>265</v>
      </c>
      <c r="Z141" s="330"/>
      <c r="AA141" s="330"/>
      <c r="AB141" s="620"/>
      <c r="AC141" s="377" t="str">
        <f t="shared" si="29"/>
        <v/>
      </c>
      <c r="AD141" s="666" t="str">
        <f t="shared" si="32"/>
        <v/>
      </c>
      <c r="AE141" s="330" t="s">
        <v>459</v>
      </c>
    </row>
    <row r="142" spans="1:35" ht="11.25" customHeight="1">
      <c r="A142" s="418">
        <v>10</v>
      </c>
      <c r="B142" s="419"/>
      <c r="C142" s="420" t="str">
        <f>IF(LEN(O81)&lt;=265,"",RIGHT(O81,LEN(O81)-SEARCH(" ",O81,255)))</f>
        <v/>
      </c>
      <c r="D142" s="273"/>
      <c r="E142" s="273"/>
      <c r="F142" s="273"/>
      <c r="G142" s="273"/>
      <c r="H142" s="273"/>
      <c r="I142" s="273"/>
      <c r="J142" s="273"/>
      <c r="K142" s="57"/>
      <c r="L142" s="465" t="s">
        <v>265</v>
      </c>
      <c r="M142" s="110"/>
      <c r="N142" s="42" t="s">
        <v>56</v>
      </c>
      <c r="O142" s="650"/>
      <c r="P142" s="318"/>
      <c r="Q142" s="466" t="str">
        <f>IF(OR(AB199=0,AB199=""),"",AB199)</f>
        <v/>
      </c>
      <c r="R142" s="36"/>
      <c r="S142" s="47"/>
      <c r="T142" s="47"/>
      <c r="U142" s="47"/>
      <c r="V142" s="47"/>
      <c r="W142" s="59"/>
      <c r="X142" s="455" t="s">
        <v>265</v>
      </c>
      <c r="Z142" s="330"/>
      <c r="AA142" s="330"/>
      <c r="AB142" s="620"/>
      <c r="AC142" s="377" t="str">
        <f t="shared" si="29"/>
        <v/>
      </c>
      <c r="AD142" s="666" t="str">
        <f t="shared" si="32"/>
        <v/>
      </c>
      <c r="AE142" s="330" t="s">
        <v>460</v>
      </c>
    </row>
    <row r="143" spans="1:35" ht="11.25" customHeight="1">
      <c r="A143" s="418">
        <v>11</v>
      </c>
      <c r="B143" s="155"/>
      <c r="C143" s="420" t="str">
        <f>IF(O83="","",IF(LEN(O83)&lt;=135,O83,IF(LEN(O83)&lt;=260,LEFT(O83,SEARCH(" ",O83,125)),LEFT(O83,SEARCH(" ",O83,130)))))</f>
        <v/>
      </c>
      <c r="D143" s="273"/>
      <c r="E143" s="273"/>
      <c r="F143" s="273"/>
      <c r="G143" s="273"/>
      <c r="H143" s="273"/>
      <c r="I143" s="273"/>
      <c r="J143" s="273"/>
      <c r="K143" s="57"/>
      <c r="L143" s="465" t="s">
        <v>265</v>
      </c>
      <c r="M143" s="110"/>
      <c r="N143" s="416" t="s">
        <v>188</v>
      </c>
      <c r="O143" s="651"/>
      <c r="P143" s="417">
        <f>LEN(O142)</f>
        <v>0</v>
      </c>
      <c r="Q143" s="467"/>
      <c r="R143" s="470">
        <f>LEN(Q142)</f>
        <v>0</v>
      </c>
      <c r="S143" s="47"/>
      <c r="T143" s="47"/>
      <c r="U143" s="47"/>
      <c r="V143" s="47"/>
      <c r="W143" s="59"/>
      <c r="X143" s="455" t="s">
        <v>265</v>
      </c>
      <c r="Z143" s="330"/>
      <c r="AA143" s="330"/>
      <c r="AB143" s="620"/>
      <c r="AC143" s="377" t="str">
        <f t="shared" si="29"/>
        <v/>
      </c>
      <c r="AD143" s="666" t="str">
        <f t="shared" si="32"/>
        <v/>
      </c>
      <c r="AE143" s="330" t="s">
        <v>461</v>
      </c>
    </row>
    <row r="144" spans="1:35" ht="11.25" customHeight="1">
      <c r="A144" s="418">
        <v>12</v>
      </c>
      <c r="B144" s="155"/>
      <c r="C144" s="420" t="str">
        <f>IF(LEN(O83)&lt;=135,"",IF(LEN(O83)&lt;=260,RIGHT(O83,LEN(O83)-SEARCH(" ",O83,125)),MID(O83,SEARCH(" ",O83,130),IF(LEN(O83)&lt;=265,LEN(O83),SEARCH(" ",O83,255)-SEARCH(" ",O83,130)))))</f>
        <v/>
      </c>
      <c r="D144" s="273"/>
      <c r="E144" s="273"/>
      <c r="F144" s="273"/>
      <c r="G144" s="273"/>
      <c r="H144" s="273"/>
      <c r="I144" s="273"/>
      <c r="J144" s="273"/>
      <c r="K144" s="57"/>
      <c r="L144" s="465" t="s">
        <v>265</v>
      </c>
      <c r="M144" s="110"/>
      <c r="N144" s="42" t="s">
        <v>56</v>
      </c>
      <c r="O144" s="650"/>
      <c r="P144" s="318"/>
      <c r="Q144" s="466" t="str">
        <f>IF(OR(AB201=0,AB201=""),"",AB201)</f>
        <v/>
      </c>
      <c r="R144" s="36"/>
      <c r="S144" s="36"/>
      <c r="T144" s="36"/>
      <c r="U144" s="36"/>
      <c r="V144" s="36"/>
      <c r="W144" s="59"/>
      <c r="X144" s="455" t="s">
        <v>265</v>
      </c>
      <c r="Z144" s="330"/>
      <c r="AA144" s="330"/>
      <c r="AB144" s="620"/>
      <c r="AC144" s="377" t="str">
        <f t="shared" si="29"/>
        <v/>
      </c>
      <c r="AD144" s="666" t="str">
        <f t="shared" si="32"/>
        <v/>
      </c>
      <c r="AE144" s="330" t="s">
        <v>462</v>
      </c>
    </row>
    <row r="145" spans="1:31" ht="11.25" customHeight="1">
      <c r="A145" s="418">
        <v>13</v>
      </c>
      <c r="B145" s="155"/>
      <c r="C145" s="420" t="str">
        <f>IF(LEN(O83)&lt;=265,"",RIGHT(O83,LEN(O83)-SEARCH(" ",O83,255)))</f>
        <v/>
      </c>
      <c r="D145" s="273"/>
      <c r="E145" s="273"/>
      <c r="F145" s="273"/>
      <c r="G145" s="273"/>
      <c r="H145" s="273"/>
      <c r="I145" s="273"/>
      <c r="J145" s="273"/>
      <c r="K145" s="57"/>
      <c r="L145" s="465" t="s">
        <v>265</v>
      </c>
      <c r="M145" s="110"/>
      <c r="N145" s="416" t="s">
        <v>188</v>
      </c>
      <c r="O145" s="651"/>
      <c r="P145" s="417">
        <f>LEN(O144)</f>
        <v>0</v>
      </c>
      <c r="Q145" s="467"/>
      <c r="R145" s="470">
        <f>LEN(Q144)</f>
        <v>0</v>
      </c>
      <c r="S145" s="47"/>
      <c r="T145" s="47"/>
      <c r="U145" s="47"/>
      <c r="V145" s="47"/>
      <c r="W145" s="59"/>
      <c r="X145" s="455" t="s">
        <v>265</v>
      </c>
      <c r="Z145" s="330"/>
      <c r="AA145" s="115" t="s">
        <v>515</v>
      </c>
      <c r="AB145" s="330"/>
      <c r="AC145" s="377" t="str">
        <f t="shared" si="29"/>
        <v/>
      </c>
      <c r="AD145" s="330"/>
      <c r="AE145" s="330"/>
    </row>
    <row r="146" spans="1:31" ht="11.25" customHeight="1">
      <c r="A146" s="418">
        <v>14</v>
      </c>
      <c r="B146" s="90"/>
      <c r="C146" s="420" t="str">
        <f>IF(O85="","",IF(LEN(O85)&lt;=135,O85,IF(LEN(O85)&lt;=260,LEFT(O85,SEARCH(" ",O85,125)),LEFT(O85,SEARCH(" ",O85,130)))))</f>
        <v/>
      </c>
      <c r="D146" s="273"/>
      <c r="E146" s="273"/>
      <c r="F146" s="273"/>
      <c r="G146" s="273"/>
      <c r="H146" s="273"/>
      <c r="I146" s="273"/>
      <c r="J146" s="273"/>
      <c r="K146" s="57"/>
      <c r="L146" s="465" t="s">
        <v>265</v>
      </c>
      <c r="M146" s="110"/>
      <c r="N146" s="42" t="s">
        <v>56</v>
      </c>
      <c r="O146" s="650"/>
      <c r="P146" s="318"/>
      <c r="Q146" s="466" t="str">
        <f>IF(OR(AB203=0,AB203=""),"",AB203)</f>
        <v/>
      </c>
      <c r="R146" s="36"/>
      <c r="S146" s="47"/>
      <c r="T146" s="47"/>
      <c r="U146" s="47"/>
      <c r="V146" s="47"/>
      <c r="W146" s="59"/>
      <c r="X146" s="455" t="s">
        <v>265</v>
      </c>
      <c r="Z146" s="330"/>
      <c r="AA146" s="335" t="s">
        <v>9</v>
      </c>
      <c r="AB146" s="643"/>
      <c r="AC146" s="377" t="str">
        <f t="shared" ref="AC146:AC152" si="33">IF(AND(OR(AB146="",AB146=0),OR(AD146="",AD146=0)),"",IF(AB146&lt;&gt;AD146,"Change",""))</f>
        <v>Change</v>
      </c>
      <c r="AD146" s="638" t="str">
        <f>IF(Q494="","",Q494)</f>
        <v>NA</v>
      </c>
      <c r="AE146" s="330" t="s">
        <v>15</v>
      </c>
    </row>
    <row r="147" spans="1:31" ht="11.25" customHeight="1">
      <c r="A147" s="418">
        <v>15</v>
      </c>
      <c r="B147" s="73"/>
      <c r="C147" s="420" t="str">
        <f>IF(LEN(O85)&lt;=135,"",IF(LEN(O85)&lt;=260,RIGHT(O85,LEN(O85)-SEARCH(" ",O85,125)),MID(O85,SEARCH(" ",O85,130),IF(LEN(O85)&lt;=265,LEN(O85),SEARCH(" ",O85,255)-SEARCH(" ",O85,130)))))</f>
        <v/>
      </c>
      <c r="D147" s="273"/>
      <c r="E147" s="273"/>
      <c r="F147" s="273"/>
      <c r="G147" s="273"/>
      <c r="H147" s="273"/>
      <c r="I147" s="273"/>
      <c r="J147" s="273"/>
      <c r="K147" s="57"/>
      <c r="L147" s="465" t="s">
        <v>265</v>
      </c>
      <c r="M147" s="110"/>
      <c r="N147" s="416" t="s">
        <v>188</v>
      </c>
      <c r="O147" s="651"/>
      <c r="P147" s="417">
        <f>LEN(O146)</f>
        <v>0</v>
      </c>
      <c r="Q147" s="467"/>
      <c r="R147" s="470">
        <f>LEN(Q146)</f>
        <v>0</v>
      </c>
      <c r="S147" s="36"/>
      <c r="T147" s="36"/>
      <c r="U147" s="36"/>
      <c r="V147" s="36"/>
      <c r="W147" s="59"/>
      <c r="X147" s="455" t="s">
        <v>265</v>
      </c>
      <c r="Z147" s="330"/>
      <c r="AA147" s="335" t="s">
        <v>10</v>
      </c>
      <c r="AB147" s="643"/>
      <c r="AC147" s="377" t="str">
        <f t="shared" si="33"/>
        <v>Change</v>
      </c>
      <c r="AD147" s="638" t="str">
        <f>IF(R494="","",R494)</f>
        <v>NA</v>
      </c>
      <c r="AE147" s="330" t="s">
        <v>16</v>
      </c>
    </row>
    <row r="148" spans="1:31" ht="11.25" customHeight="1">
      <c r="A148" s="418">
        <v>16</v>
      </c>
      <c r="B148" s="73"/>
      <c r="C148" s="420" t="str">
        <f>IF(LEN(O85)&lt;=265,"",RIGHT(O85,LEN(O85)-SEARCH(" ",O85,255)))</f>
        <v/>
      </c>
      <c r="D148" s="273"/>
      <c r="E148" s="273"/>
      <c r="F148" s="273"/>
      <c r="G148" s="273"/>
      <c r="H148" s="273"/>
      <c r="I148" s="273"/>
      <c r="J148" s="273"/>
      <c r="K148" s="57"/>
      <c r="L148" s="465" t="s">
        <v>265</v>
      </c>
      <c r="M148" s="110"/>
      <c r="N148" s="42" t="s">
        <v>56</v>
      </c>
      <c r="O148" s="650"/>
      <c r="P148" s="318"/>
      <c r="Q148" s="466" t="str">
        <f>IF(OR(AB205=0,AB205=""),"",AB205)</f>
        <v/>
      </c>
      <c r="R148" s="36"/>
      <c r="S148" s="47"/>
      <c r="T148" s="47"/>
      <c r="U148" s="47"/>
      <c r="V148" s="47"/>
      <c r="W148" s="59"/>
      <c r="X148" s="455" t="s">
        <v>265</v>
      </c>
      <c r="Z148" s="330"/>
      <c r="AA148" s="335" t="s">
        <v>11</v>
      </c>
      <c r="AB148" s="643"/>
      <c r="AC148" s="377" t="str">
        <f t="shared" si="33"/>
        <v>Change</v>
      </c>
      <c r="AD148" s="638" t="str">
        <f>IF(S494="","",S494)</f>
        <v>NA</v>
      </c>
      <c r="AE148" s="330" t="s">
        <v>17</v>
      </c>
    </row>
    <row r="149" spans="1:31" ht="11.25" customHeight="1">
      <c r="A149" s="418">
        <v>17</v>
      </c>
      <c r="B149" s="90"/>
      <c r="C149" s="420" t="str">
        <f>IF(O87="","",IF(LEN(O87)&lt;=135,O87,IF(LEN(O87)&lt;=260,LEFT(O87,SEARCH(" ",O87,125)),LEFT(O87,SEARCH(" ",O87,130)))))</f>
        <v/>
      </c>
      <c r="D149" s="273"/>
      <c r="E149" s="273"/>
      <c r="F149" s="273"/>
      <c r="G149" s="273"/>
      <c r="H149" s="273"/>
      <c r="I149" s="273"/>
      <c r="J149" s="273"/>
      <c r="K149" s="57"/>
      <c r="L149" s="465" t="s">
        <v>265</v>
      </c>
      <c r="M149" s="110"/>
      <c r="N149" s="416" t="s">
        <v>188</v>
      </c>
      <c r="O149" s="651"/>
      <c r="P149" s="417">
        <f>LEN(O148)</f>
        <v>0</v>
      </c>
      <c r="Q149" s="467"/>
      <c r="R149" s="470">
        <f>LEN(Q148)</f>
        <v>0</v>
      </c>
      <c r="S149" s="47"/>
      <c r="T149" s="47"/>
      <c r="U149" s="47"/>
      <c r="V149" s="47"/>
      <c r="W149" s="59"/>
      <c r="X149" s="455" t="s">
        <v>265</v>
      </c>
      <c r="Z149" s="330"/>
      <c r="AA149" s="335" t="s">
        <v>12</v>
      </c>
      <c r="AB149" s="643"/>
      <c r="AC149" s="377" t="str">
        <f t="shared" si="33"/>
        <v>Change</v>
      </c>
      <c r="AD149" s="638" t="str">
        <f>IF(Q509="","",Q509)</f>
        <v>NA</v>
      </c>
      <c r="AE149" s="330" t="s">
        <v>18</v>
      </c>
    </row>
    <row r="150" spans="1:31" ht="11.25" customHeight="1">
      <c r="A150" s="418">
        <v>18</v>
      </c>
      <c r="B150" s="73"/>
      <c r="C150" s="420" t="str">
        <f>IF(LEN(O87)&lt;=135,"",IF(LEN(O87)&lt;=260,RIGHT(O87,LEN(O87)-SEARCH(" ",O87,125)),MID(O87,SEARCH(" ",O87,130),IF(LEN(O87)&lt;=265,LEN(O87),SEARCH(" ",O87,255)-SEARCH(" ",O87,130)))))</f>
        <v/>
      </c>
      <c r="D150" s="273"/>
      <c r="E150" s="273"/>
      <c r="F150" s="273"/>
      <c r="G150" s="273"/>
      <c r="H150" s="273"/>
      <c r="I150" s="273"/>
      <c r="J150" s="273"/>
      <c r="K150" s="57"/>
      <c r="L150" s="465" t="s">
        <v>265</v>
      </c>
      <c r="M150" s="110"/>
      <c r="N150" s="42" t="s">
        <v>56</v>
      </c>
      <c r="O150" s="650"/>
      <c r="P150" s="318"/>
      <c r="Q150" s="466" t="str">
        <f>IF(OR(AB207=0,AB207=""),"",AB207)</f>
        <v/>
      </c>
      <c r="R150" s="36"/>
      <c r="S150" s="36"/>
      <c r="T150" s="36"/>
      <c r="U150" s="36"/>
      <c r="V150" s="36"/>
      <c r="W150" s="59"/>
      <c r="X150" s="455" t="s">
        <v>265</v>
      </c>
      <c r="Z150" s="330"/>
      <c r="AA150" s="335" t="s">
        <v>13</v>
      </c>
      <c r="AB150" s="643"/>
      <c r="AC150" s="377" t="str">
        <f t="shared" si="33"/>
        <v>Change</v>
      </c>
      <c r="AD150" s="638" t="str">
        <f>IF(R509="","",R509)</f>
        <v>NA</v>
      </c>
      <c r="AE150" s="330" t="s">
        <v>19</v>
      </c>
    </row>
    <row r="151" spans="1:31" ht="11.25" customHeight="1">
      <c r="A151" s="418">
        <v>19</v>
      </c>
      <c r="B151" s="73"/>
      <c r="C151" s="420" t="str">
        <f>IF(LEN(O87)&lt;=265,"",RIGHT(O87,LEN(O87)-SEARCH(" ",O87,255)))</f>
        <v/>
      </c>
      <c r="D151" s="273"/>
      <c r="E151" s="273"/>
      <c r="F151" s="273"/>
      <c r="G151" s="273"/>
      <c r="H151" s="273"/>
      <c r="I151" s="273"/>
      <c r="J151" s="273"/>
      <c r="K151" s="57"/>
      <c r="L151" s="465" t="s">
        <v>265</v>
      </c>
      <c r="M151" s="110"/>
      <c r="N151" s="416" t="s">
        <v>188</v>
      </c>
      <c r="O151" s="417"/>
      <c r="P151" s="417">
        <f>LEN(O150)</f>
        <v>0</v>
      </c>
      <c r="Q151" s="467"/>
      <c r="R151" s="470">
        <f>LEN(Q150)</f>
        <v>0</v>
      </c>
      <c r="S151" s="47"/>
      <c r="T151" s="47"/>
      <c r="U151" s="47"/>
      <c r="V151" s="47"/>
      <c r="W151" s="59"/>
      <c r="X151" s="455" t="s">
        <v>265</v>
      </c>
      <c r="Y151" s="335"/>
      <c r="Z151" s="330"/>
      <c r="AA151" s="335" t="s">
        <v>14</v>
      </c>
      <c r="AB151" s="643"/>
      <c r="AC151" s="377" t="str">
        <f t="shared" si="33"/>
        <v>Change</v>
      </c>
      <c r="AD151" s="638" t="str">
        <f>IF(S509="","",S509)</f>
        <v>NA</v>
      </c>
      <c r="AE151" s="330" t="s">
        <v>20</v>
      </c>
    </row>
    <row r="152" spans="1:31" ht="11.25" customHeight="1">
      <c r="A152" s="418">
        <v>20</v>
      </c>
      <c r="B152" s="90"/>
      <c r="C152" s="420" t="str">
        <f>IF(O89="","",IF(LEN(O89)&lt;=135,O89,IF(LEN(O89)&lt;=260,LEFT(O89,SEARCH(" ",O89,125)),LEFT(O89,SEARCH(" ",O89,130)))))</f>
        <v/>
      </c>
      <c r="D152" s="273"/>
      <c r="E152" s="273"/>
      <c r="F152" s="273"/>
      <c r="G152" s="273"/>
      <c r="H152" s="273"/>
      <c r="I152" s="273"/>
      <c r="J152" s="273"/>
      <c r="K152" s="57"/>
      <c r="L152" s="465" t="s">
        <v>265</v>
      </c>
      <c r="M152" s="110"/>
      <c r="N152" s="362"/>
      <c r="O152" s="362"/>
      <c r="P152" s="362"/>
      <c r="Q152" s="359"/>
      <c r="R152" s="359"/>
      <c r="S152" s="359"/>
      <c r="T152" s="359"/>
      <c r="U152" s="359"/>
      <c r="V152" s="359"/>
      <c r="W152" s="59"/>
      <c r="X152" s="455" t="s">
        <v>265</v>
      </c>
      <c r="Y152" s="335"/>
      <c r="AB152" s="330"/>
      <c r="AC152" s="377" t="str">
        <f t="shared" si="33"/>
        <v/>
      </c>
      <c r="AD152" s="330"/>
    </row>
    <row r="153" spans="1:31" ht="11.25" customHeight="1">
      <c r="A153" s="418">
        <v>21</v>
      </c>
      <c r="B153" s="73"/>
      <c r="C153" s="420" t="str">
        <f>IF(LEN(O89)&lt;=135,"",IF(LEN(O89)&lt;=260,RIGHT(O89,LEN(O89)-SEARCH(" ",O89,125)),MID(O89,SEARCH(" ",O89,130),IF(LEN(O89)&lt;=265,LEN(O89),SEARCH(" ",O89,255)-SEARCH(" ",O89,130)))))</f>
        <v/>
      </c>
      <c r="D153" s="273"/>
      <c r="E153" s="273"/>
      <c r="F153" s="273"/>
      <c r="G153" s="273"/>
      <c r="H153" s="273"/>
      <c r="I153" s="273"/>
      <c r="J153" s="273"/>
      <c r="K153" s="57"/>
      <c r="L153" s="465" t="s">
        <v>265</v>
      </c>
      <c r="M153" s="110"/>
      <c r="N153" s="357"/>
      <c r="O153" s="357"/>
      <c r="P153" s="357"/>
      <c r="Q153" s="358"/>
      <c r="R153" s="358"/>
      <c r="S153" s="358"/>
      <c r="T153" s="358"/>
      <c r="U153" s="358"/>
      <c r="V153" s="358"/>
      <c r="W153" s="59"/>
      <c r="X153" s="455" t="s">
        <v>265</v>
      </c>
      <c r="Y153" s="335"/>
      <c r="Z153" s="335"/>
      <c r="AA153" s="115" t="s">
        <v>200</v>
      </c>
      <c r="AB153" s="622"/>
      <c r="AC153" s="377" t="str">
        <f t="shared" ref="AC153:AC169" si="34">IF(AND(OR(AB153="",AB153=0),OR(AD153="",AD153=0)),"",IF(AB153&lt;&gt;AD153,"Change",""))</f>
        <v/>
      </c>
      <c r="AD153" s="639">
        <f>O79</f>
        <v>0</v>
      </c>
      <c r="AE153" s="832" t="s">
        <v>788</v>
      </c>
    </row>
    <row r="154" spans="1:31" ht="11.25" customHeight="1">
      <c r="A154" s="418">
        <v>22</v>
      </c>
      <c r="B154" s="73"/>
      <c r="C154" s="420" t="str">
        <f>IF(LEN(O89)&lt;=265,"",RIGHT(O89,LEN(O89)-SEARCH(" ",O89,255)))</f>
        <v/>
      </c>
      <c r="D154" s="273"/>
      <c r="E154" s="273"/>
      <c r="F154" s="273"/>
      <c r="G154" s="273"/>
      <c r="H154" s="273"/>
      <c r="I154" s="273"/>
      <c r="J154" s="273"/>
      <c r="K154" s="57"/>
      <c r="L154" s="465" t="s">
        <v>265</v>
      </c>
      <c r="M154" s="110"/>
      <c r="N154" s="357"/>
      <c r="O154" s="357"/>
      <c r="P154" s="357"/>
      <c r="Q154" s="358"/>
      <c r="R154" s="358"/>
      <c r="S154" s="358"/>
      <c r="T154" s="358"/>
      <c r="U154" s="358"/>
      <c r="V154" s="358"/>
      <c r="W154" s="59"/>
      <c r="X154" s="455" t="s">
        <v>265</v>
      </c>
      <c r="Y154" s="335"/>
      <c r="Z154" s="335"/>
      <c r="AA154" s="330"/>
      <c r="AB154" s="330"/>
      <c r="AC154" s="377" t="str">
        <f t="shared" si="34"/>
        <v/>
      </c>
      <c r="AD154" s="399"/>
      <c r="AE154" s="400"/>
    </row>
    <row r="155" spans="1:31" ht="11.25" customHeight="1">
      <c r="A155" s="418">
        <v>23</v>
      </c>
      <c r="B155" s="90"/>
      <c r="C155" s="420" t="str">
        <f>IF(O91="","",IF(LEN(O91)&lt;=135,O91,IF(LEN(O91)&lt;=260,LEFT(O91,SEARCH(" ",O91,125)),LEFT(O91,SEARCH(" ",O91,130)))))</f>
        <v/>
      </c>
      <c r="D155" s="273"/>
      <c r="E155" s="273"/>
      <c r="F155" s="273"/>
      <c r="G155" s="273"/>
      <c r="H155" s="273"/>
      <c r="I155" s="273"/>
      <c r="J155" s="273"/>
      <c r="K155" s="57"/>
      <c r="L155" s="465" t="s">
        <v>265</v>
      </c>
      <c r="M155" s="110"/>
      <c r="N155" s="357"/>
      <c r="O155" s="357"/>
      <c r="P155" s="357"/>
      <c r="Q155" s="358"/>
      <c r="R155" s="358"/>
      <c r="S155" s="358"/>
      <c r="T155" s="358"/>
      <c r="U155" s="358"/>
      <c r="V155" s="358"/>
      <c r="W155" s="59"/>
      <c r="X155" s="455" t="s">
        <v>265</v>
      </c>
      <c r="Y155" s="335"/>
      <c r="Z155" s="335"/>
      <c r="AA155" s="330"/>
      <c r="AB155" s="622"/>
      <c r="AC155" s="377" t="str">
        <f t="shared" si="34"/>
        <v/>
      </c>
      <c r="AD155" s="639">
        <f>O81</f>
        <v>0</v>
      </c>
      <c r="AE155" s="832" t="s">
        <v>789</v>
      </c>
    </row>
    <row r="156" spans="1:31" ht="11.25" customHeight="1">
      <c r="A156" s="418">
        <v>24</v>
      </c>
      <c r="B156" s="73"/>
      <c r="C156" s="420" t="str">
        <f>IF(LEN(O91)&lt;=135,"",IF(LEN(O91)&lt;=260,RIGHT(O91,LEN(O91)-SEARCH(" ",O91,125)),MID(O91,SEARCH(" ",O91,130),IF(LEN(O91)&lt;=265,LEN(O91),SEARCH(" ",O91,255)-SEARCH(" ",O91,130)))))</f>
        <v/>
      </c>
      <c r="D156" s="273"/>
      <c r="E156" s="273"/>
      <c r="F156" s="273"/>
      <c r="G156" s="273"/>
      <c r="H156" s="273"/>
      <c r="I156" s="273"/>
      <c r="J156" s="273"/>
      <c r="K156" s="57"/>
      <c r="L156" s="465" t="s">
        <v>265</v>
      </c>
      <c r="M156" s="110"/>
      <c r="N156" s="357"/>
      <c r="O156" s="357"/>
      <c r="P156" s="357"/>
      <c r="Q156" s="356" t="s">
        <v>185</v>
      </c>
      <c r="R156" s="38"/>
      <c r="S156" s="38"/>
      <c r="T156" s="357"/>
      <c r="U156" s="358"/>
      <c r="V156" s="358"/>
      <c r="W156" s="59"/>
      <c r="X156" s="455" t="s">
        <v>265</v>
      </c>
      <c r="Y156" s="335"/>
      <c r="Z156" s="335"/>
      <c r="AA156" s="330"/>
      <c r="AB156" s="330"/>
      <c r="AC156" s="377" t="str">
        <f t="shared" si="34"/>
        <v/>
      </c>
      <c r="AD156" s="399"/>
      <c r="AE156" s="400"/>
    </row>
    <row r="157" spans="1:31" ht="11.25" customHeight="1">
      <c r="A157" s="418">
        <v>25</v>
      </c>
      <c r="B157" s="73"/>
      <c r="C157" s="420" t="str">
        <f>IF(LEN(O91)&lt;=265,"",RIGHT(O91,LEN(O91)-SEARCH(" ",O91,255)))</f>
        <v/>
      </c>
      <c r="D157" s="273"/>
      <c r="E157" s="273"/>
      <c r="F157" s="273"/>
      <c r="G157" s="273"/>
      <c r="H157" s="273"/>
      <c r="I157" s="273"/>
      <c r="J157" s="273"/>
      <c r="K157" s="57"/>
      <c r="L157" s="465" t="s">
        <v>265</v>
      </c>
      <c r="M157" s="110"/>
      <c r="N157" s="357"/>
      <c r="O157" s="357"/>
      <c r="P157" s="357"/>
      <c r="Q157" s="358"/>
      <c r="R157" s="357"/>
      <c r="S157" s="358"/>
      <c r="T157" s="357"/>
      <c r="U157" s="358"/>
      <c r="V157" s="358"/>
      <c r="W157" s="59"/>
      <c r="X157" s="455" t="s">
        <v>265</v>
      </c>
      <c r="Y157" s="335"/>
      <c r="Z157" s="335"/>
      <c r="AA157" s="330"/>
      <c r="AB157" s="622"/>
      <c r="AC157" s="377" t="str">
        <f t="shared" si="34"/>
        <v/>
      </c>
      <c r="AD157" s="639">
        <f>O83</f>
        <v>0</v>
      </c>
      <c r="AE157" s="832" t="s">
        <v>790</v>
      </c>
    </row>
    <row r="158" spans="1:31" ht="11.25" customHeight="1">
      <c r="A158" s="418">
        <v>26</v>
      </c>
      <c r="B158" s="90"/>
      <c r="C158" s="420" t="str">
        <f>IF(O93="","",IF(LEN(O93)&lt;=135,O93,IF(LEN(O93)&lt;=260,LEFT(O93,SEARCH(" ",O93,125)),LEFT(O93,SEARCH(" ",O93,130)))))</f>
        <v/>
      </c>
      <c r="D158" s="273"/>
      <c r="E158" s="273"/>
      <c r="F158" s="273"/>
      <c r="G158" s="273"/>
      <c r="H158" s="273"/>
      <c r="I158" s="273"/>
      <c r="J158" s="273"/>
      <c r="K158" s="57"/>
      <c r="L158" s="465" t="s">
        <v>265</v>
      </c>
      <c r="M158" s="110"/>
      <c r="N158" s="357"/>
      <c r="O158" s="357"/>
      <c r="P158" s="357"/>
      <c r="Q158" s="358"/>
      <c r="R158" s="357"/>
      <c r="S158" s="358"/>
      <c r="T158" s="357"/>
      <c r="U158" s="358"/>
      <c r="V158" s="358"/>
      <c r="W158" s="59"/>
      <c r="X158" s="455" t="s">
        <v>265</v>
      </c>
      <c r="Y158" s="335"/>
      <c r="Z158" s="335"/>
      <c r="AA158" s="330"/>
      <c r="AB158" s="330"/>
      <c r="AC158" s="377" t="str">
        <f t="shared" si="34"/>
        <v/>
      </c>
      <c r="AD158" s="399"/>
      <c r="AE158" s="400"/>
    </row>
    <row r="159" spans="1:31" ht="11.25" customHeight="1">
      <c r="A159" s="418">
        <v>27</v>
      </c>
      <c r="B159" s="73"/>
      <c r="C159" s="420" t="str">
        <f>IF(LEN(O93)&lt;=135,"",IF(LEN(O93)&lt;=260,RIGHT(O93,LEN(O93)-SEARCH(" ",O93,125)),MID(O93,SEARCH(" ",O93,130),IF(LEN(O93)&lt;=265,LEN(O93),SEARCH(" ",O93,255)-SEARCH(" ",O93,130)))))</f>
        <v/>
      </c>
      <c r="D159" s="273"/>
      <c r="E159" s="273"/>
      <c r="F159" s="273"/>
      <c r="G159" s="273"/>
      <c r="H159" s="273"/>
      <c r="I159" s="273"/>
      <c r="J159" s="273"/>
      <c r="K159" s="57"/>
      <c r="L159" s="465" t="s">
        <v>265</v>
      </c>
      <c r="M159" s="110"/>
      <c r="N159" s="357"/>
      <c r="O159" s="357"/>
      <c r="P159" s="357"/>
      <c r="Q159" s="358"/>
      <c r="R159" s="357"/>
      <c r="S159" s="358"/>
      <c r="T159" s="357"/>
      <c r="U159" s="358"/>
      <c r="V159" s="358"/>
      <c r="W159" s="59"/>
      <c r="X159" s="455" t="s">
        <v>265</v>
      </c>
      <c r="Y159" s="335"/>
      <c r="Z159" s="335"/>
      <c r="AA159" s="330"/>
      <c r="AB159" s="622"/>
      <c r="AC159" s="377" t="str">
        <f t="shared" si="34"/>
        <v/>
      </c>
      <c r="AD159" s="639">
        <f>O85</f>
        <v>0</v>
      </c>
      <c r="AE159" s="832" t="s">
        <v>791</v>
      </c>
    </row>
    <row r="160" spans="1:31" ht="11.25" customHeight="1">
      <c r="A160" s="418">
        <v>28</v>
      </c>
      <c r="B160" s="73"/>
      <c r="C160" s="420" t="str">
        <f>IF(LEN(O93)&lt;=265,"",RIGHT(O93,LEN(O93)-SEARCH(" ",O93,255)))</f>
        <v/>
      </c>
      <c r="D160" s="273"/>
      <c r="E160" s="273"/>
      <c r="F160" s="273"/>
      <c r="G160" s="273"/>
      <c r="H160" s="273"/>
      <c r="I160" s="273"/>
      <c r="J160" s="273"/>
      <c r="K160" s="57"/>
      <c r="L160" s="465" t="s">
        <v>265</v>
      </c>
      <c r="M160" s="110"/>
      <c r="N160" s="357"/>
      <c r="O160" s="357"/>
      <c r="P160" s="357"/>
      <c r="Q160" s="358"/>
      <c r="R160" s="357"/>
      <c r="S160" s="358"/>
      <c r="T160" s="357"/>
      <c r="U160" s="358"/>
      <c r="V160" s="358"/>
      <c r="W160" s="59"/>
      <c r="X160" s="455" t="s">
        <v>265</v>
      </c>
      <c r="Y160" s="335"/>
      <c r="Z160" s="335"/>
      <c r="AA160" s="330"/>
      <c r="AB160" s="330"/>
      <c r="AC160" s="377" t="str">
        <f t="shared" si="34"/>
        <v/>
      </c>
      <c r="AD160" s="399"/>
      <c r="AE160" s="400"/>
    </row>
    <row r="161" spans="1:32" ht="11.25" customHeight="1">
      <c r="A161" s="418">
        <v>29</v>
      </c>
      <c r="B161" s="90"/>
      <c r="C161" s="420" t="str">
        <f>IF(O95="","",IF(LEN(O95)&lt;=135,O95,IF(LEN(O95)&lt;=260,LEFT(O95,SEARCH(" ",O95,125)),LEFT(O95,SEARCH(" ",O95,130)))))</f>
        <v/>
      </c>
      <c r="D161" s="273"/>
      <c r="E161" s="273"/>
      <c r="F161" s="273"/>
      <c r="G161" s="273"/>
      <c r="H161" s="273"/>
      <c r="I161" s="273"/>
      <c r="J161" s="273"/>
      <c r="K161" s="57"/>
      <c r="L161" s="465" t="s">
        <v>265</v>
      </c>
      <c r="M161" s="110"/>
      <c r="N161" s="357"/>
      <c r="O161" s="357"/>
      <c r="P161" s="357"/>
      <c r="Q161" s="358"/>
      <c r="R161" s="357"/>
      <c r="S161" s="358"/>
      <c r="T161" s="357"/>
      <c r="U161" s="358"/>
      <c r="V161" s="358"/>
      <c r="W161" s="59"/>
      <c r="X161" s="455" t="s">
        <v>265</v>
      </c>
      <c r="Y161" s="335"/>
      <c r="Z161" s="335"/>
      <c r="AA161" s="330"/>
      <c r="AB161" s="622"/>
      <c r="AC161" s="377" t="str">
        <f t="shared" si="34"/>
        <v/>
      </c>
      <c r="AD161" s="639">
        <f>O87</f>
        <v>0</v>
      </c>
      <c r="AE161" s="832" t="s">
        <v>792</v>
      </c>
    </row>
    <row r="162" spans="1:32" ht="11.25" customHeight="1">
      <c r="A162" s="418">
        <v>30</v>
      </c>
      <c r="B162" s="73"/>
      <c r="C162" s="420" t="str">
        <f>IF(LEN(O95)&lt;=135,"",IF(LEN(O95)&lt;=260,RIGHT(O95,LEN(O95)-SEARCH(" ",O95,125)),MID(O95,SEARCH(" ",O95,130),IF(LEN(O95)&lt;=265,LEN(O95),SEARCH(" ",O95,255)-SEARCH(" ",O95,130)))))</f>
        <v/>
      </c>
      <c r="D162" s="273"/>
      <c r="E162" s="273"/>
      <c r="F162" s="273"/>
      <c r="G162" s="273"/>
      <c r="H162" s="273"/>
      <c r="I162" s="273"/>
      <c r="J162" s="273"/>
      <c r="K162" s="57"/>
      <c r="L162" s="465" t="s">
        <v>265</v>
      </c>
      <c r="M162" s="110"/>
      <c r="N162" s="357"/>
      <c r="O162" s="357"/>
      <c r="P162" s="357"/>
      <c r="Q162" s="358"/>
      <c r="R162" s="357"/>
      <c r="S162" s="358"/>
      <c r="T162" s="357"/>
      <c r="U162" s="358"/>
      <c r="V162" s="358"/>
      <c r="W162" s="59"/>
      <c r="X162" s="455" t="s">
        <v>265</v>
      </c>
      <c r="Y162" s="335"/>
      <c r="Z162" s="335"/>
      <c r="AA162" s="330"/>
      <c r="AB162" s="330"/>
      <c r="AC162" s="377" t="str">
        <f t="shared" si="34"/>
        <v/>
      </c>
      <c r="AD162" s="399"/>
      <c r="AE162" s="400"/>
    </row>
    <row r="163" spans="1:32" ht="11.25" customHeight="1">
      <c r="A163" s="418">
        <v>31</v>
      </c>
      <c r="B163" s="110"/>
      <c r="K163" s="59"/>
      <c r="L163" s="465" t="s">
        <v>265</v>
      </c>
      <c r="M163" s="110"/>
      <c r="N163" s="357"/>
      <c r="O163" s="357"/>
      <c r="P163" s="357"/>
      <c r="Q163" s="358"/>
      <c r="R163" s="357"/>
      <c r="S163" s="358"/>
      <c r="T163" s="357"/>
      <c r="U163" s="358"/>
      <c r="V163" s="358"/>
      <c r="W163" s="59"/>
      <c r="X163" s="455" t="s">
        <v>265</v>
      </c>
      <c r="Y163" s="335"/>
      <c r="Z163" s="335"/>
      <c r="AA163" s="330"/>
      <c r="AB163" s="622"/>
      <c r="AC163" s="377" t="str">
        <f t="shared" si="34"/>
        <v/>
      </c>
      <c r="AD163" s="639">
        <f>O89</f>
        <v>0</v>
      </c>
      <c r="AE163" s="832" t="s">
        <v>793</v>
      </c>
    </row>
    <row r="164" spans="1:32" ht="11.25" customHeight="1">
      <c r="A164" s="418">
        <v>32</v>
      </c>
      <c r="B164" s="110"/>
      <c r="K164" s="59"/>
      <c r="L164" s="465" t="s">
        <v>265</v>
      </c>
      <c r="M164" s="110"/>
      <c r="N164" s="357"/>
      <c r="O164" s="357"/>
      <c r="P164" s="357"/>
      <c r="Q164" s="358"/>
      <c r="R164" s="357"/>
      <c r="S164" s="358"/>
      <c r="T164" s="357"/>
      <c r="U164" s="358"/>
      <c r="V164" s="358"/>
      <c r="W164" s="59"/>
      <c r="X164" s="455" t="s">
        <v>265</v>
      </c>
      <c r="Y164" s="335"/>
      <c r="Z164" s="335"/>
      <c r="AA164" s="330"/>
      <c r="AB164" s="330"/>
      <c r="AC164" s="377" t="str">
        <f t="shared" si="34"/>
        <v/>
      </c>
      <c r="AD164" s="399"/>
      <c r="AE164" s="400"/>
    </row>
    <row r="165" spans="1:32" ht="11.25" customHeight="1">
      <c r="A165" s="418">
        <v>33</v>
      </c>
      <c r="B165" s="110"/>
      <c r="K165" s="59"/>
      <c r="L165" s="465" t="s">
        <v>265</v>
      </c>
      <c r="M165" s="110"/>
      <c r="N165" s="357"/>
      <c r="O165" s="357"/>
      <c r="P165" s="357"/>
      <c r="Q165" s="358"/>
      <c r="R165" s="357"/>
      <c r="S165" s="358"/>
      <c r="T165" s="357"/>
      <c r="U165" s="358"/>
      <c r="V165" s="358"/>
      <c r="W165" s="59"/>
      <c r="X165" s="455" t="s">
        <v>265</v>
      </c>
      <c r="Y165" s="335"/>
      <c r="Z165" s="335"/>
      <c r="AA165" s="330"/>
      <c r="AB165" s="622"/>
      <c r="AC165" s="377" t="str">
        <f t="shared" si="34"/>
        <v/>
      </c>
      <c r="AD165" s="639">
        <f>O91</f>
        <v>0</v>
      </c>
      <c r="AE165" s="832" t="s">
        <v>794</v>
      </c>
    </row>
    <row r="166" spans="1:32" ht="11.25" customHeight="1">
      <c r="A166" s="418">
        <v>34</v>
      </c>
      <c r="B166" s="110"/>
      <c r="K166" s="59"/>
      <c r="L166" s="465" t="s">
        <v>265</v>
      </c>
      <c r="M166" s="110"/>
      <c r="N166" s="357"/>
      <c r="O166" s="357"/>
      <c r="P166" s="357"/>
      <c r="Q166" s="358"/>
      <c r="R166" s="357"/>
      <c r="S166" s="358"/>
      <c r="T166" s="357"/>
      <c r="U166" s="358"/>
      <c r="V166" s="358"/>
      <c r="W166" s="59"/>
      <c r="X166" s="455" t="s">
        <v>265</v>
      </c>
      <c r="Y166" s="335"/>
      <c r="Z166" s="335"/>
      <c r="AA166" s="330"/>
      <c r="AB166" s="330"/>
      <c r="AC166" s="377" t="str">
        <f t="shared" si="34"/>
        <v/>
      </c>
      <c r="AD166" s="399"/>
      <c r="AE166" s="400"/>
    </row>
    <row r="167" spans="1:32" ht="11.25" customHeight="1">
      <c r="A167" s="418">
        <v>35</v>
      </c>
      <c r="B167" s="110"/>
      <c r="K167" s="59"/>
      <c r="L167" s="465" t="s">
        <v>265</v>
      </c>
      <c r="M167" s="110"/>
      <c r="N167" s="357"/>
      <c r="O167" s="357"/>
      <c r="P167" s="357"/>
      <c r="Q167" s="358"/>
      <c r="R167" s="357"/>
      <c r="S167" s="358"/>
      <c r="T167" s="357"/>
      <c r="U167" s="358"/>
      <c r="V167" s="358"/>
      <c r="W167" s="59"/>
      <c r="X167" s="455" t="s">
        <v>265</v>
      </c>
      <c r="Y167" s="335"/>
      <c r="Z167" s="335"/>
      <c r="AA167" s="330"/>
      <c r="AB167" s="622"/>
      <c r="AC167" s="377" t="str">
        <f t="shared" si="34"/>
        <v/>
      </c>
      <c r="AD167" s="639">
        <f>O93</f>
        <v>0</v>
      </c>
      <c r="AE167" s="832" t="s">
        <v>795</v>
      </c>
    </row>
    <row r="168" spans="1:32" ht="11.25" customHeight="1">
      <c r="A168" s="418">
        <v>36</v>
      </c>
      <c r="B168" s="110"/>
      <c r="K168" s="59"/>
      <c r="L168" s="465" t="s">
        <v>265</v>
      </c>
      <c r="M168" s="110"/>
      <c r="N168" s="357"/>
      <c r="O168" s="357"/>
      <c r="P168" s="357"/>
      <c r="Q168" s="358"/>
      <c r="R168" s="357"/>
      <c r="S168" s="358"/>
      <c r="T168" s="357"/>
      <c r="U168" s="358"/>
      <c r="V168" s="358"/>
      <c r="W168" s="59"/>
      <c r="X168" s="455" t="s">
        <v>265</v>
      </c>
      <c r="Y168" s="335"/>
      <c r="Z168" s="335"/>
      <c r="AA168" s="330"/>
      <c r="AB168" s="330"/>
      <c r="AC168" s="377" t="str">
        <f t="shared" si="34"/>
        <v/>
      </c>
      <c r="AD168" s="399"/>
      <c r="AE168" s="400"/>
    </row>
    <row r="169" spans="1:32" ht="11.25" customHeight="1">
      <c r="A169" s="418">
        <v>37</v>
      </c>
      <c r="B169" s="110"/>
      <c r="D169" s="254" t="str">
        <f>O535</f>
        <v/>
      </c>
      <c r="J169" s="101" t="str">
        <f>IF(M52=2,"",IF(OR(M52="",M535=""),"TBD",IF(AND(M52=1,M535=1),"YES",IF(OR(M52=2,M535=3),"NA",""))))</f>
        <v/>
      </c>
      <c r="K169" s="257" t="str">
        <f>IF(AND(M52=1,M535=2),"NO","")</f>
        <v/>
      </c>
      <c r="L169" s="465" t="s">
        <v>265</v>
      </c>
      <c r="M169" s="110"/>
      <c r="N169" s="357"/>
      <c r="O169" s="357"/>
      <c r="P169" s="357"/>
      <c r="Q169" s="358"/>
      <c r="R169" s="357"/>
      <c r="S169" s="358"/>
      <c r="T169" s="357"/>
      <c r="U169" s="358"/>
      <c r="V169" s="358"/>
      <c r="W169" s="59"/>
      <c r="X169" s="455" t="s">
        <v>265</v>
      </c>
      <c r="Y169" s="462"/>
      <c r="Z169" s="335"/>
      <c r="AA169" s="330"/>
      <c r="AB169" s="622"/>
      <c r="AC169" s="377" t="str">
        <f t="shared" si="34"/>
        <v/>
      </c>
      <c r="AD169" s="639">
        <f>O95</f>
        <v>0</v>
      </c>
      <c r="AE169" s="832" t="s">
        <v>796</v>
      </c>
    </row>
    <row r="170" spans="1:32" ht="11.25" customHeight="1">
      <c r="A170" s="418">
        <v>38</v>
      </c>
      <c r="B170" s="110"/>
      <c r="K170" s="59"/>
      <c r="L170" s="465" t="s">
        <v>265</v>
      </c>
      <c r="M170" s="110"/>
      <c r="N170" s="361"/>
      <c r="O170" s="405"/>
      <c r="P170" s="361"/>
      <c r="Q170" s="360"/>
      <c r="R170" s="361"/>
      <c r="S170" s="360"/>
      <c r="T170" s="361"/>
      <c r="U170" s="360"/>
      <c r="V170" s="360"/>
      <c r="W170" s="59"/>
      <c r="X170" s="455" t="s">
        <v>265</v>
      </c>
      <c r="Y170" s="462"/>
      <c r="Z170" s="335"/>
    </row>
    <row r="171" spans="1:32" ht="11.25" customHeight="1" thickBot="1">
      <c r="A171" s="418">
        <v>39</v>
      </c>
      <c r="B171" s="110"/>
      <c r="K171" s="59"/>
      <c r="L171" s="465" t="s">
        <v>265</v>
      </c>
      <c r="M171" s="60"/>
      <c r="N171" s="61"/>
      <c r="O171" s="406"/>
      <c r="P171" s="319"/>
      <c r="Q171" s="61"/>
      <c r="R171" s="61"/>
      <c r="S171" s="61"/>
      <c r="T171" s="61"/>
      <c r="U171" s="61"/>
      <c r="V171" s="61"/>
      <c r="W171" s="62"/>
      <c r="X171" s="455" t="s">
        <v>265</v>
      </c>
      <c r="Y171" s="462"/>
      <c r="Z171" s="335"/>
      <c r="AA171" s="115" t="s">
        <v>356</v>
      </c>
      <c r="AB171" s="617"/>
      <c r="AC171" s="377" t="str">
        <f t="shared" ref="AC171:AC207" si="35">IF(AND(OR(AB171="",AB171=0),OR(AD171="",AD171=0)),"",IF(AB171&lt;&gt;AD171,"Change",""))</f>
        <v>Change</v>
      </c>
      <c r="AD171" s="639" t="str">
        <f>O114</f>
        <v>OPERATIONAL NOTES</v>
      </c>
      <c r="AE171" s="832" t="s">
        <v>797</v>
      </c>
    </row>
    <row r="172" spans="1:32" ht="11.25" customHeight="1" thickTop="1">
      <c r="A172" s="418">
        <v>40</v>
      </c>
      <c r="B172" s="110"/>
      <c r="K172" s="59"/>
      <c r="L172" s="465" t="s">
        <v>265</v>
      </c>
      <c r="M172" s="52"/>
      <c r="N172" s="50"/>
      <c r="O172" s="50"/>
      <c r="P172" s="50"/>
      <c r="Q172" s="50"/>
      <c r="R172" s="50"/>
      <c r="S172" s="50"/>
      <c r="T172" s="50"/>
      <c r="U172" s="50"/>
      <c r="V172" s="50"/>
      <c r="W172" s="548"/>
      <c r="X172" s="455" t="s">
        <v>265</v>
      </c>
      <c r="Y172" s="462"/>
      <c r="Z172" s="335"/>
      <c r="AA172" s="330"/>
      <c r="AB172" s="335"/>
      <c r="AC172" s="377" t="str">
        <f t="shared" si="35"/>
        <v/>
      </c>
      <c r="AD172" s="399"/>
      <c r="AE172" s="400"/>
    </row>
    <row r="173" spans="1:32" ht="11.25" customHeight="1">
      <c r="A173" s="418">
        <v>41</v>
      </c>
      <c r="B173" s="110"/>
      <c r="K173" s="59"/>
      <c r="L173" s="465" t="s">
        <v>265</v>
      </c>
      <c r="M173" s="690"/>
      <c r="R173" s="151" t="s">
        <v>546</v>
      </c>
      <c r="W173" s="59"/>
      <c r="X173" s="455" t="s">
        <v>265</v>
      </c>
      <c r="Y173" s="462"/>
      <c r="Z173" s="335"/>
      <c r="AA173" s="330"/>
      <c r="AB173" s="617"/>
      <c r="AC173" s="377" t="str">
        <f t="shared" si="35"/>
        <v>Change</v>
      </c>
      <c r="AD173" s="639" t="str">
        <f>O116</f>
        <v>Isocenter is 100 cm from focal spot</v>
      </c>
      <c r="AE173" s="832" t="s">
        <v>798</v>
      </c>
      <c r="AF173" s="330"/>
    </row>
    <row r="174" spans="1:32" ht="11.25" customHeight="1">
      <c r="A174" s="418">
        <v>42</v>
      </c>
      <c r="B174" s="110"/>
      <c r="K174" s="59"/>
      <c r="L174" s="465" t="s">
        <v>265</v>
      </c>
      <c r="M174" s="154" t="s">
        <v>357</v>
      </c>
      <c r="N174" s="37"/>
      <c r="O174" s="37"/>
      <c r="P174" s="37"/>
      <c r="R174" s="151"/>
      <c r="S174" s="37"/>
      <c r="W174" s="59"/>
      <c r="X174" s="455" t="s">
        <v>265</v>
      </c>
      <c r="Y174" s="462"/>
      <c r="Z174" s="335"/>
      <c r="AA174" s="330"/>
      <c r="AB174" s="335"/>
      <c r="AC174" s="377" t="str">
        <f t="shared" si="35"/>
        <v/>
      </c>
      <c r="AD174" s="399"/>
      <c r="AE174" s="400"/>
      <c r="AF174" s="330"/>
    </row>
    <row r="175" spans="1:32" ht="11.25" customHeight="1">
      <c r="A175" s="418">
        <v>43</v>
      </c>
      <c r="B175" s="110"/>
      <c r="K175" s="59"/>
      <c r="L175" s="465" t="s">
        <v>265</v>
      </c>
      <c r="M175" s="700">
        <f>IF(N175&lt;&gt;"",N175,IF(OR(AB60=0,AB60=""),"",AB60))</f>
        <v>1</v>
      </c>
      <c r="N175" s="701">
        <v>1</v>
      </c>
      <c r="O175" s="38" t="s">
        <v>567</v>
      </c>
      <c r="P175" s="37"/>
      <c r="Q175" s="37"/>
      <c r="R175" s="37"/>
      <c r="S175" s="37"/>
      <c r="W175" s="59"/>
      <c r="X175" s="455" t="s">
        <v>265</v>
      </c>
      <c r="Y175" s="462"/>
      <c r="Z175" s="335"/>
      <c r="AA175" s="330"/>
      <c r="AB175" s="617"/>
      <c r="AC175" s="377" t="str">
        <f t="shared" si="35"/>
        <v>Change</v>
      </c>
      <c r="AD175" s="639" t="str">
        <f>O118</f>
        <v>Collimator blade locations and field sizes are referenced to isocenter.</v>
      </c>
      <c r="AE175" s="832" t="s">
        <v>799</v>
      </c>
      <c r="AF175" s="330"/>
    </row>
    <row r="176" spans="1:32" ht="11.25" customHeight="1">
      <c r="A176" s="418">
        <v>44</v>
      </c>
      <c r="B176" s="110"/>
      <c r="K176" s="59"/>
      <c r="L176" s="465" t="s">
        <v>265</v>
      </c>
      <c r="M176" s="536">
        <f>IF(N176&lt;&gt;"",N176,IF(OR(AB61=0,AB61=""),"",AB61))</f>
        <v>2</v>
      </c>
      <c r="N176" s="702">
        <v>2</v>
      </c>
      <c r="O176" s="38" t="s">
        <v>568</v>
      </c>
      <c r="W176" s="59"/>
      <c r="X176" s="455" t="s">
        <v>265</v>
      </c>
      <c r="AA176" s="330"/>
      <c r="AB176" s="335"/>
      <c r="AC176" s="377" t="str">
        <f t="shared" si="35"/>
        <v/>
      </c>
      <c r="AD176" s="399"/>
      <c r="AE176" s="400"/>
      <c r="AF176" s="330"/>
    </row>
    <row r="177" spans="1:32" ht="11.25" customHeight="1">
      <c r="A177" s="418">
        <v>45</v>
      </c>
      <c r="B177" s="110"/>
      <c r="K177" s="59"/>
      <c r="L177" s="465" t="s">
        <v>265</v>
      </c>
      <c r="M177" s="110"/>
      <c r="W177" s="59"/>
      <c r="X177" s="455" t="s">
        <v>265</v>
      </c>
      <c r="Y177" s="462"/>
      <c r="Z177" s="335"/>
      <c r="AA177" s="330"/>
      <c r="AB177" s="617"/>
      <c r="AC177" s="377" t="str">
        <f t="shared" si="35"/>
        <v>Change</v>
      </c>
      <c r="AD177" s="639" t="str">
        <f>O120</f>
        <v>Use 5x5cm field size for exposure/kV measurements.</v>
      </c>
      <c r="AE177" s="832" t="s">
        <v>800</v>
      </c>
      <c r="AF177" s="330"/>
    </row>
    <row r="178" spans="1:32" ht="11.25" customHeight="1">
      <c r="A178" s="418">
        <v>46</v>
      </c>
      <c r="B178" s="110"/>
      <c r="K178" s="59"/>
      <c r="L178" s="465" t="s">
        <v>265</v>
      </c>
      <c r="M178" s="223" t="s">
        <v>358</v>
      </c>
      <c r="N178" s="111"/>
      <c r="R178" s="544" t="s">
        <v>205</v>
      </c>
      <c r="S178" s="260" t="s">
        <v>204</v>
      </c>
      <c r="W178" s="59"/>
      <c r="X178" s="455" t="s">
        <v>265</v>
      </c>
      <c r="Y178" s="462"/>
      <c r="Z178" s="335"/>
      <c r="AA178" s="330"/>
      <c r="AB178" s="335"/>
      <c r="AC178" s="377" t="str">
        <f t="shared" si="35"/>
        <v/>
      </c>
      <c r="AD178" s="399"/>
      <c r="AE178" s="400"/>
      <c r="AF178" s="330"/>
    </row>
    <row r="179" spans="1:32" ht="11.25" customHeight="1">
      <c r="A179" s="418">
        <v>47</v>
      </c>
      <c r="B179" s="110"/>
      <c r="K179" s="59"/>
      <c r="L179" s="465" t="s">
        <v>265</v>
      </c>
      <c r="M179" s="703">
        <f>IF(N179&lt;&gt;"",N179,IF(OR(AB63=0,AB63=""),"",ROUND(AB63,2)))</f>
        <v>100</v>
      </c>
      <c r="N179" s="704">
        <v>100</v>
      </c>
      <c r="O179" s="547" t="s">
        <v>210</v>
      </c>
      <c r="S179" s="260" t="s">
        <v>203</v>
      </c>
      <c r="U179" s="710" t="s">
        <v>230</v>
      </c>
      <c r="V179" s="711" t="str">
        <f>IF(AB66="","??",AB66)</f>
        <v>??</v>
      </c>
      <c r="W179" s="59"/>
      <c r="X179" s="455" t="s">
        <v>265</v>
      </c>
      <c r="Y179" s="462"/>
      <c r="Z179" s="335"/>
      <c r="AA179" s="330"/>
      <c r="AB179" s="617"/>
      <c r="AC179" s="377" t="str">
        <f t="shared" si="35"/>
        <v>Change</v>
      </c>
      <c r="AD179" s="639" t="str">
        <f>O122</f>
        <v>For generator check, align kV/exposure detectors at isocenter.</v>
      </c>
      <c r="AE179" s="832" t="s">
        <v>801</v>
      </c>
      <c r="AF179" s="330"/>
    </row>
    <row r="180" spans="1:32" ht="11.25" customHeight="1">
      <c r="A180" s="418">
        <v>48</v>
      </c>
      <c r="B180" s="110"/>
      <c r="K180" s="59"/>
      <c r="L180" s="465" t="s">
        <v>265</v>
      </c>
      <c r="M180" s="705">
        <f>IF(N180&lt;&gt;"",N180,IF(OR(AB64=0,AB64=""),"",ROUND(AB64,2)))</f>
        <v>50</v>
      </c>
      <c r="N180" s="706">
        <v>50</v>
      </c>
      <c r="O180" s="547" t="s">
        <v>545</v>
      </c>
      <c r="U180" s="261"/>
      <c r="W180" s="59"/>
      <c r="X180" s="455" t="s">
        <v>265</v>
      </c>
      <c r="Y180" s="462"/>
      <c r="Z180" s="330"/>
      <c r="AA180" s="330"/>
      <c r="AB180" s="335"/>
      <c r="AC180" s="377" t="str">
        <f t="shared" si="35"/>
        <v/>
      </c>
      <c r="AD180" s="399"/>
      <c r="AE180" s="400"/>
      <c r="AF180" s="330"/>
    </row>
    <row r="181" spans="1:32" ht="11.25" customHeight="1">
      <c r="A181" s="418">
        <v>49</v>
      </c>
      <c r="B181" s="110"/>
      <c r="K181" s="59"/>
      <c r="L181" s="465" t="s">
        <v>265</v>
      </c>
      <c r="M181" s="54"/>
      <c r="N181" s="545"/>
      <c r="O181" s="546"/>
      <c r="T181" s="131"/>
      <c r="U181" s="335" t="s">
        <v>362</v>
      </c>
      <c r="W181" s="59"/>
      <c r="X181" s="455" t="s">
        <v>265</v>
      </c>
      <c r="Y181" s="462"/>
      <c r="Z181" s="330"/>
      <c r="AA181" s="330"/>
      <c r="AB181" s="617"/>
      <c r="AC181" s="377" t="str">
        <f t="shared" si="35"/>
        <v/>
      </c>
      <c r="AD181" s="639">
        <f>O124</f>
        <v>0</v>
      </c>
      <c r="AE181" s="832" t="s">
        <v>802</v>
      </c>
      <c r="AF181" s="330"/>
    </row>
    <row r="182" spans="1:32" ht="11.25" customHeight="1">
      <c r="A182" s="418">
        <v>50</v>
      </c>
      <c r="B182" s="110"/>
      <c r="K182" s="59"/>
      <c r="L182" s="465" t="s">
        <v>265</v>
      </c>
      <c r="M182" s="110"/>
      <c r="T182" s="464" t="s">
        <v>363</v>
      </c>
      <c r="U182" s="707">
        <f>IF($U$184&lt;&gt;"",$U$184,IF(AND($M$179&lt;&gt;"",$M$180&lt;&gt;""),IF(TBCM_IN="cm",$M$179+$M$180,ROUND(($M$179+$M$180)/2.54,2)),""))</f>
        <v>150</v>
      </c>
      <c r="V182" s="712" t="s">
        <v>364</v>
      </c>
      <c r="W182" s="59"/>
      <c r="X182" s="455" t="s">
        <v>265</v>
      </c>
      <c r="Y182" s="462"/>
      <c r="Z182" s="330"/>
      <c r="AA182" s="330"/>
      <c r="AB182" s="335"/>
      <c r="AC182" s="377" t="str">
        <f t="shared" si="35"/>
        <v/>
      </c>
      <c r="AD182" s="399"/>
      <c r="AE182" s="400"/>
      <c r="AF182" s="330"/>
    </row>
    <row r="183" spans="1:32" ht="11.25" customHeight="1">
      <c r="A183" s="418">
        <v>51</v>
      </c>
      <c r="B183" s="110"/>
      <c r="K183" s="59"/>
      <c r="L183" s="465" t="s">
        <v>265</v>
      </c>
      <c r="M183" s="110"/>
      <c r="T183" s="696" t="s">
        <v>365</v>
      </c>
      <c r="U183" s="708" t="str">
        <f>IF(OR(AB67=0,AB67=""),"",AB67)</f>
        <v/>
      </c>
      <c r="W183" s="59"/>
      <c r="X183" s="455" t="s">
        <v>265</v>
      </c>
      <c r="Y183" s="462"/>
      <c r="Z183" s="330"/>
      <c r="AA183" s="330"/>
      <c r="AB183" s="617"/>
      <c r="AC183" s="377" t="str">
        <f t="shared" si="35"/>
        <v/>
      </c>
      <c r="AD183" s="639">
        <f>O126</f>
        <v>0</v>
      </c>
      <c r="AE183" s="832" t="s">
        <v>803</v>
      </c>
      <c r="AF183" s="330"/>
    </row>
    <row r="184" spans="1:32" ht="11.25" customHeight="1">
      <c r="A184" s="418">
        <v>52</v>
      </c>
      <c r="B184" s="110"/>
      <c r="K184" s="59"/>
      <c r="L184" s="465" t="s">
        <v>265</v>
      </c>
      <c r="M184" s="110"/>
      <c r="T184" s="115" t="s">
        <v>366</v>
      </c>
      <c r="U184" s="709"/>
      <c r="W184" s="59"/>
      <c r="X184" s="455" t="s">
        <v>265</v>
      </c>
      <c r="Y184" s="462"/>
      <c r="Z184" s="330"/>
      <c r="AA184" s="330"/>
      <c r="AB184" s="335"/>
      <c r="AC184" s="377" t="str">
        <f t="shared" si="35"/>
        <v/>
      </c>
      <c r="AD184" s="399"/>
      <c r="AE184" s="400"/>
      <c r="AF184" s="330"/>
    </row>
    <row r="185" spans="1:32" ht="11.25" customHeight="1" thickBot="1">
      <c r="A185" s="418">
        <v>53</v>
      </c>
      <c r="B185" s="110"/>
      <c r="K185" s="59"/>
      <c r="L185" s="465" t="s">
        <v>265</v>
      </c>
      <c r="M185" s="110"/>
      <c r="W185" s="59"/>
      <c r="X185" s="455" t="s">
        <v>265</v>
      </c>
      <c r="Y185" s="462"/>
      <c r="Z185" s="330"/>
      <c r="AA185" s="330"/>
      <c r="AB185" s="617"/>
      <c r="AC185" s="377" t="str">
        <f t="shared" si="35"/>
        <v/>
      </c>
      <c r="AD185" s="639">
        <f>O128</f>
        <v>0</v>
      </c>
      <c r="AE185" s="832" t="s">
        <v>804</v>
      </c>
      <c r="AF185" s="330"/>
    </row>
    <row r="186" spans="1:32" ht="11.25" customHeight="1">
      <c r="A186" s="418">
        <v>54</v>
      </c>
      <c r="B186" s="110"/>
      <c r="K186" s="59"/>
      <c r="L186" s="465" t="s">
        <v>265</v>
      </c>
      <c r="M186" s="110"/>
      <c r="O186" s="859" t="s">
        <v>367</v>
      </c>
      <c r="P186" s="860"/>
      <c r="Q186" s="859" t="s">
        <v>368</v>
      </c>
      <c r="R186" s="860"/>
      <c r="S186" s="853" t="s">
        <v>369</v>
      </c>
      <c r="T186" s="854"/>
      <c r="U186" s="851" t="s">
        <v>373</v>
      </c>
      <c r="V186" s="852"/>
      <c r="W186" s="59"/>
      <c r="X186" s="455" t="s">
        <v>265</v>
      </c>
      <c r="Y186" s="462"/>
      <c r="AA186" s="330"/>
      <c r="AB186" s="335"/>
      <c r="AC186" s="377" t="str">
        <f t="shared" si="35"/>
        <v/>
      </c>
      <c r="AD186" s="399"/>
      <c r="AE186" s="400"/>
      <c r="AF186" s="330"/>
    </row>
    <row r="187" spans="1:32" ht="11.25" customHeight="1">
      <c r="A187" s="418">
        <v>55</v>
      </c>
      <c r="B187" s="110"/>
      <c r="K187" s="59"/>
      <c r="L187" s="465" t="s">
        <v>265</v>
      </c>
      <c r="M187" s="857" t="s">
        <v>374</v>
      </c>
      <c r="N187" s="858"/>
      <c r="O187" s="853" t="str">
        <f>"("&amp;TBCM_IN&amp;")"</f>
        <v>(cm)</v>
      </c>
      <c r="P187" s="854"/>
      <c r="Q187" s="853" t="str">
        <f>"("&amp;TBCM_IN&amp;")"</f>
        <v>(cm)</v>
      </c>
      <c r="R187" s="854"/>
      <c r="S187" s="855" t="s">
        <v>370</v>
      </c>
      <c r="T187" s="856"/>
      <c r="U187" s="853" t="s">
        <v>369</v>
      </c>
      <c r="V187" s="854"/>
      <c r="W187" s="59"/>
      <c r="X187" s="455" t="s">
        <v>265</v>
      </c>
      <c r="Y187" s="462"/>
      <c r="Z187" s="330"/>
      <c r="AA187" s="330"/>
      <c r="AB187" s="617"/>
      <c r="AC187" s="377" t="str">
        <f t="shared" si="35"/>
        <v/>
      </c>
      <c r="AD187" s="639">
        <f>O130</f>
        <v>0</v>
      </c>
      <c r="AE187" s="832" t="s">
        <v>805</v>
      </c>
      <c r="AF187" s="330"/>
    </row>
    <row r="188" spans="1:32" ht="11.25" customHeight="1" thickBot="1">
      <c r="A188" s="418">
        <v>56</v>
      </c>
      <c r="B188" s="110"/>
      <c r="K188" s="59"/>
      <c r="L188" s="465" t="s">
        <v>265</v>
      </c>
      <c r="M188" s="187" t="s">
        <v>291</v>
      </c>
      <c r="N188" s="490" t="s">
        <v>292</v>
      </c>
      <c r="O188" s="189" t="s">
        <v>291</v>
      </c>
      <c r="P188" s="188" t="s">
        <v>292</v>
      </c>
      <c r="Q188" s="189" t="s">
        <v>291</v>
      </c>
      <c r="R188" s="188" t="s">
        <v>292</v>
      </c>
      <c r="S188" s="190" t="s">
        <v>291</v>
      </c>
      <c r="T188" s="188" t="s">
        <v>292</v>
      </c>
      <c r="U188" s="189" t="s">
        <v>291</v>
      </c>
      <c r="V188" s="188" t="s">
        <v>292</v>
      </c>
      <c r="W188" s="59"/>
      <c r="X188" s="455" t="s">
        <v>265</v>
      </c>
      <c r="Y188" s="462"/>
      <c r="Z188" s="330"/>
      <c r="AA188" s="330"/>
      <c r="AB188" s="335"/>
      <c r="AC188" s="377" t="str">
        <f t="shared" si="35"/>
        <v/>
      </c>
      <c r="AD188" s="399"/>
      <c r="AE188" s="400"/>
      <c r="AF188" s="330"/>
    </row>
    <row r="189" spans="1:32" ht="11.25" customHeight="1" thickBot="1">
      <c r="A189" s="418">
        <v>57</v>
      </c>
      <c r="B189" s="110"/>
      <c r="K189" s="59"/>
      <c r="L189" s="465" t="s">
        <v>265</v>
      </c>
      <c r="M189" s="776">
        <v>5</v>
      </c>
      <c r="N189" s="777">
        <v>5</v>
      </c>
      <c r="O189" s="778">
        <f>IF(M189&lt;&gt;"",M189,IF(OR(AB70=0,AB70=""),"",AB70))</f>
        <v>5</v>
      </c>
      <c r="P189" s="779">
        <f>IF(N189&lt;&gt;"",N189,IF(OR(AB71=0,AB71=""),"",AB71))</f>
        <v>5</v>
      </c>
      <c r="Q189" s="780"/>
      <c r="R189" s="781"/>
      <c r="S189" s="413" t="str">
        <f>IF($M$175&lt;&gt;1,"NA",IF(OR($U$182="",O189="",O189=0,Q189="",Q189=0),"NA",ABS(O189-Q189)/$U$182))</f>
        <v>NA</v>
      </c>
      <c r="T189" s="413" t="str">
        <f>IF($M$175&lt;&gt;1,"NA",IF(OR($U$182="",P189="",P189=0,R189="",R189=0),"NA",ABS(P189-R189)/$U$182))</f>
        <v>NA</v>
      </c>
      <c r="U189" s="497" t="str">
        <f>IF(OR(S189="NA",$M$175&lt;&gt;1),"NA",IF(S189="TBD","TBD",IF(S189&gt;0.02,"NO","YES")))</f>
        <v>NA</v>
      </c>
      <c r="V189" s="497" t="str">
        <f>IF(OR(T189="NA",$M$175&lt;&gt;1),"NA",IF(T189="TBD","TBD",IF(T189&gt;0.02,"NO","YES")))</f>
        <v>NA</v>
      </c>
      <c r="W189" s="150"/>
      <c r="X189" s="455" t="s">
        <v>265</v>
      </c>
      <c r="Y189" s="462"/>
      <c r="Z189" s="330"/>
      <c r="AA189" s="330"/>
      <c r="AB189" s="617"/>
      <c r="AC189" s="377" t="str">
        <f t="shared" si="35"/>
        <v/>
      </c>
      <c r="AD189" s="639">
        <f>O132</f>
        <v>0</v>
      </c>
      <c r="AE189" s="832" t="s">
        <v>806</v>
      </c>
      <c r="AF189" s="330"/>
    </row>
    <row r="190" spans="1:32" ht="11.25" customHeight="1" thickBot="1">
      <c r="A190" s="418">
        <v>58</v>
      </c>
      <c r="B190" s="110"/>
      <c r="K190" s="59"/>
      <c r="L190" s="465" t="s">
        <v>265</v>
      </c>
      <c r="M190" s="776">
        <v>10</v>
      </c>
      <c r="N190" s="782">
        <v>10</v>
      </c>
      <c r="O190" s="778">
        <f>IF(M190&lt;&gt;"",M190,IF(OR(AB72=0,AB72=""),"",AB72))</f>
        <v>10</v>
      </c>
      <c r="P190" s="779">
        <f>IF(N190&lt;&gt;"",N190,IF(OR(AB73=0,AB73=""),"",AB73))</f>
        <v>10</v>
      </c>
      <c r="Q190" s="780"/>
      <c r="R190" s="781"/>
      <c r="S190" s="414" t="str">
        <f>IF(OR(O190="",O190=0,Q190="",Q190=0,$M$175&lt;&gt;1),"NA",IF($U$182="","TBD",ABS(O190-Q190)/$U$182))</f>
        <v>NA</v>
      </c>
      <c r="T190" s="414" t="str">
        <f>IF(OR(P190="",P190=0,R190="",R190=0,$M$175&lt;&gt;1),"NA",IF(OR($U$182="",$U$182=0),"NA",ABS(P190-R190)/$U$182))</f>
        <v>NA</v>
      </c>
      <c r="U190" s="497" t="str">
        <f>IF(S190="NA","NA",IF(S190="TBD","TBD",IF(S190&gt;0.02,"NO","YES")))</f>
        <v>NA</v>
      </c>
      <c r="V190" s="497" t="str">
        <f>IF(T190="NA","NA",IF(T190="TBD","TBD",IF(T190&gt;0.02,"NO","YES")))</f>
        <v>NA</v>
      </c>
      <c r="W190" s="150"/>
      <c r="X190" s="455" t="s">
        <v>265</v>
      </c>
      <c r="Y190" s="462"/>
      <c r="Z190" s="330"/>
      <c r="AA190" s="330"/>
      <c r="AB190" s="335"/>
      <c r="AC190" s="377" t="str">
        <f t="shared" si="35"/>
        <v/>
      </c>
      <c r="AD190" s="399"/>
      <c r="AE190" s="400"/>
      <c r="AF190" s="330"/>
    </row>
    <row r="191" spans="1:32" ht="11.25" customHeight="1">
      <c r="A191" s="418">
        <v>59</v>
      </c>
      <c r="B191" s="110"/>
      <c r="K191" s="59"/>
      <c r="L191" s="465" t="s">
        <v>265</v>
      </c>
      <c r="M191" s="132" t="s">
        <v>371</v>
      </c>
      <c r="N191" s="37"/>
      <c r="O191" s="37"/>
      <c r="P191" s="37"/>
      <c r="Q191" s="37"/>
      <c r="R191" s="130"/>
      <c r="S191" s="37"/>
      <c r="W191" s="237"/>
      <c r="X191" s="455" t="s">
        <v>265</v>
      </c>
      <c r="Y191" s="462"/>
      <c r="Z191" s="330"/>
      <c r="AA191" s="330"/>
      <c r="AB191" s="617"/>
      <c r="AC191" s="377" t="str">
        <f t="shared" si="35"/>
        <v/>
      </c>
      <c r="AD191" s="639">
        <f>O134</f>
        <v>0</v>
      </c>
      <c r="AE191" s="832" t="s">
        <v>807</v>
      </c>
      <c r="AF191" s="330"/>
    </row>
    <row r="192" spans="1:32" ht="11.25" customHeight="1">
      <c r="A192" s="418">
        <v>60</v>
      </c>
      <c r="B192" s="110"/>
      <c r="K192" s="59"/>
      <c r="L192" s="465" t="s">
        <v>265</v>
      </c>
      <c r="M192" s="132" t="s">
        <v>372</v>
      </c>
      <c r="W192" s="713"/>
      <c r="X192" s="455" t="s">
        <v>265</v>
      </c>
      <c r="Y192" s="462"/>
      <c r="Z192" s="330"/>
      <c r="AA192" s="330"/>
      <c r="AB192" s="335"/>
      <c r="AC192" s="377" t="str">
        <f t="shared" si="35"/>
        <v/>
      </c>
      <c r="AD192" s="399"/>
      <c r="AE192" s="400"/>
      <c r="AF192" s="330"/>
    </row>
    <row r="193" spans="1:32" ht="11.25" customHeight="1">
      <c r="A193" s="418">
        <v>61</v>
      </c>
      <c r="B193" s="110"/>
      <c r="K193" s="59"/>
      <c r="L193" s="465" t="s">
        <v>265</v>
      </c>
      <c r="M193" s="110"/>
      <c r="W193" s="713"/>
      <c r="X193" s="455" t="s">
        <v>265</v>
      </c>
      <c r="Y193" s="462"/>
      <c r="Z193" s="330"/>
      <c r="AA193" s="330"/>
      <c r="AB193" s="617"/>
      <c r="AC193" s="377" t="str">
        <f t="shared" si="35"/>
        <v/>
      </c>
      <c r="AD193" s="639">
        <f>O136</f>
        <v>0</v>
      </c>
      <c r="AE193" s="832" t="s">
        <v>808</v>
      </c>
      <c r="AF193" s="330"/>
    </row>
    <row r="194" spans="1:32" ht="11.25" customHeight="1">
      <c r="A194" s="418">
        <v>62</v>
      </c>
      <c r="B194" s="110"/>
      <c r="K194" s="59"/>
      <c r="L194" s="465" t="s">
        <v>265</v>
      </c>
      <c r="M194" s="110"/>
      <c r="N194" s="115" t="s">
        <v>354</v>
      </c>
      <c r="O194" s="88" t="s">
        <v>375</v>
      </c>
      <c r="W194" s="59"/>
      <c r="X194" s="455" t="s">
        <v>265</v>
      </c>
      <c r="Y194" s="462"/>
      <c r="Z194" s="330"/>
      <c r="AA194" s="330"/>
      <c r="AB194" s="335"/>
      <c r="AC194" s="377" t="str">
        <f t="shared" si="35"/>
        <v/>
      </c>
      <c r="AD194" s="399"/>
      <c r="AE194" s="400"/>
      <c r="AF194" s="330"/>
    </row>
    <row r="195" spans="1:32" ht="11.25" customHeight="1">
      <c r="A195" s="418">
        <v>63</v>
      </c>
      <c r="B195" s="110"/>
      <c r="K195" s="59"/>
      <c r="L195" s="465" t="s">
        <v>265</v>
      </c>
      <c r="M195" s="110"/>
      <c r="N195" s="151"/>
      <c r="O195" s="88" t="s">
        <v>287</v>
      </c>
      <c r="W195" s="59"/>
      <c r="X195" s="455" t="s">
        <v>265</v>
      </c>
      <c r="Y195" s="462"/>
      <c r="Z195" s="330"/>
      <c r="AA195" s="330"/>
      <c r="AB195" s="617"/>
      <c r="AC195" s="377" t="str">
        <f t="shared" si="35"/>
        <v/>
      </c>
      <c r="AD195" s="639">
        <f>O138</f>
        <v>0</v>
      </c>
      <c r="AE195" s="832" t="s">
        <v>809</v>
      </c>
      <c r="AF195" s="330"/>
    </row>
    <row r="196" spans="1:32" ht="11.25" customHeight="1" thickBot="1">
      <c r="A196" s="418">
        <v>64</v>
      </c>
      <c r="B196" s="125"/>
      <c r="C196" s="421" t="str">
        <f>IF(LEN(O95)&lt;=265,"",RIGHT(O95,LEN(O95)-SEARCH(" ",O95,255)))</f>
        <v/>
      </c>
      <c r="D196" s="61"/>
      <c r="E196" s="61"/>
      <c r="F196" s="61"/>
      <c r="G196" s="61"/>
      <c r="H196" s="61"/>
      <c r="I196" s="61"/>
      <c r="J196" s="61"/>
      <c r="K196" s="62"/>
      <c r="L196" s="465" t="s">
        <v>265</v>
      </c>
      <c r="M196" s="110"/>
      <c r="V196" s="96"/>
      <c r="W196" s="498"/>
      <c r="X196" s="455" t="s">
        <v>265</v>
      </c>
      <c r="Y196" s="462"/>
      <c r="Z196" s="330"/>
      <c r="AA196" s="330"/>
      <c r="AB196" s="335"/>
      <c r="AC196" s="377" t="str">
        <f t="shared" si="35"/>
        <v/>
      </c>
      <c r="AD196" s="399"/>
      <c r="AE196" s="400"/>
      <c r="AF196" s="330"/>
    </row>
    <row r="197" spans="1:32" ht="11.25" customHeight="1" thickTop="1">
      <c r="A197" s="418">
        <v>65</v>
      </c>
      <c r="B197" s="40" t="str">
        <f t="array" ref="B197:C198">$B$65:$C$66</f>
        <v>Date:</v>
      </c>
      <c r="C197" s="674" t="str">
        <v/>
      </c>
      <c r="D197" s="102"/>
      <c r="E197" s="39"/>
      <c r="F197" s="39"/>
      <c r="G197" s="39"/>
      <c r="H197" s="39"/>
      <c r="I197" s="40" t="str">
        <f t="array" ref="I197:J198">$I$65:$J$66</f>
        <v>Inspector:</v>
      </c>
      <c r="J197" s="303" t="str">
        <v>Eugene Mah</v>
      </c>
      <c r="L197" s="465" t="s">
        <v>265</v>
      </c>
      <c r="M197" s="110"/>
      <c r="V197" s="39"/>
      <c r="W197" s="237"/>
      <c r="X197" s="455" t="s">
        <v>265</v>
      </c>
      <c r="Y197" s="462"/>
      <c r="Z197" s="330"/>
      <c r="AA197" s="330"/>
      <c r="AB197" s="617"/>
      <c r="AC197" s="377" t="str">
        <f t="shared" si="35"/>
        <v/>
      </c>
      <c r="AD197" s="639">
        <f>O140</f>
        <v>0</v>
      </c>
      <c r="AE197" s="832" t="s">
        <v>810</v>
      </c>
      <c r="AF197" s="330"/>
    </row>
    <row r="198" spans="1:32" ht="11.25" customHeight="1">
      <c r="A198" s="418">
        <v>66</v>
      </c>
      <c r="B198" s="40" t="str">
        <v>Room Number:</v>
      </c>
      <c r="C198" s="271" t="str">
        <v/>
      </c>
      <c r="E198" s="39"/>
      <c r="F198" s="39"/>
      <c r="G198" s="39"/>
      <c r="H198" s="39"/>
      <c r="I198" s="40" t="str">
        <v>Survey ID:</v>
      </c>
      <c r="J198" s="615" t="str">
        <v/>
      </c>
      <c r="L198" s="465" t="s">
        <v>265</v>
      </c>
      <c r="M198" s="110"/>
      <c r="V198" s="37"/>
      <c r="W198" s="57"/>
      <c r="X198" s="455" t="s">
        <v>265</v>
      </c>
      <c r="Y198" s="462"/>
      <c r="Z198" s="330"/>
      <c r="AA198" s="330"/>
      <c r="AB198" s="335"/>
      <c r="AC198" s="377" t="str">
        <f t="shared" si="35"/>
        <v/>
      </c>
      <c r="AD198" s="399"/>
      <c r="AE198" s="400"/>
      <c r="AF198" s="330"/>
    </row>
    <row r="199" spans="1:32" ht="11.25" customHeight="1">
      <c r="A199" s="418">
        <v>1</v>
      </c>
      <c r="B199" s="1"/>
      <c r="C199" s="1"/>
      <c r="D199" s="1"/>
      <c r="E199" s="1"/>
      <c r="F199" s="1"/>
      <c r="G199" s="1"/>
      <c r="H199" s="1"/>
      <c r="I199" s="1"/>
      <c r="J199" s="1"/>
      <c r="K199" s="114" t="str">
        <f>$F$2</f>
        <v>Medical University of South Carolina</v>
      </c>
      <c r="L199" s="465" t="s">
        <v>265</v>
      </c>
      <c r="M199" s="110"/>
      <c r="V199" s="37"/>
      <c r="W199" s="57"/>
      <c r="X199" s="455" t="s">
        <v>265</v>
      </c>
      <c r="Y199" s="462"/>
      <c r="Z199" s="330"/>
      <c r="AA199" s="330"/>
      <c r="AB199" s="617"/>
      <c r="AC199" s="377" t="str">
        <f t="shared" si="35"/>
        <v/>
      </c>
      <c r="AD199" s="639">
        <f>O142</f>
        <v>0</v>
      </c>
      <c r="AE199" s="832" t="s">
        <v>811</v>
      </c>
      <c r="AF199" s="330"/>
    </row>
    <row r="200" spans="1:32" ht="11.25" customHeight="1">
      <c r="A200" s="418">
        <v>2</v>
      </c>
      <c r="B200" s="1"/>
      <c r="C200" s="1"/>
      <c r="D200" s="1"/>
      <c r="E200" s="1"/>
      <c r="F200" s="70" t="str">
        <f>$F$49</f>
        <v>Inspection Results</v>
      </c>
      <c r="G200" s="1"/>
      <c r="H200" s="1"/>
      <c r="I200" s="1"/>
      <c r="J200" s="1"/>
      <c r="K200" s="115" t="str">
        <f>$F$5</f>
        <v>Radiation Oncology IGRT Compliance Inspection</v>
      </c>
      <c r="L200" s="465" t="s">
        <v>265</v>
      </c>
      <c r="M200" s="110"/>
      <c r="W200" s="59"/>
      <c r="X200" s="455" t="s">
        <v>265</v>
      </c>
      <c r="Y200" s="462"/>
      <c r="Z200" s="330"/>
      <c r="AA200" s="330"/>
      <c r="AB200" s="335"/>
      <c r="AC200" s="377" t="str">
        <f t="shared" si="35"/>
        <v/>
      </c>
      <c r="AD200" s="399"/>
      <c r="AE200" s="400"/>
      <c r="AF200" s="330"/>
    </row>
    <row r="201" spans="1:32" ht="11.25" customHeight="1">
      <c r="A201" s="418">
        <v>3</v>
      </c>
      <c r="L201" s="465" t="s">
        <v>265</v>
      </c>
      <c r="M201" s="90"/>
      <c r="R201" s="38"/>
      <c r="U201" s="37"/>
      <c r="V201" s="37"/>
      <c r="W201" s="59"/>
      <c r="X201" s="455" t="s">
        <v>265</v>
      </c>
      <c r="Y201" s="462"/>
      <c r="Z201" s="330"/>
      <c r="AA201" s="330"/>
      <c r="AB201" s="617"/>
      <c r="AC201" s="377" t="str">
        <f t="shared" si="35"/>
        <v/>
      </c>
      <c r="AD201" s="639">
        <f>O144</f>
        <v>0</v>
      </c>
      <c r="AE201" s="832" t="s">
        <v>812</v>
      </c>
      <c r="AF201" s="330"/>
    </row>
    <row r="202" spans="1:32" ht="11.25" customHeight="1">
      <c r="A202" s="418">
        <v>4</v>
      </c>
      <c r="F202" s="151" t="str">
        <f>$R$111</f>
        <v>COMMENTS PAGE 2</v>
      </c>
      <c r="L202" s="465" t="s">
        <v>265</v>
      </c>
      <c r="M202" s="54"/>
      <c r="R202" s="38"/>
      <c r="U202" s="37"/>
      <c r="V202" s="37"/>
      <c r="W202" s="59"/>
      <c r="X202" s="455" t="s">
        <v>265</v>
      </c>
      <c r="Y202" s="462"/>
      <c r="Z202" s="330"/>
      <c r="AA202" s="330"/>
      <c r="AB202" s="335"/>
      <c r="AC202" s="377" t="str">
        <f t="shared" si="35"/>
        <v/>
      </c>
      <c r="AD202" s="399"/>
      <c r="AE202" s="400"/>
      <c r="AF202" s="330"/>
    </row>
    <row r="203" spans="1:32" ht="11.25" customHeight="1" thickBot="1">
      <c r="A203" s="418">
        <v>5</v>
      </c>
      <c r="L203" s="465" t="s">
        <v>265</v>
      </c>
      <c r="M203" s="86"/>
      <c r="N203" s="71"/>
      <c r="O203" s="71"/>
      <c r="P203" s="71"/>
      <c r="Q203" s="71"/>
      <c r="R203" s="71"/>
      <c r="S203" s="71"/>
      <c r="T203" s="71"/>
      <c r="U203" s="71"/>
      <c r="V203" s="71"/>
      <c r="W203" s="74"/>
      <c r="X203" s="455" t="s">
        <v>265</v>
      </c>
      <c r="Y203" s="462"/>
      <c r="Z203" s="330"/>
      <c r="AA203" s="330"/>
      <c r="AB203" s="617"/>
      <c r="AC203" s="377" t="str">
        <f t="shared" si="35"/>
        <v/>
      </c>
      <c r="AD203" s="639">
        <f>O146</f>
        <v>0</v>
      </c>
      <c r="AE203" s="832" t="s">
        <v>813</v>
      </c>
      <c r="AF203" s="330"/>
    </row>
    <row r="204" spans="1:32" ht="11.25" customHeight="1" thickTop="1">
      <c r="A204" s="418">
        <v>6</v>
      </c>
      <c r="B204" s="67"/>
      <c r="C204" s="50"/>
      <c r="D204" s="50"/>
      <c r="E204" s="50"/>
      <c r="F204" s="50"/>
      <c r="G204" s="50"/>
      <c r="H204" s="50"/>
      <c r="I204" s="50"/>
      <c r="J204" s="50"/>
      <c r="K204" s="68"/>
      <c r="L204" s="465" t="s">
        <v>265</v>
      </c>
      <c r="M204" s="67"/>
      <c r="N204" s="50"/>
      <c r="O204" s="50"/>
      <c r="P204" s="50"/>
      <c r="Q204" s="50"/>
      <c r="R204" s="50"/>
      <c r="S204" s="50"/>
      <c r="T204" s="50"/>
      <c r="U204" s="50"/>
      <c r="V204" s="50"/>
      <c r="W204" s="68"/>
      <c r="X204" s="455" t="s">
        <v>265</v>
      </c>
      <c r="Y204" s="462"/>
      <c r="Z204" s="330"/>
      <c r="AB204" s="335"/>
      <c r="AC204" s="377" t="str">
        <f t="shared" si="35"/>
        <v/>
      </c>
      <c r="AD204" s="399"/>
      <c r="AE204" s="400"/>
      <c r="AF204" s="330"/>
    </row>
    <row r="205" spans="1:32" ht="11.25" customHeight="1">
      <c r="A205" s="418">
        <v>7</v>
      </c>
      <c r="B205" s="90" t="s">
        <v>346</v>
      </c>
      <c r="C205" s="420" t="str">
        <f>IF(O114="","",IF(LEN(O114)&lt;=135,O114,IF(LEN(O114)&lt;=260,LEFT(O114,SEARCH(" ",O114,125)),LEFT(O114,SEARCH(" ",O114,130)))))</f>
        <v>OPERATIONAL NOTES</v>
      </c>
      <c r="D205" s="272"/>
      <c r="E205" s="272"/>
      <c r="F205" s="272"/>
      <c r="G205" s="272"/>
      <c r="H205" s="272"/>
      <c r="I205" s="272"/>
      <c r="J205" s="272"/>
      <c r="K205" s="59"/>
      <c r="L205" s="465" t="s">
        <v>265</v>
      </c>
      <c r="M205" s="110"/>
      <c r="Q205" s="191" t="s">
        <v>316</v>
      </c>
      <c r="V205" s="4" t="s">
        <v>384</v>
      </c>
      <c r="W205" s="325" t="s">
        <v>385</v>
      </c>
      <c r="X205" s="455" t="s">
        <v>265</v>
      </c>
      <c r="Y205" s="462"/>
      <c r="Z205" s="330"/>
      <c r="AB205" s="617"/>
      <c r="AC205" s="377" t="str">
        <f t="shared" si="35"/>
        <v/>
      </c>
      <c r="AD205" s="639">
        <f>O148</f>
        <v>0</v>
      </c>
      <c r="AE205" s="832" t="s">
        <v>814</v>
      </c>
      <c r="AF205" s="330"/>
    </row>
    <row r="206" spans="1:32" ht="11.25" customHeight="1">
      <c r="A206" s="418">
        <v>8</v>
      </c>
      <c r="B206" s="73"/>
      <c r="C206" s="420" t="str">
        <f>IF(LEN(O114)&lt;=135,"",IF(LEN(O114)&lt;=260,RIGHT(O114,LEN(O114)-SEARCH(" ",O114,125)),MID(O114,SEARCH(" ",O114,130),IF(LEN(O114)&lt;=265,LEN(O114),SEARCH(" ",O114,255)-SEARCH(" ",O114,130)))))</f>
        <v/>
      </c>
      <c r="D206" s="272"/>
      <c r="E206" s="272"/>
      <c r="F206" s="272"/>
      <c r="G206" s="272"/>
      <c r="H206" s="272"/>
      <c r="I206" s="272"/>
      <c r="J206" s="272"/>
      <c r="K206" s="59"/>
      <c r="L206" s="465" t="s">
        <v>265</v>
      </c>
      <c r="M206" s="223" t="s">
        <v>377</v>
      </c>
      <c r="N206" s="1"/>
      <c r="O206" s="1"/>
      <c r="P206" s="1"/>
      <c r="Q206" s="38"/>
      <c r="R206" s="1"/>
      <c r="S206" s="1"/>
      <c r="T206" s="1"/>
      <c r="U206" s="4" t="s">
        <v>351</v>
      </c>
      <c r="V206" s="4" t="s">
        <v>386</v>
      </c>
      <c r="W206" s="325" t="s">
        <v>386</v>
      </c>
      <c r="X206" s="455" t="s">
        <v>265</v>
      </c>
      <c r="Y206" s="462"/>
      <c r="Z206" s="330"/>
      <c r="AB206" s="335"/>
      <c r="AC206" s="377" t="str">
        <f t="shared" si="35"/>
        <v/>
      </c>
      <c r="AD206" s="399"/>
      <c r="AE206" s="400"/>
      <c r="AF206" s="330"/>
    </row>
    <row r="207" spans="1:32" ht="11.25" customHeight="1">
      <c r="A207" s="418">
        <v>9</v>
      </c>
      <c r="B207" s="73"/>
      <c r="C207" s="420" t="str">
        <f>IF(LEN(O114)&lt;=265,"",RIGHT(O114,LEN(O114)-SEARCH(" ",O114,255)))</f>
        <v/>
      </c>
      <c r="D207" s="272"/>
      <c r="E207" s="272"/>
      <c r="F207" s="272"/>
      <c r="G207" s="272"/>
      <c r="H207" s="272"/>
      <c r="I207" s="272"/>
      <c r="J207" s="272"/>
      <c r="K207" s="59"/>
      <c r="L207" s="465" t="s">
        <v>265</v>
      </c>
      <c r="M207" s="156" t="str">
        <f>$S$24</f>
        <v>Large:</v>
      </c>
      <c r="N207" s="512" t="str">
        <f>IF($U$54="","?Tube #?",$T$24)</f>
        <v/>
      </c>
      <c r="O207" s="3" t="s">
        <v>387</v>
      </c>
      <c r="P207" s="685" t="s">
        <v>355</v>
      </c>
      <c r="R207" s="557"/>
      <c r="S207" s="1"/>
      <c r="T207" s="1"/>
      <c r="U207" s="4" t="s">
        <v>388</v>
      </c>
      <c r="V207" s="4" t="s">
        <v>388</v>
      </c>
      <c r="W207" s="325" t="s">
        <v>388</v>
      </c>
      <c r="X207" s="455" t="s">
        <v>265</v>
      </c>
      <c r="Y207" s="462"/>
      <c r="Z207" s="330"/>
      <c r="AB207" s="617"/>
      <c r="AC207" s="377" t="str">
        <f t="shared" si="35"/>
        <v/>
      </c>
      <c r="AD207" s="639">
        <f>O150</f>
        <v>0</v>
      </c>
      <c r="AE207" s="832" t="s">
        <v>815</v>
      </c>
      <c r="AF207" s="330"/>
    </row>
    <row r="208" spans="1:32" ht="11.25" customHeight="1" thickBot="1">
      <c r="A208" s="418">
        <v>10</v>
      </c>
      <c r="B208" s="110"/>
      <c r="C208" s="420" t="str">
        <f>IF(O116="","",IF(LEN(O116)&lt;=135,O116,IF(LEN(O116)&lt;=260,LEFT(O116,SEARCH(" ",O116,125)),LEFT(O116,SEARCH(" ",O116,130)))))</f>
        <v>Isocenter is 100 cm from focal spot</v>
      </c>
      <c r="D208" s="272"/>
      <c r="E208" s="272"/>
      <c r="F208" s="272"/>
      <c r="G208" s="272"/>
      <c r="H208" s="272"/>
      <c r="I208" s="272"/>
      <c r="J208" s="272"/>
      <c r="K208" s="59"/>
      <c r="L208" s="465" t="s">
        <v>265</v>
      </c>
      <c r="M208" s="34"/>
      <c r="O208" s="23" t="s">
        <v>298</v>
      </c>
      <c r="P208" s="529" t="str">
        <f>IF(LFMAS="",AB76,LFMAS)</f>
        <v>mAs</v>
      </c>
      <c r="Q208" s="23" t="s">
        <v>389</v>
      </c>
      <c r="R208" s="23" t="s">
        <v>390</v>
      </c>
      <c r="S208" s="23" t="s">
        <v>391</v>
      </c>
      <c r="T208" s="194" t="s">
        <v>392</v>
      </c>
      <c r="U208" s="6" t="s">
        <v>393</v>
      </c>
      <c r="V208" s="6" t="s">
        <v>393</v>
      </c>
      <c r="W208" s="22" t="s">
        <v>393</v>
      </c>
      <c r="X208" s="455" t="s">
        <v>265</v>
      </c>
      <c r="Y208" s="462"/>
      <c r="Z208" s="330"/>
      <c r="AA208" s="379"/>
      <c r="AB208" s="379"/>
      <c r="AC208" s="379"/>
      <c r="AE208"/>
      <c r="AF208" s="330"/>
    </row>
    <row r="209" spans="1:32" ht="11.25" customHeight="1">
      <c r="A209" s="418">
        <v>11</v>
      </c>
      <c r="B209" s="110"/>
      <c r="C209" s="420" t="str">
        <f>IF(LEN(O116)&lt;=135,"",IF(LEN(O116)&lt;=260,RIGHT(O116,LEN(O116)-SEARCH(" ",O116,125)),MID(O116,SEARCH(" ",O116,130),IF(LEN(O116)&lt;=265,LEN(O116),SEARCH(" ",O116,255)-SEARCH(" ",O116,130)))))</f>
        <v/>
      </c>
      <c r="D209" s="272"/>
      <c r="E209" s="272"/>
      <c r="F209" s="272"/>
      <c r="G209" s="272"/>
      <c r="H209" s="272"/>
      <c r="I209" s="272"/>
      <c r="J209" s="272"/>
      <c r="K209" s="59"/>
      <c r="L209" s="465" t="s">
        <v>265</v>
      </c>
      <c r="M209" s="34"/>
      <c r="O209" s="527" t="str">
        <f>IF(O210&lt;&gt;"",O210,IF(OR(AB77=0,AB77=""),"",AB77))</f>
        <v/>
      </c>
      <c r="P209" s="527" t="str">
        <f>IF(P210&lt;&gt;"",P210,IF(OR(AB78=0,AB78=""),"",AB78))</f>
        <v/>
      </c>
      <c r="Q209" s="528" t="str">
        <f>IF(Q210&lt;&gt;"",Q210,IF(OR(AB79=0,AB79=""),"",AB79))</f>
        <v/>
      </c>
      <c r="R209" s="529">
        <f>IF(R210&lt;&gt;"",R210,IF(OR(AB80=0,AB80=""),"",AB80))</f>
        <v>150</v>
      </c>
      <c r="S209" s="529">
        <f>IF(S210&lt;&gt;"",S210,IF(OR(AB81=0,AB81=""),"",AB81))</f>
        <v>100</v>
      </c>
      <c r="T209" s="513">
        <f>IF(OR(R209="",R209=0,S209="",S209=0),"",R209/(R209-S209))</f>
        <v>3</v>
      </c>
      <c r="U209" s="424"/>
      <c r="V209" s="530" t="str">
        <f>IF(OR(AB83=0,AB83=""),"",AB83)</f>
        <v/>
      </c>
      <c r="W209" s="531" t="str">
        <f>IF(OR(AB84=0,AB84=""),"",AB84)</f>
        <v/>
      </c>
      <c r="X209" s="455" t="s">
        <v>265</v>
      </c>
      <c r="Y209" s="462"/>
      <c r="Z209" s="330"/>
      <c r="AA209" s="115" t="s">
        <v>376</v>
      </c>
      <c r="AB209" s="335"/>
      <c r="AC209" s="377" t="str">
        <f t="shared" ref="AC209:AC220" si="36">IF(AND(OR(AB209="",AB209=0),OR(AD209="",AD209=0)),"",IF(AB209&lt;&gt;AD209,"Change",""))</f>
        <v/>
      </c>
      <c r="AD209" s="398"/>
      <c r="AE209" s="400"/>
      <c r="AF209" s="330"/>
    </row>
    <row r="210" spans="1:32" ht="11.25" customHeight="1">
      <c r="A210" s="418">
        <v>12</v>
      </c>
      <c r="B210" s="110"/>
      <c r="C210" s="420" t="str">
        <f>IF(LEN(O116)&lt;=265,"",RIGHT(O116,LEN(O116)-SEARCH(" ",O116,255)))</f>
        <v/>
      </c>
      <c r="D210" s="272"/>
      <c r="E210" s="272"/>
      <c r="F210" s="272"/>
      <c r="G210" s="272"/>
      <c r="H210" s="272"/>
      <c r="I210" s="272"/>
      <c r="J210" s="272"/>
      <c r="K210" s="59"/>
      <c r="L210" s="465" t="s">
        <v>265</v>
      </c>
      <c r="M210" s="491"/>
      <c r="N210" s="489" t="s">
        <v>394</v>
      </c>
      <c r="O210" s="477"/>
      <c r="P210" s="477"/>
      <c r="Q210" s="478"/>
      <c r="R210" s="479">
        <v>150</v>
      </c>
      <c r="S210" s="479">
        <v>100</v>
      </c>
      <c r="V210" s="1"/>
      <c r="W210" s="32"/>
      <c r="X210" s="455" t="s">
        <v>265</v>
      </c>
      <c r="Y210" s="462"/>
      <c r="Z210" s="330"/>
      <c r="AA210" s="335" t="s">
        <v>377</v>
      </c>
      <c r="AB210" s="617"/>
      <c r="AC210" s="377" t="str">
        <f t="shared" si="36"/>
        <v/>
      </c>
      <c r="AD210" s="639" t="str">
        <f>IF(O223="","",O223)</f>
        <v/>
      </c>
      <c r="AE210" s="833" t="s">
        <v>463</v>
      </c>
      <c r="AF210" s="330"/>
    </row>
    <row r="211" spans="1:32" ht="11.25" customHeight="1">
      <c r="A211" s="418">
        <v>13</v>
      </c>
      <c r="B211" s="110"/>
      <c r="C211" s="420" t="str">
        <f>IF(O118="","",IF(LEN(O118)&lt;=135,O118,IF(LEN(O118)&lt;=260,LEFT(O118,SEARCH(" ",O118,125)),LEFT(O118,SEARCH(" ",O118,130)))))</f>
        <v>Collimator blade locations and field sizes are referenced to isocenter.</v>
      </c>
      <c r="D211" s="272"/>
      <c r="E211" s="272"/>
      <c r="F211" s="272"/>
      <c r="G211" s="272"/>
      <c r="H211" s="272"/>
      <c r="I211" s="272"/>
      <c r="J211" s="272"/>
      <c r="K211" s="59"/>
      <c r="L211" s="465" t="s">
        <v>265</v>
      </c>
      <c r="M211" s="110"/>
      <c r="P211" s="1"/>
      <c r="Q211" s="38"/>
      <c r="R211" s="1"/>
      <c r="S211" s="1"/>
      <c r="U211" s="4" t="s">
        <v>351</v>
      </c>
      <c r="V211" s="4" t="s">
        <v>386</v>
      </c>
      <c r="W211" s="325" t="s">
        <v>386</v>
      </c>
      <c r="X211" s="455" t="s">
        <v>265</v>
      </c>
      <c r="Y211" s="462"/>
      <c r="Z211" s="330"/>
      <c r="AA211" s="335" t="s">
        <v>378</v>
      </c>
      <c r="AB211" s="617"/>
      <c r="AC211" s="377" t="str">
        <f t="shared" si="36"/>
        <v/>
      </c>
      <c r="AD211" s="639" t="str">
        <f>IF(O243="","",O243)</f>
        <v/>
      </c>
      <c r="AE211" s="833" t="s">
        <v>816</v>
      </c>
      <c r="AF211" s="330"/>
    </row>
    <row r="212" spans="1:32" ht="11.25" customHeight="1">
      <c r="A212" s="418">
        <v>14</v>
      </c>
      <c r="B212" s="110"/>
      <c r="C212" s="420" t="str">
        <f>IF(LEN(O118)&lt;=135,"",IF(LEN(O118)&lt;=260,RIGHT(O118,LEN(O118)-SEARCH(" ",O118,125)),MID(O118,SEARCH(" ",O118,130),IF(LEN(O118)&lt;=265,LEN(O118),SEARCH(" ",O118,255)-SEARCH(" ",O118,130)))))</f>
        <v/>
      </c>
      <c r="D212" s="272"/>
      <c r="E212" s="272"/>
      <c r="F212" s="272"/>
      <c r="G212" s="272"/>
      <c r="H212" s="272"/>
      <c r="I212" s="272"/>
      <c r="J212" s="272"/>
      <c r="K212" s="59"/>
      <c r="L212" s="465" t="s">
        <v>265</v>
      </c>
      <c r="M212" s="156" t="str">
        <f>IF($U$54="","Small:",IF($T$26="",$S$25,$S$26))</f>
        <v>Small:</v>
      </c>
      <c r="N212" s="512" t="str">
        <f>IF($U$54="","?Tube #?",IF(ISNA(MATCH($U$54,$U$59:$U$65,0)),IF(ISNA(MATCH($U$54,$V$59:$V$65,0)),"?Tube #?"),IF($T$26="",$T$25,$T$26)))</f>
        <v/>
      </c>
      <c r="O212" s="3" t="s">
        <v>387</v>
      </c>
      <c r="P212" s="685" t="s">
        <v>355</v>
      </c>
      <c r="R212" s="557"/>
      <c r="S212" s="1"/>
      <c r="U212" s="4" t="s">
        <v>388</v>
      </c>
      <c r="V212" s="4" t="s">
        <v>388</v>
      </c>
      <c r="W212" s="325" t="s">
        <v>388</v>
      </c>
      <c r="X212" s="455" t="s">
        <v>265</v>
      </c>
      <c r="Y212" s="462"/>
      <c r="Z212" s="330"/>
      <c r="AA212" s="335" t="s">
        <v>379</v>
      </c>
      <c r="AB212" s="617"/>
      <c r="AC212" s="377" t="str">
        <f t="shared" si="36"/>
        <v/>
      </c>
      <c r="AD212" s="639" t="str">
        <f>IF(O259="","",O259)</f>
        <v/>
      </c>
      <c r="AE212" s="833" t="s">
        <v>817</v>
      </c>
      <c r="AF212" s="330"/>
    </row>
    <row r="213" spans="1:32" ht="11.25" customHeight="1" thickBot="1">
      <c r="A213" s="418">
        <v>15</v>
      </c>
      <c r="B213" s="110"/>
      <c r="C213" s="420" t="str">
        <f>IF(LEN(O118)&lt;=265,"",RIGHT(O118,LEN(O118)-SEARCH(" ",O118,255)))</f>
        <v/>
      </c>
      <c r="D213" s="272"/>
      <c r="E213" s="272"/>
      <c r="F213" s="272"/>
      <c r="G213" s="272"/>
      <c r="H213" s="272"/>
      <c r="I213" s="272"/>
      <c r="J213" s="272"/>
      <c r="K213" s="59"/>
      <c r="L213" s="465" t="s">
        <v>265</v>
      </c>
      <c r="M213" s="110"/>
      <c r="O213" s="23" t="s">
        <v>298</v>
      </c>
      <c r="P213" s="529" t="str">
        <f>IF(SFMAS="",AB86,SFMAS)</f>
        <v>mAs</v>
      </c>
      <c r="Q213" s="23" t="s">
        <v>389</v>
      </c>
      <c r="R213" s="23" t="s">
        <v>390</v>
      </c>
      <c r="S213" s="23" t="s">
        <v>391</v>
      </c>
      <c r="T213" s="194" t="s">
        <v>392</v>
      </c>
      <c r="U213" s="6" t="s">
        <v>393</v>
      </c>
      <c r="V213" s="6" t="s">
        <v>393</v>
      </c>
      <c r="W213" s="22" t="s">
        <v>393</v>
      </c>
      <c r="X213" s="455" t="s">
        <v>265</v>
      </c>
      <c r="Y213" s="462"/>
      <c r="Z213" s="330"/>
      <c r="AA213" s="335" t="s">
        <v>206</v>
      </c>
      <c r="AB213" s="617"/>
      <c r="AC213" s="377" t="str">
        <f t="shared" si="36"/>
        <v/>
      </c>
      <c r="AD213" s="639" t="str">
        <f>IF(O291="","",O291)</f>
        <v/>
      </c>
      <c r="AE213" s="833" t="s">
        <v>818</v>
      </c>
      <c r="AF213" s="330"/>
    </row>
    <row r="214" spans="1:32" ht="11.25" customHeight="1">
      <c r="A214" s="418">
        <v>16</v>
      </c>
      <c r="B214" s="110"/>
      <c r="C214" s="420" t="str">
        <f>IF(O120="","",IF(LEN(O120)&lt;=135,O120,IF(LEN(O120)&lt;=260,LEFT(O120,SEARCH(" ",O120,125)),LEFT(O120,SEARCH(" ",O120,130)))))</f>
        <v>Use 5x5cm field size for exposure/kV measurements.</v>
      </c>
      <c r="D214" s="272"/>
      <c r="E214" s="272"/>
      <c r="F214" s="272"/>
      <c r="G214" s="272"/>
      <c r="H214" s="272"/>
      <c r="I214" s="272"/>
      <c r="J214" s="272"/>
      <c r="K214" s="59"/>
      <c r="L214" s="465" t="s">
        <v>265</v>
      </c>
      <c r="M214" s="34"/>
      <c r="O214" s="527" t="str">
        <f>IF(O215&lt;&gt;"",O215,IF(OR(AB87=0,AB87=""),"",AB87))</f>
        <v/>
      </c>
      <c r="P214" s="527" t="str">
        <f>IF(P215&lt;&gt;"",P215,IF(OR(AB88=0,AB88=""),"",AB88))</f>
        <v/>
      </c>
      <c r="Q214" s="528" t="str">
        <f>IF(Q215&lt;&gt;"",Q215,IF(OR(AB89=0,AB89=""),"",AB89))</f>
        <v/>
      </c>
      <c r="R214" s="529">
        <f>IF(R215&lt;&gt;"",R215,IF(OR(AB90=0,AB90=""),"",AB90))</f>
        <v>150</v>
      </c>
      <c r="S214" s="529">
        <f>IF(S215&lt;&gt;"",S215,IF(OR(AB91=0,AB91=""),"",AB91))</f>
        <v>100</v>
      </c>
      <c r="T214" s="513">
        <f>IF(OR(R214="",R214=0,S214="",S214=0),"",R214/(R214-S214))</f>
        <v>3</v>
      </c>
      <c r="U214" s="424"/>
      <c r="V214" s="530" t="str">
        <f>IF(OR(AB93=0,AB93=""),"",AB93)</f>
        <v/>
      </c>
      <c r="W214" s="531" t="str">
        <f>IF(OR(AB94=0,AB94=""),"",AB94)</f>
        <v/>
      </c>
      <c r="X214" s="455" t="s">
        <v>265</v>
      </c>
      <c r="Y214" s="462"/>
      <c r="Z214" s="330"/>
      <c r="AA214" s="335" t="s">
        <v>207</v>
      </c>
      <c r="AB214" s="617"/>
      <c r="AC214" s="377" t="str">
        <f t="shared" si="36"/>
        <v/>
      </c>
      <c r="AD214" s="639" t="str">
        <f>IF(O293="","",O293)</f>
        <v/>
      </c>
      <c r="AE214" s="833" t="s">
        <v>819</v>
      </c>
      <c r="AF214" s="330"/>
    </row>
    <row r="215" spans="1:32" ht="11.25" customHeight="1">
      <c r="A215" s="418">
        <v>17</v>
      </c>
      <c r="B215" s="110"/>
      <c r="C215" s="420" t="str">
        <f>IF(LEN(O120)&lt;=135,"",IF(LEN(O120)&lt;=260,RIGHT(O120,LEN(O120)-SEARCH(" ",O120,125)),MID(O120,SEARCH(" ",O120,130),IF(LEN(O120)&lt;=265,LEN(O120),SEARCH(" ",O120,255)-SEARCH(" ",O120,130)))))</f>
        <v/>
      </c>
      <c r="D215" s="272"/>
      <c r="E215" s="272"/>
      <c r="F215" s="272"/>
      <c r="G215" s="272"/>
      <c r="H215" s="272"/>
      <c r="I215" s="272"/>
      <c r="J215" s="272"/>
      <c r="K215" s="59"/>
      <c r="L215" s="465" t="s">
        <v>265</v>
      </c>
      <c r="M215" s="491"/>
      <c r="N215" s="489" t="s">
        <v>394</v>
      </c>
      <c r="O215" s="477"/>
      <c r="P215" s="477"/>
      <c r="Q215" s="478"/>
      <c r="R215" s="479">
        <v>150</v>
      </c>
      <c r="S215" s="479">
        <v>100</v>
      </c>
      <c r="T215" s="1"/>
      <c r="U215" s="1"/>
      <c r="V215" s="1"/>
      <c r="W215" s="32"/>
      <c r="X215" s="455" t="s">
        <v>265</v>
      </c>
      <c r="Y215" s="462"/>
      <c r="Z215" s="330"/>
      <c r="AA215" s="335" t="s">
        <v>208</v>
      </c>
      <c r="AB215" s="617"/>
      <c r="AC215" s="377" t="str">
        <f t="shared" si="36"/>
        <v/>
      </c>
      <c r="AD215" s="639" t="str">
        <f>IF(O310="","",O310)</f>
        <v/>
      </c>
      <c r="AE215" s="833" t="s">
        <v>820</v>
      </c>
      <c r="AF215" s="330"/>
    </row>
    <row r="216" spans="1:32" ht="11.25" customHeight="1">
      <c r="A216" s="418">
        <v>18</v>
      </c>
      <c r="B216" s="110"/>
      <c r="C216" s="420" t="str">
        <f>IF(LEN(O120)&lt;=265,"",RIGHT(O120,LEN(O120)-SEARCH(" ",O120,255)))</f>
        <v/>
      </c>
      <c r="D216" s="272"/>
      <c r="E216" s="272"/>
      <c r="F216" s="272"/>
      <c r="G216" s="272"/>
      <c r="H216" s="272"/>
      <c r="I216" s="272"/>
      <c r="J216" s="272"/>
      <c r="K216" s="59"/>
      <c r="L216" s="465" t="s">
        <v>265</v>
      </c>
      <c r="M216" s="34"/>
      <c r="O216" s="3" t="s">
        <v>395</v>
      </c>
      <c r="P216" s="1"/>
      <c r="Q216" s="1"/>
      <c r="R216" s="1"/>
      <c r="S216" s="1"/>
      <c r="T216" s="1"/>
      <c r="U216" s="1"/>
      <c r="V216" s="1"/>
      <c r="W216" s="32"/>
      <c r="X216" s="455" t="s">
        <v>265</v>
      </c>
      <c r="Y216" s="462"/>
      <c r="Z216" s="330"/>
      <c r="AA216" s="335" t="s">
        <v>209</v>
      </c>
      <c r="AB216" s="617"/>
      <c r="AC216" s="377" t="str">
        <f t="shared" si="36"/>
        <v/>
      </c>
      <c r="AD216" s="639" t="str">
        <f>IF(O312="","",O312)</f>
        <v/>
      </c>
      <c r="AE216" s="833" t="s">
        <v>821</v>
      </c>
      <c r="AF216" s="330"/>
    </row>
    <row r="217" spans="1:32" ht="11.25" customHeight="1">
      <c r="A217" s="418">
        <v>19</v>
      </c>
      <c r="B217" s="110"/>
      <c r="C217" s="420" t="str">
        <f>IF(O122="","",IF(LEN(O122)&lt;=135,O122,IF(LEN(O122)&lt;=260,LEFT(O122,SEARCH(" ",O122,125)),LEFT(O122,SEARCH(" ",O122,130)))))</f>
        <v>For generator check, align kV/exposure detectors at isocenter.</v>
      </c>
      <c r="D217" s="272"/>
      <c r="E217" s="272"/>
      <c r="F217" s="272"/>
      <c r="G217" s="272"/>
      <c r="H217" s="272"/>
      <c r="I217" s="272"/>
      <c r="J217" s="272"/>
      <c r="K217" s="59"/>
      <c r="L217" s="465" t="s">
        <v>265</v>
      </c>
      <c r="M217" s="156"/>
      <c r="O217" s="3" t="s">
        <v>396</v>
      </c>
      <c r="W217" s="32"/>
      <c r="X217" s="455" t="s">
        <v>265</v>
      </c>
      <c r="Y217" s="462"/>
      <c r="Z217" s="330"/>
      <c r="AA217" s="335" t="s">
        <v>380</v>
      </c>
      <c r="AB217" s="617"/>
      <c r="AC217" s="377" t="str">
        <f t="shared" si="36"/>
        <v/>
      </c>
      <c r="AD217" s="639" t="str">
        <f>IF(O350="","",O350)</f>
        <v/>
      </c>
      <c r="AE217" s="833" t="s">
        <v>822</v>
      </c>
      <c r="AF217" s="330"/>
    </row>
    <row r="218" spans="1:32" ht="11.25" customHeight="1">
      <c r="A218" s="418">
        <v>20</v>
      </c>
      <c r="B218" s="110"/>
      <c r="C218" s="420" t="str">
        <f>IF(LEN(O122)&lt;=135,"",IF(LEN(O122)&lt;=260,RIGHT(O122,LEN(O122)-SEARCH(" ",O122,125)),MID(O122,SEARCH(" ",O122,130),IF(LEN(O122)&lt;=265,LEN(O122),SEARCH(" ",O122,255)-SEARCH(" ",O122,130)))))</f>
        <v/>
      </c>
      <c r="D218" s="272"/>
      <c r="E218" s="272"/>
      <c r="F218" s="272"/>
      <c r="G218" s="272"/>
      <c r="H218" s="272"/>
      <c r="I218" s="272"/>
      <c r="J218" s="272"/>
      <c r="K218" s="59"/>
      <c r="L218" s="465" t="s">
        <v>265</v>
      </c>
      <c r="M218" s="154" t="s">
        <v>270</v>
      </c>
      <c r="W218" s="32"/>
      <c r="X218" s="455" t="s">
        <v>265</v>
      </c>
      <c r="Y218" s="462"/>
      <c r="Z218" s="330"/>
      <c r="AA218" s="335" t="s">
        <v>381</v>
      </c>
      <c r="AB218" s="617"/>
      <c r="AC218" s="377" t="str">
        <f t="shared" si="36"/>
        <v/>
      </c>
      <c r="AD218" s="639" t="str">
        <f>IF(O395="","",O395)</f>
        <v/>
      </c>
      <c r="AE218" s="833" t="s">
        <v>823</v>
      </c>
      <c r="AF218" s="330"/>
    </row>
    <row r="219" spans="1:32" ht="11.25" customHeight="1">
      <c r="A219" s="418">
        <v>21</v>
      </c>
      <c r="B219" s="110"/>
      <c r="C219" s="420" t="str">
        <f>IF(LEN(O122)&lt;=265,"",RIGHT(O122,LEN(O122)-SEARCH(" ",O122,255)))</f>
        <v/>
      </c>
      <c r="D219" s="272"/>
      <c r="E219" s="272"/>
      <c r="F219" s="272"/>
      <c r="G219" s="272"/>
      <c r="H219" s="272"/>
      <c r="I219" s="272"/>
      <c r="J219" s="272"/>
      <c r="K219" s="59"/>
      <c r="L219" s="465" t="s">
        <v>265</v>
      </c>
      <c r="M219" s="423"/>
      <c r="N219" s="472" t="s">
        <v>317</v>
      </c>
      <c r="O219" s="38"/>
      <c r="W219" s="59"/>
      <c r="X219" s="455" t="s">
        <v>265</v>
      </c>
      <c r="Y219" s="462"/>
      <c r="Z219" s="330"/>
      <c r="AA219" s="335" t="s">
        <v>382</v>
      </c>
      <c r="AB219" s="617"/>
      <c r="AC219" s="377" t="str">
        <f t="shared" si="36"/>
        <v/>
      </c>
      <c r="AD219" s="639" t="str">
        <f>IF(O410="","",O410)</f>
        <v/>
      </c>
      <c r="AE219" s="833" t="s">
        <v>824</v>
      </c>
      <c r="AF219" s="330"/>
    </row>
    <row r="220" spans="1:32" ht="11.25" customHeight="1">
      <c r="A220" s="418">
        <v>22</v>
      </c>
      <c r="B220" s="110"/>
      <c r="C220" s="420" t="str">
        <f>IF(O124="","",IF(LEN(O124)&lt;=135,O124,IF(LEN(O124)&lt;=260,LEFT(O124,SEARCH(" ",O124,125)),LEFT(O124,SEARCH(" ",O124,130)))))</f>
        <v/>
      </c>
      <c r="D220" s="272"/>
      <c r="E220" s="272"/>
      <c r="F220" s="272"/>
      <c r="G220" s="272"/>
      <c r="H220" s="272"/>
      <c r="I220" s="272"/>
      <c r="J220" s="272"/>
      <c r="K220" s="59"/>
      <c r="L220" s="465" t="s">
        <v>265</v>
      </c>
      <c r="M220" s="110"/>
      <c r="O220" s="115" t="s">
        <v>354</v>
      </c>
      <c r="P220" s="88" t="s">
        <v>397</v>
      </c>
      <c r="W220" s="59"/>
      <c r="X220" s="455" t="s">
        <v>265</v>
      </c>
      <c r="Y220" s="462"/>
      <c r="Z220" s="330"/>
      <c r="AA220" s="335" t="s">
        <v>383</v>
      </c>
      <c r="AB220" s="617"/>
      <c r="AC220" s="377" t="str">
        <f t="shared" si="36"/>
        <v/>
      </c>
      <c r="AD220" s="639" t="str">
        <f>IF(O460="","",O460)</f>
        <v/>
      </c>
      <c r="AE220" s="833" t="s">
        <v>825</v>
      </c>
      <c r="AF220" s="330"/>
    </row>
    <row r="221" spans="1:32" ht="11.25" customHeight="1">
      <c r="A221" s="418">
        <v>23</v>
      </c>
      <c r="B221" s="110"/>
      <c r="C221" s="420" t="str">
        <f>IF(LEN(O124)&lt;=135,"",IF(LEN(O124)&lt;=260,RIGHT(O124,LEN(O124)-SEARCH(" ",O124,125)),MID(O124,SEARCH(" ",O124,130),IF(LEN(O124)&lt;=265,LEN(O124),SEARCH(" ",O124,255)-SEARCH(" ",O124,130)))))</f>
        <v/>
      </c>
      <c r="D221" s="272"/>
      <c r="E221" s="272"/>
      <c r="F221" s="272"/>
      <c r="G221" s="272"/>
      <c r="H221" s="272"/>
      <c r="I221" s="272"/>
      <c r="J221" s="272"/>
      <c r="K221" s="59"/>
      <c r="L221" s="465" t="s">
        <v>265</v>
      </c>
      <c r="M221" s="110"/>
      <c r="W221" s="59"/>
      <c r="X221" s="455" t="s">
        <v>265</v>
      </c>
      <c r="Y221" s="462"/>
      <c r="Z221" s="330"/>
      <c r="AF221" s="330"/>
    </row>
    <row r="222" spans="1:32" ht="11.25" customHeight="1">
      <c r="A222" s="418">
        <v>24</v>
      </c>
      <c r="B222" s="110"/>
      <c r="C222" s="420" t="str">
        <f>IF(LEN(O124)&lt;=265,"",RIGHT(O124,LEN(O124)-SEARCH(" ",O124,255)))</f>
        <v/>
      </c>
      <c r="D222" s="272"/>
      <c r="E222" s="272"/>
      <c r="F222" s="272"/>
      <c r="G222" s="272"/>
      <c r="H222" s="272"/>
      <c r="I222" s="272"/>
      <c r="J222" s="272"/>
      <c r="K222" s="59"/>
      <c r="L222" s="465" t="s">
        <v>265</v>
      </c>
      <c r="M222" s="110"/>
      <c r="W222" s="59"/>
      <c r="X222" s="455" t="s">
        <v>265</v>
      </c>
      <c r="Y222" s="462"/>
      <c r="Z222" s="330"/>
      <c r="AA222" s="335" t="s">
        <v>193</v>
      </c>
      <c r="AB222" s="622"/>
      <c r="AC222" s="377" t="str">
        <f t="shared" ref="AC222:AC236" si="37">IF(AND(OR(AB222="",AB222=0),OR(AD222="",AD222=0)),"",IF(AB222&lt;&gt;AD222,"Change",""))</f>
        <v>Change</v>
      </c>
      <c r="AD222" s="639">
        <f t="shared" ref="AD222:AD228" si="38">U59</f>
        <v>1</v>
      </c>
      <c r="AE222" s="400" t="s">
        <v>466</v>
      </c>
      <c r="AF222" s="330"/>
    </row>
    <row r="223" spans="1:32" ht="11.25" customHeight="1">
      <c r="A223" s="418">
        <v>25</v>
      </c>
      <c r="B223" s="110"/>
      <c r="C223" s="420" t="str">
        <f>IF(O126="","",IF(LEN(O126)&lt;=135,O126,IF(LEN(O126)&lt;=260,LEFT(O126,SEARCH(" ",O126,125)),LEFT(O126,SEARCH(" ",O126,130)))))</f>
        <v/>
      </c>
      <c r="D223" s="272"/>
      <c r="E223" s="272"/>
      <c r="F223" s="272"/>
      <c r="G223" s="272"/>
      <c r="H223" s="272"/>
      <c r="I223" s="272"/>
      <c r="J223" s="272"/>
      <c r="K223" s="59"/>
      <c r="L223" s="465" t="s">
        <v>265</v>
      </c>
      <c r="M223" s="110"/>
      <c r="N223" s="401" t="s">
        <v>346</v>
      </c>
      <c r="O223" s="488" t="str">
        <f>IF(O225&lt;&gt;"",O225,IF(OR(AB210=0,AB210=""),"",AB210))</f>
        <v/>
      </c>
      <c r="P223" s="36"/>
      <c r="Q223" s="2"/>
      <c r="R223" s="2"/>
      <c r="S223" s="2"/>
      <c r="T223" s="2"/>
      <c r="U223" s="2"/>
      <c r="V223" s="2"/>
      <c r="W223" s="25"/>
      <c r="X223" s="455" t="s">
        <v>265</v>
      </c>
      <c r="Y223" s="462"/>
      <c r="Z223" s="330"/>
      <c r="AA223" s="330"/>
      <c r="AB223" s="623"/>
      <c r="AC223" s="377" t="str">
        <f t="shared" si="37"/>
        <v>Change</v>
      </c>
      <c r="AD223" s="639" t="str">
        <f t="shared" si="38"/>
        <v>AP</v>
      </c>
      <c r="AE223" s="400" t="s">
        <v>467</v>
      </c>
      <c r="AF223" s="330"/>
    </row>
    <row r="224" spans="1:32" ht="11.25" customHeight="1">
      <c r="A224" s="418">
        <v>26</v>
      </c>
      <c r="B224" s="110"/>
      <c r="C224" s="420" t="str">
        <f>IF(LEN(O126)&lt;=135,"",IF(LEN(O126)&lt;=260,RIGHT(O126,LEN(O126)-SEARCH(" ",O126,125)),MID(O126,SEARCH(" ",O126,130),IF(LEN(O126)&lt;=265,LEN(O126),SEARCH(" ",O126,255)-SEARCH(" ",O126,130)))))</f>
        <v/>
      </c>
      <c r="D224" s="272"/>
      <c r="E224" s="272"/>
      <c r="F224" s="272"/>
      <c r="G224" s="272"/>
      <c r="H224" s="272"/>
      <c r="I224" s="272"/>
      <c r="J224" s="272"/>
      <c r="K224" s="59"/>
      <c r="L224" s="465" t="s">
        <v>265</v>
      </c>
      <c r="M224" s="73"/>
      <c r="N224" s="416" t="s">
        <v>188</v>
      </c>
      <c r="O224" s="47"/>
      <c r="P224" s="559">
        <f>LEN(O223)</f>
        <v>0</v>
      </c>
      <c r="Q224" s="11"/>
      <c r="R224" s="11"/>
      <c r="S224" s="11"/>
      <c r="T224" s="11"/>
      <c r="U224" s="11"/>
      <c r="V224" s="11"/>
      <c r="W224" s="157"/>
      <c r="X224" s="455" t="s">
        <v>265</v>
      </c>
      <c r="Y224" s="462"/>
      <c r="Z224" s="330"/>
      <c r="AA224" s="330"/>
      <c r="AB224" s="623"/>
      <c r="AC224" s="377" t="str">
        <f t="shared" si="37"/>
        <v>Change</v>
      </c>
      <c r="AD224" s="639" t="str">
        <f t="shared" si="38"/>
        <v>Front</v>
      </c>
      <c r="AE224" s="400" t="s">
        <v>468</v>
      </c>
      <c r="AF224" s="330"/>
    </row>
    <row r="225" spans="1:32" ht="11.25" customHeight="1">
      <c r="A225" s="418">
        <v>27</v>
      </c>
      <c r="B225" s="110"/>
      <c r="C225" s="420" t="str">
        <f>IF(LEN(O126)&lt;=265,"",RIGHT(O126,LEN(O126)-SEARCH(" ",O126,255)))</f>
        <v/>
      </c>
      <c r="D225" s="272"/>
      <c r="E225" s="272"/>
      <c r="F225" s="272"/>
      <c r="G225" s="272"/>
      <c r="H225" s="272"/>
      <c r="I225" s="272"/>
      <c r="J225" s="272"/>
      <c r="K225" s="59"/>
      <c r="L225" s="465" t="s">
        <v>265</v>
      </c>
      <c r="M225" s="54"/>
      <c r="N225" s="605" t="s">
        <v>366</v>
      </c>
      <c r="O225" s="607"/>
      <c r="W225" s="59"/>
      <c r="X225" s="455" t="s">
        <v>265</v>
      </c>
      <c r="Y225" s="462"/>
      <c r="Z225" s="330"/>
      <c r="AB225" s="623"/>
      <c r="AC225" s="377" t="str">
        <f t="shared" si="37"/>
        <v>Change</v>
      </c>
      <c r="AD225" s="639" t="str">
        <f t="shared" si="38"/>
        <v>Frontal</v>
      </c>
      <c r="AE225" s="400" t="s">
        <v>469</v>
      </c>
      <c r="AF225" s="330"/>
    </row>
    <row r="226" spans="1:32" ht="11.25" customHeight="1">
      <c r="A226" s="418">
        <v>28</v>
      </c>
      <c r="B226" s="110"/>
      <c r="C226" s="420" t="str">
        <f>IF(O128="","",IF(LEN(O128)&lt;=135,O128,IF(LEN(O128)&lt;=260,LEFT(O128,SEARCH(" ",O128,125)),LEFT(O128,SEARCH(" ",O128,130)))))</f>
        <v/>
      </c>
      <c r="D226" s="272"/>
      <c r="E226" s="272"/>
      <c r="F226" s="272"/>
      <c r="G226" s="272"/>
      <c r="H226" s="272"/>
      <c r="I226" s="272"/>
      <c r="J226" s="272"/>
      <c r="K226" s="59"/>
      <c r="L226" s="465" t="s">
        <v>265</v>
      </c>
      <c r="M226" s="110"/>
      <c r="R226" s="191" t="s">
        <v>398</v>
      </c>
      <c r="W226" s="59"/>
      <c r="X226" s="455" t="s">
        <v>265</v>
      </c>
      <c r="Y226" s="462"/>
      <c r="Z226" s="330"/>
      <c r="AA226" s="330"/>
      <c r="AB226" s="623"/>
      <c r="AC226" s="377" t="str">
        <f t="shared" si="37"/>
        <v>Change</v>
      </c>
      <c r="AD226" s="639" t="str">
        <f t="shared" si="38"/>
        <v>Ceph</v>
      </c>
      <c r="AE226" s="400" t="s">
        <v>470</v>
      </c>
      <c r="AF226" s="330"/>
    </row>
    <row r="227" spans="1:32" ht="11.25" customHeight="1">
      <c r="A227" s="418">
        <v>29</v>
      </c>
      <c r="B227" s="110"/>
      <c r="C227" s="420" t="str">
        <f>IF(LEN(O128)&lt;=135,"",IF(LEN(O128)&lt;=260,RIGHT(O128,LEN(O128)-SEARCH(" ",O128,125)),MID(O128,SEARCH(" ",O128,130),IF(LEN(O128)&lt;=265,LEN(O128),SEARCH(" ",O128,255)-SEARCH(" ",O128,130)))))</f>
        <v/>
      </c>
      <c r="D227" s="272"/>
      <c r="E227" s="272"/>
      <c r="F227" s="272"/>
      <c r="G227" s="272"/>
      <c r="H227" s="272"/>
      <c r="I227" s="272"/>
      <c r="J227" s="272"/>
      <c r="K227" s="59"/>
      <c r="L227" s="465" t="s">
        <v>265</v>
      </c>
      <c r="M227" s="110"/>
      <c r="N227" s="42" t="s">
        <v>21</v>
      </c>
      <c r="O227" s="514" t="str">
        <f>IF(O228&lt;&gt;"",O228,IF(OR(AB96="",AB96=0),"Unknown",AB96))</f>
        <v>Piranha CB2-19020491</v>
      </c>
      <c r="P227" s="36"/>
      <c r="Q227" s="36"/>
      <c r="R227" s="680" t="s">
        <v>538</v>
      </c>
      <c r="S227" s="681"/>
      <c r="W227" s="59"/>
      <c r="X227" s="455" t="s">
        <v>265</v>
      </c>
      <c r="Y227" s="462"/>
      <c r="Z227" s="330"/>
      <c r="AA227" s="330"/>
      <c r="AB227" s="623"/>
      <c r="AC227" s="377" t="str">
        <f t="shared" si="37"/>
        <v>Change</v>
      </c>
      <c r="AD227" s="639" t="str">
        <f t="shared" si="38"/>
        <v>Mobile</v>
      </c>
      <c r="AE227" s="400" t="s">
        <v>471</v>
      </c>
      <c r="AF227" s="330"/>
    </row>
    <row r="228" spans="1:32" ht="11.25" customHeight="1">
      <c r="A228" s="418">
        <v>30</v>
      </c>
      <c r="B228" s="110"/>
      <c r="C228" s="420" t="str">
        <f>IF(LEN(O128)&lt;=265,"",RIGHT(O128,LEN(O128)-SEARCH(" ",O128,255)))</f>
        <v/>
      </c>
      <c r="D228" s="272"/>
      <c r="E228" s="272"/>
      <c r="F228" s="272"/>
      <c r="G228" s="272"/>
      <c r="H228" s="272"/>
      <c r="I228" s="272"/>
      <c r="J228" s="272"/>
      <c r="K228" s="59"/>
      <c r="L228" s="465" t="s">
        <v>265</v>
      </c>
      <c r="M228" s="110"/>
      <c r="N228" s="605" t="s">
        <v>24</v>
      </c>
      <c r="O228" s="669" t="s">
        <v>689</v>
      </c>
      <c r="R228" s="680" t="s">
        <v>540</v>
      </c>
      <c r="S228" s="682"/>
      <c r="W228" s="59"/>
      <c r="X228" s="455" t="s">
        <v>265</v>
      </c>
      <c r="Y228" s="462"/>
      <c r="Z228" s="330"/>
      <c r="AA228" s="330"/>
      <c r="AB228" s="623"/>
      <c r="AC228" s="377" t="str">
        <f t="shared" si="37"/>
        <v/>
      </c>
      <c r="AD228" s="639" t="str">
        <f t="shared" si="38"/>
        <v/>
      </c>
      <c r="AE228" s="400" t="s">
        <v>472</v>
      </c>
      <c r="AF228" s="330"/>
    </row>
    <row r="229" spans="1:32" ht="11.25" customHeight="1">
      <c r="A229" s="418">
        <v>31</v>
      </c>
      <c r="B229" s="110"/>
      <c r="C229" s="420" t="str">
        <f>IF(O130="","",IF(LEN(O130)&lt;=135,O130,IF(LEN(O130)&lt;=260,LEFT(O130,SEARCH(" ",O130,125)),LEFT(O130,SEARCH(" ",O130,130)))))</f>
        <v/>
      </c>
      <c r="D229" s="272"/>
      <c r="E229" s="272"/>
      <c r="F229" s="272"/>
      <c r="G229" s="272"/>
      <c r="H229" s="272"/>
      <c r="I229" s="272"/>
      <c r="J229" s="272"/>
      <c r="K229" s="59"/>
      <c r="L229" s="465" t="s">
        <v>265</v>
      </c>
      <c r="M229" s="223" t="s">
        <v>27</v>
      </c>
      <c r="N229" s="1"/>
      <c r="O229" s="1"/>
      <c r="P229" s="1"/>
      <c r="Q229" s="1"/>
      <c r="R229" s="1"/>
      <c r="S229" s="1"/>
      <c r="T229" s="1"/>
      <c r="U229" s="1"/>
      <c r="V229" s="1"/>
      <c r="W229" s="32"/>
      <c r="X229" s="455" t="s">
        <v>265</v>
      </c>
      <c r="Y229" s="462"/>
      <c r="Z229" s="330"/>
      <c r="AA229" s="330"/>
      <c r="AB229" s="330"/>
      <c r="AC229" s="377" t="str">
        <f t="shared" si="37"/>
        <v/>
      </c>
      <c r="AD229" s="330"/>
      <c r="AE229" s="330"/>
      <c r="AF229" s="330"/>
    </row>
    <row r="230" spans="1:32" ht="11.25" customHeight="1">
      <c r="A230" s="418">
        <v>32</v>
      </c>
      <c r="B230" s="110"/>
      <c r="C230" s="420" t="str">
        <f>IF(LEN(O130)&lt;=135,"",IF(LEN(O130)&lt;=260,RIGHT(O130,LEN(O130)-SEARCH(" ",O130,125)),MID(O130,SEARCH(" ",O130,130),IF(LEN(O130)&lt;=265,LEN(O130),SEARCH(" ",O130,255)-SEARCH(" ",O130,130)))))</f>
        <v/>
      </c>
      <c r="D230" s="272"/>
      <c r="E230" s="272"/>
      <c r="F230" s="272"/>
      <c r="G230" s="272"/>
      <c r="H230" s="272"/>
      <c r="I230" s="272"/>
      <c r="J230" s="272"/>
      <c r="K230" s="59"/>
      <c r="L230" s="465" t="s">
        <v>265</v>
      </c>
      <c r="M230" s="54"/>
      <c r="N230" s="37"/>
      <c r="O230" s="38"/>
      <c r="P230" s="37"/>
      <c r="Q230" s="37"/>
      <c r="R230" s="37"/>
      <c r="S230" s="37"/>
      <c r="T230" s="37"/>
      <c r="U230" s="37"/>
      <c r="V230" s="37"/>
      <c r="W230" s="57"/>
      <c r="X230" s="455" t="s">
        <v>265</v>
      </c>
      <c r="Y230" s="462"/>
      <c r="Z230" s="330"/>
      <c r="AA230" s="335" t="s">
        <v>194</v>
      </c>
      <c r="AB230" s="622"/>
      <c r="AC230" s="377" t="str">
        <f t="shared" si="37"/>
        <v>Change</v>
      </c>
      <c r="AD230" s="639">
        <f t="shared" ref="AD230:AD236" si="39">V59</f>
        <v>2</v>
      </c>
      <c r="AE230" s="400" t="s">
        <v>473</v>
      </c>
      <c r="AF230" s="330"/>
    </row>
    <row r="231" spans="1:32" ht="11.25" customHeight="1">
      <c r="A231" s="418">
        <v>33</v>
      </c>
      <c r="B231" s="110"/>
      <c r="C231" s="420" t="str">
        <f>IF(LEN(O130)&lt;=265,"",RIGHT(O130,LEN(O130)-SEARCH(" ",O130,255)))</f>
        <v/>
      </c>
      <c r="D231" s="272"/>
      <c r="E231" s="272"/>
      <c r="F231" s="272"/>
      <c r="G231" s="272"/>
      <c r="H231" s="272"/>
      <c r="I231" s="272"/>
      <c r="J231" s="272"/>
      <c r="K231" s="59"/>
      <c r="L231" s="465" t="s">
        <v>265</v>
      </c>
      <c r="M231" s="54"/>
      <c r="N231" s="37"/>
      <c r="O231" s="37"/>
      <c r="P231" s="37"/>
      <c r="Q231" s="88" t="s">
        <v>28</v>
      </c>
      <c r="R231" s="37"/>
      <c r="T231" s="37"/>
      <c r="U231" s="37"/>
      <c r="V231" s="37"/>
      <c r="W231" s="57"/>
      <c r="X231" s="455" t="s">
        <v>265</v>
      </c>
      <c r="Y231" s="462"/>
      <c r="Z231" s="330"/>
      <c r="AA231" s="330"/>
      <c r="AB231" s="623"/>
      <c r="AC231" s="377" t="str">
        <f t="shared" si="37"/>
        <v>Change</v>
      </c>
      <c r="AD231" s="639">
        <f t="shared" si="39"/>
        <v>3</v>
      </c>
      <c r="AE231" s="400" t="s">
        <v>474</v>
      </c>
      <c r="AF231" s="330"/>
    </row>
    <row r="232" spans="1:32" ht="11.25" customHeight="1">
      <c r="A232" s="418">
        <v>34</v>
      </c>
      <c r="B232" s="110"/>
      <c r="C232" s="420" t="str">
        <f>IF(O132="","",IF(LEN(O132)&lt;=135,O132,IF(LEN(O132)&lt;=260,LEFT(O132,SEARCH(" ",O132,125)),LEFT(O132,SEARCH(" ",O132,130)))))</f>
        <v/>
      </c>
      <c r="D232" s="272"/>
      <c r="E232" s="272"/>
      <c r="F232" s="272"/>
      <c r="G232" s="272"/>
      <c r="H232" s="272"/>
      <c r="I232" s="272"/>
      <c r="J232" s="272"/>
      <c r="K232" s="59"/>
      <c r="L232" s="465" t="s">
        <v>265</v>
      </c>
      <c r="M232" s="54" t="s">
        <v>29</v>
      </c>
      <c r="N232" s="161" t="s">
        <v>30</v>
      </c>
      <c r="O232" s="161" t="s">
        <v>31</v>
      </c>
      <c r="P232" s="161" t="s">
        <v>32</v>
      </c>
      <c r="Q232" s="37"/>
      <c r="R232" s="161" t="s">
        <v>33</v>
      </c>
      <c r="S232" s="161" t="s">
        <v>34</v>
      </c>
      <c r="T232" s="54"/>
      <c r="U232" s="38" t="s">
        <v>35</v>
      </c>
      <c r="V232" s="37"/>
      <c r="W232" s="57"/>
      <c r="X232" s="455" t="s">
        <v>265</v>
      </c>
      <c r="Y232" s="462"/>
      <c r="Z232" s="330"/>
      <c r="AA232" s="330"/>
      <c r="AB232" s="623"/>
      <c r="AC232" s="377" t="str">
        <f t="shared" si="37"/>
        <v>Change</v>
      </c>
      <c r="AD232" s="639" t="str">
        <f t="shared" si="39"/>
        <v>Lat</v>
      </c>
      <c r="AE232" s="400" t="s">
        <v>475</v>
      </c>
      <c r="AF232" s="330"/>
    </row>
    <row r="233" spans="1:32" ht="11.25" customHeight="1" thickBot="1">
      <c r="A233" s="418">
        <v>35</v>
      </c>
      <c r="B233" s="110"/>
      <c r="C233" s="420" t="str">
        <f>IF(LEN(O132)&lt;=135,"",IF(LEN(O132)&lt;=260,RIGHT(O132,LEN(O132)-SEARCH(" ",O132,125)),MID(O132,SEARCH(" ",O132,130),IF(LEN(O132)&lt;=265,LEN(O132),SEARCH(" ",O132,255)-SEARCH(" ",O132,130)))))</f>
        <v/>
      </c>
      <c r="D233" s="272"/>
      <c r="E233" s="272"/>
      <c r="F233" s="272"/>
      <c r="G233" s="272"/>
      <c r="H233" s="272"/>
      <c r="I233" s="272"/>
      <c r="J233" s="272"/>
      <c r="K233" s="59"/>
      <c r="L233" s="465" t="s">
        <v>265</v>
      </c>
      <c r="M233" s="162" t="s">
        <v>36</v>
      </c>
      <c r="N233" s="425" t="s">
        <v>364</v>
      </c>
      <c r="O233" s="121" t="s">
        <v>37</v>
      </c>
      <c r="P233" s="121" t="s">
        <v>22</v>
      </c>
      <c r="Q233" s="121" t="s">
        <v>38</v>
      </c>
      <c r="R233" s="121" t="str">
        <f>IF(AND(LFMAS="",SFMAS=""),"mA/mAs",IF(O234="Large",LFMAS,SFMAS))</f>
        <v>mAs</v>
      </c>
      <c r="S233" s="121" t="s">
        <v>39</v>
      </c>
      <c r="T233" s="162" t="s">
        <v>40</v>
      </c>
      <c r="U233" s="121" t="s">
        <v>41</v>
      </c>
      <c r="V233" s="121" t="s">
        <v>39</v>
      </c>
      <c r="W233" s="166" t="s">
        <v>512</v>
      </c>
      <c r="X233" s="455" t="s">
        <v>265</v>
      </c>
      <c r="Y233" s="462"/>
      <c r="Z233" s="330"/>
      <c r="AA233" s="330"/>
      <c r="AB233" s="623"/>
      <c r="AC233" s="377" t="str">
        <f t="shared" si="37"/>
        <v>Change</v>
      </c>
      <c r="AD233" s="639" t="str">
        <f t="shared" si="39"/>
        <v>Lateral</v>
      </c>
      <c r="AE233" s="400" t="s">
        <v>476</v>
      </c>
      <c r="AF233" s="330"/>
    </row>
    <row r="234" spans="1:32" ht="11.25" customHeight="1">
      <c r="A234" s="418">
        <v>36</v>
      </c>
      <c r="B234" s="110"/>
      <c r="C234" s="420" t="str">
        <f>IF(LEN(O132)&lt;=265,"",RIGHT(O132,LEN(O132)-SEARCH(" ",O132,255)))</f>
        <v/>
      </c>
      <c r="D234" s="272"/>
      <c r="E234" s="272"/>
      <c r="F234" s="272"/>
      <c r="G234" s="272"/>
      <c r="H234" s="272"/>
      <c r="I234" s="272"/>
      <c r="J234" s="272"/>
      <c r="K234" s="59"/>
      <c r="L234" s="465" t="s">
        <v>265</v>
      </c>
      <c r="M234" s="796"/>
      <c r="N234" s="426">
        <v>100</v>
      </c>
      <c r="O234" s="160" t="str">
        <f>Sheet1!F4</f>
        <v>Large</v>
      </c>
      <c r="P234" s="797"/>
      <c r="Q234" s="159">
        <f>Sheet1!A4</f>
        <v>60</v>
      </c>
      <c r="R234" s="308" cm="1">
        <f t="array" ref="R234">_xlfn.SWITCH(LFMAS,"mA",Sheet1!B4,"mAs",Sheet1!C4)</f>
        <v>20</v>
      </c>
      <c r="S234" s="164" t="str" cm="1">
        <f t="array" ref="S234">_xlfn.SWITCH(LFMAS,"mA",Sheet1!D4,"mAs","")</f>
        <v/>
      </c>
      <c r="T234" s="799" t="str">
        <f>IF(Tables!AA49="","",Tables!AA49)</f>
        <v/>
      </c>
      <c r="U234" s="160" t="str">
        <f>IF(Sheet1!G4="","",Sheet1!G4)</f>
        <v/>
      </c>
      <c r="V234" s="164" t="str">
        <f>IF(Sheet1!H4="","",Sheet1!H4)</f>
        <v/>
      </c>
      <c r="W234" s="321" t="str">
        <f>IF(Sheet1!I4="","",Sheet1!I4)</f>
        <v/>
      </c>
      <c r="X234" s="455" t="s">
        <v>265</v>
      </c>
      <c r="Y234" s="462"/>
      <c r="Z234" s="330"/>
      <c r="AA234" s="330"/>
      <c r="AB234" s="623"/>
      <c r="AC234" s="377" t="str">
        <f t="shared" si="37"/>
        <v>Change</v>
      </c>
      <c r="AD234" s="639" t="str">
        <f t="shared" si="39"/>
        <v>Pan</v>
      </c>
      <c r="AE234" s="400" t="s">
        <v>477</v>
      </c>
      <c r="AF234" s="330"/>
    </row>
    <row r="235" spans="1:32" ht="11.25" customHeight="1">
      <c r="A235" s="418">
        <v>37</v>
      </c>
      <c r="B235" s="110"/>
      <c r="C235" s="420" t="str">
        <f>IF(O134="","",IF(LEN(O134)&lt;=135,O134,IF(LEN(O134)&lt;=260,LEFT(O134,SEARCH(" ",O134,125)),LEFT(O134,SEARCH(" ",O134,130)))))</f>
        <v/>
      </c>
      <c r="D235" s="272"/>
      <c r="E235" s="272"/>
      <c r="F235" s="272"/>
      <c r="G235" s="272"/>
      <c r="H235" s="272"/>
      <c r="I235" s="272"/>
      <c r="J235" s="272"/>
      <c r="K235" s="59"/>
      <c r="L235" s="465" t="s">
        <v>265</v>
      </c>
      <c r="M235" s="796"/>
      <c r="N235" s="263">
        <f t="shared" ref="N235:N241" si="40">IF(OR($N$234="",Q235=""),"",$N$234)</f>
        <v>100</v>
      </c>
      <c r="O235" s="160" t="str">
        <f>Sheet1!F5</f>
        <v>Large</v>
      </c>
      <c r="P235" s="797"/>
      <c r="Q235" s="159">
        <f>Sheet1!A5</f>
        <v>80</v>
      </c>
      <c r="R235" s="308" cm="1">
        <f t="array" ref="R235">_xlfn.SWITCH(LFMAS,"mA",Sheet1!B5,"mAs",Sheet1!C5)</f>
        <v>20</v>
      </c>
      <c r="S235" s="164" t="str" cm="1">
        <f t="array" ref="S235">_xlfn.SWITCH(LFMAS,"mA",Sheet1!D5,"mAs","")</f>
        <v/>
      </c>
      <c r="T235" s="799" t="str">
        <f>IF(Tables!AA51="","",Tables!AA51)</f>
        <v/>
      </c>
      <c r="U235" s="160" t="str">
        <f>IF(Sheet1!G5="","",Sheet1!G5)</f>
        <v/>
      </c>
      <c r="V235" s="164" t="str">
        <f>IF(Sheet1!H5="","",Sheet1!H5)</f>
        <v/>
      </c>
      <c r="W235" s="321" t="str">
        <f>IF(Sheet1!I5="","",Sheet1!I5)</f>
        <v/>
      </c>
      <c r="X235" s="455" t="s">
        <v>265</v>
      </c>
      <c r="Y235" s="462"/>
      <c r="Z235" s="330"/>
      <c r="AA235" s="330"/>
      <c r="AB235" s="623"/>
      <c r="AC235" s="377" t="str">
        <f t="shared" si="37"/>
        <v>Change</v>
      </c>
      <c r="AD235" s="639" t="str">
        <f t="shared" si="39"/>
        <v>BCM</v>
      </c>
      <c r="AE235" s="400" t="s">
        <v>478</v>
      </c>
      <c r="AF235" s="330"/>
    </row>
    <row r="236" spans="1:32" ht="11.25" customHeight="1">
      <c r="A236" s="418">
        <v>38</v>
      </c>
      <c r="B236" s="110"/>
      <c r="C236" s="420" t="str">
        <f>IF(LEN(O134)&lt;=135,"",IF(LEN(O134)&lt;=260,RIGHT(O134,LEN(O134)-SEARCH(" ",O134,125)),MID(O134,SEARCH(" ",O134,130),IF(LEN(O134)&lt;=265,LEN(O134),SEARCH(" ",O134,255)-SEARCH(" ",O134,130)))))</f>
        <v/>
      </c>
      <c r="D236" s="272"/>
      <c r="E236" s="272"/>
      <c r="F236" s="272"/>
      <c r="G236" s="272"/>
      <c r="H236" s="272"/>
      <c r="I236" s="272"/>
      <c r="J236" s="272"/>
      <c r="K236" s="59"/>
      <c r="L236" s="465" t="s">
        <v>265</v>
      </c>
      <c r="M236" s="796"/>
      <c r="N236" s="263">
        <f t="shared" si="40"/>
        <v>100</v>
      </c>
      <c r="O236" s="160" t="str">
        <f>Sheet1!F20</f>
        <v>Large</v>
      </c>
      <c r="P236" s="797"/>
      <c r="Q236" s="159">
        <f>Sheet1!A20</f>
        <v>100</v>
      </c>
      <c r="R236" s="308" cm="1">
        <f t="array" ref="R236">_xlfn.SWITCH(LFMAS,"mA",Sheet1!B20,"mAs",Sheet1!C20)</f>
        <v>20</v>
      </c>
      <c r="S236" s="164" t="str" cm="1">
        <f t="array" ref="S236">_xlfn.SWITCH(LFMAS,"mA",Sheet1!D20,"mAs","")</f>
        <v/>
      </c>
      <c r="T236" s="799" t="str">
        <f>IF(Tables!AA66="","",Tables!AA66)</f>
        <v/>
      </c>
      <c r="U236" s="160" t="str">
        <f>IF(Sheet1!G20="","",Sheet1!G20)</f>
        <v/>
      </c>
      <c r="V236" s="164" t="str">
        <f>IF(Sheet1!H20="","",Sheet1!H20)</f>
        <v/>
      </c>
      <c r="W236" s="321" t="str">
        <f>IF(Sheet1!I20="","",Sheet1!I20)</f>
        <v/>
      </c>
      <c r="X236" s="455" t="s">
        <v>265</v>
      </c>
      <c r="Y236" s="462"/>
      <c r="Z236" s="330"/>
      <c r="AB236" s="623"/>
      <c r="AC236" s="377" t="str">
        <f t="shared" si="37"/>
        <v/>
      </c>
      <c r="AD236" s="639" t="str">
        <f t="shared" si="39"/>
        <v/>
      </c>
      <c r="AE236" s="400" t="s">
        <v>479</v>
      </c>
      <c r="AF236" s="330"/>
    </row>
    <row r="237" spans="1:32" ht="11.25" customHeight="1">
      <c r="A237" s="418">
        <v>39</v>
      </c>
      <c r="B237" s="110"/>
      <c r="C237" s="420" t="str">
        <f>IF(LEN(O134)&lt;=265,"",RIGHT(O134,LEN(O134)-SEARCH(" ",O134,255)))</f>
        <v/>
      </c>
      <c r="D237" s="272"/>
      <c r="E237" s="272"/>
      <c r="F237" s="272"/>
      <c r="G237" s="272"/>
      <c r="H237" s="272"/>
      <c r="I237" s="272"/>
      <c r="J237" s="272"/>
      <c r="K237" s="59"/>
      <c r="L237" s="465" t="s">
        <v>265</v>
      </c>
      <c r="M237" s="796"/>
      <c r="N237" s="263">
        <f t="shared" si="40"/>
        <v>100</v>
      </c>
      <c r="O237" s="160" t="str">
        <f>Sheet1!F21</f>
        <v>Large</v>
      </c>
      <c r="P237" s="797"/>
      <c r="Q237" s="159">
        <f>Sheet1!A21</f>
        <v>120</v>
      </c>
      <c r="R237" s="308" cm="1">
        <f t="array" ref="R237">_xlfn.SWITCH(LFMAS,"mA",Sheet1!B21,"mAs",Sheet1!C21)</f>
        <v>20</v>
      </c>
      <c r="S237" s="164" t="str" cm="1">
        <f t="array" ref="S237">_xlfn.SWITCH(LFMAS,"mA",Sheet1!D21,"mAs","")</f>
        <v/>
      </c>
      <c r="T237" s="799" t="str">
        <f>IF(Tables!AA68="","",Tables!AA68)</f>
        <v/>
      </c>
      <c r="U237" s="160" t="str">
        <f>IF(Sheet1!G21="","",Sheet1!G21)</f>
        <v/>
      </c>
      <c r="V237" s="164" t="str">
        <f>IF(Sheet1!H21="","",Sheet1!H21)</f>
        <v/>
      </c>
      <c r="W237" s="321" t="str">
        <f>IF(Sheet1!I21="","",Sheet1!I21)</f>
        <v/>
      </c>
      <c r="X237" s="455" t="s">
        <v>265</v>
      </c>
      <c r="Y237" s="462"/>
      <c r="Z237" s="330"/>
      <c r="AF237" s="330"/>
    </row>
    <row r="238" spans="1:32" ht="11.25" customHeight="1">
      <c r="A238" s="418">
        <v>40</v>
      </c>
      <c r="B238" s="110"/>
      <c r="C238" s="420" t="str">
        <f>IF(O136="","",IF(LEN(O136)&lt;=135,O136,IF(LEN(O136)&lt;=260,LEFT(O136,SEARCH(" ",O136,125)),LEFT(O136,SEARCH(" ",O136,130)))))</f>
        <v/>
      </c>
      <c r="D238" s="272"/>
      <c r="E238" s="272"/>
      <c r="F238" s="272"/>
      <c r="G238" s="272"/>
      <c r="H238" s="272"/>
      <c r="I238" s="272"/>
      <c r="J238" s="272"/>
      <c r="K238" s="59"/>
      <c r="L238" s="465" t="s">
        <v>265</v>
      </c>
      <c r="M238" s="796"/>
      <c r="N238" s="263">
        <f t="shared" si="40"/>
        <v>100</v>
      </c>
      <c r="O238" s="160" t="str">
        <f>Sheet1!F22</f>
        <v>Large</v>
      </c>
      <c r="P238" s="797"/>
      <c r="Q238" s="159">
        <f>Sheet1!A22</f>
        <v>140</v>
      </c>
      <c r="R238" s="308" cm="1">
        <f t="array" ref="R238">_xlfn.SWITCH(LFMAS,"mA",Sheet1!B22,"mAs",Sheet1!C22)</f>
        <v>20</v>
      </c>
      <c r="S238" s="164" t="str" cm="1">
        <f t="array" ref="S238">_xlfn.SWITCH(LFMAS,"mA",Sheet1!D22,"mAs","")</f>
        <v/>
      </c>
      <c r="T238" s="799" t="str">
        <f>IF(Tables!AA70="","",Tables!AA70)</f>
        <v/>
      </c>
      <c r="U238" s="160" t="str">
        <f>IF(Sheet1!G22="","",Sheet1!G22)</f>
        <v/>
      </c>
      <c r="V238" s="164" t="str">
        <f>IF(Sheet1!H22="","",Sheet1!H22)</f>
        <v/>
      </c>
      <c r="W238" s="321" t="str">
        <f>IF(Sheet1!I22="","",Sheet1!I22)</f>
        <v/>
      </c>
      <c r="X238" s="455" t="s">
        <v>265</v>
      </c>
      <c r="Y238" s="462"/>
      <c r="Z238" s="330"/>
      <c r="AA238" s="335" t="s">
        <v>195</v>
      </c>
      <c r="AB238" s="624"/>
      <c r="AC238" s="377" t="str">
        <f t="shared" ref="AC238:AC243" si="41">IF(AND(OR(AB238="",AB238=0),OR(AD238="",AD238=0)),"",IF(AB238&lt;&gt;AD238,"Change",""))</f>
        <v>Change</v>
      </c>
      <c r="AD238" s="641" t="str">
        <f>S464</f>
        <v>HVL @80 kVp (Avg kV)</v>
      </c>
      <c r="AE238" s="832" t="s">
        <v>730</v>
      </c>
      <c r="AF238" s="330"/>
    </row>
    <row r="239" spans="1:32" ht="11.25" customHeight="1">
      <c r="A239" s="418">
        <v>41</v>
      </c>
      <c r="B239" s="110"/>
      <c r="C239" s="420" t="str">
        <f>IF(LEN(O136)&lt;=135,"",IF(LEN(O136)&lt;=260,RIGHT(O136,LEN(O136)-SEARCH(" ",O136,125)),MID(O136,SEARCH(" ",O136,130),IF(LEN(O136)&lt;=265,LEN(O136),SEARCH(" ",O136,255)-SEARCH(" ",O136,130)))))</f>
        <v/>
      </c>
      <c r="D239" s="272"/>
      <c r="E239" s="272"/>
      <c r="F239" s="272"/>
      <c r="G239" s="272"/>
      <c r="H239" s="272"/>
      <c r="I239" s="272"/>
      <c r="J239" s="272"/>
      <c r="K239" s="59"/>
      <c r="L239" s="465" t="s">
        <v>265</v>
      </c>
      <c r="M239" s="796"/>
      <c r="N239" s="263" t="str">
        <f t="shared" si="40"/>
        <v/>
      </c>
      <c r="O239" s="160" t="str">
        <f t="shared" ref="O239:O241" si="42">IF(Q239="","",O238)</f>
        <v/>
      </c>
      <c r="P239" s="798"/>
      <c r="Q239" s="426"/>
      <c r="R239" s="308" t="str">
        <f>IF(OR($R$234="",Q239=""),"",$R$234)</f>
        <v/>
      </c>
      <c r="S239" s="164" t="str">
        <f>IF(OR($S$234="",Q239=""),"",$S$234)</f>
        <v/>
      </c>
      <c r="T239" s="800"/>
      <c r="U239" s="427"/>
      <c r="V239" s="428"/>
      <c r="W239" s="429"/>
      <c r="X239" s="455" t="s">
        <v>265</v>
      </c>
      <c r="Y239" s="462"/>
      <c r="Z239" s="330"/>
      <c r="AA239" s="335" t="s">
        <v>196</v>
      </c>
      <c r="AB239" s="625"/>
      <c r="AC239" s="377" t="e">
        <f t="shared" si="41"/>
        <v>#DIV/0!</v>
      </c>
      <c r="AD239" s="641" t="e">
        <f>S465</f>
        <v>#DIV/0!</v>
      </c>
      <c r="AE239" s="832" t="s">
        <v>731</v>
      </c>
      <c r="AF239" s="330"/>
    </row>
    <row r="240" spans="1:32" ht="11.25" customHeight="1">
      <c r="A240" s="418">
        <v>42</v>
      </c>
      <c r="B240" s="110"/>
      <c r="C240" s="420" t="str">
        <f>IF(LEN(O136)&lt;=265,"",RIGHT(O136,LEN(O136)-SEARCH(" ",O136,255)))</f>
        <v/>
      </c>
      <c r="D240" s="272"/>
      <c r="E240" s="272"/>
      <c r="F240" s="272"/>
      <c r="G240" s="272"/>
      <c r="H240" s="272"/>
      <c r="I240" s="272"/>
      <c r="J240" s="272"/>
      <c r="K240" s="59"/>
      <c r="L240" s="465" t="s">
        <v>265</v>
      </c>
      <c r="M240" s="796"/>
      <c r="N240" s="263" t="str">
        <f t="shared" si="40"/>
        <v/>
      </c>
      <c r="O240" s="160" t="str">
        <f t="shared" si="42"/>
        <v/>
      </c>
      <c r="P240" s="798"/>
      <c r="Q240" s="426"/>
      <c r="R240" s="308" t="str">
        <f>IF(OR($R$234="",Q240=""),"",$R$234)</f>
        <v/>
      </c>
      <c r="S240" s="164" t="str">
        <f>IF(OR($S$234="",Q240=""),"",$S$234)</f>
        <v/>
      </c>
      <c r="T240" s="800"/>
      <c r="U240" s="427"/>
      <c r="V240" s="428"/>
      <c r="W240" s="429"/>
      <c r="X240" s="455" t="s">
        <v>265</v>
      </c>
      <c r="Y240" s="462"/>
      <c r="Z240" s="330"/>
      <c r="AA240" s="335"/>
      <c r="AB240" s="330"/>
      <c r="AC240" s="377" t="str">
        <f t="shared" si="41"/>
        <v/>
      </c>
      <c r="AD240" s="399"/>
      <c r="AE240" s="454"/>
      <c r="AF240" s="330"/>
    </row>
    <row r="241" spans="1:32" ht="11.25" customHeight="1">
      <c r="A241" s="418">
        <v>43</v>
      </c>
      <c r="B241" s="110"/>
      <c r="C241" s="420" t="str">
        <f>IF(O138="","",IF(LEN(O138)&lt;=135,O138,IF(LEN(O138)&lt;=260,LEFT(O138,SEARCH(" ",O138,125)),LEFT(O138,SEARCH(" ",O138,130)))))</f>
        <v/>
      </c>
      <c r="D241" s="272"/>
      <c r="E241" s="272"/>
      <c r="F241" s="272"/>
      <c r="G241" s="272"/>
      <c r="H241" s="272"/>
      <c r="I241" s="272"/>
      <c r="J241" s="272"/>
      <c r="K241" s="59"/>
      <c r="L241" s="465" t="s">
        <v>265</v>
      </c>
      <c r="M241" s="796"/>
      <c r="N241" s="263" t="str">
        <f t="shared" si="40"/>
        <v/>
      </c>
      <c r="O241" s="160" t="str">
        <f t="shared" si="42"/>
        <v/>
      </c>
      <c r="P241" s="798"/>
      <c r="Q241" s="426"/>
      <c r="R241" s="308" t="str">
        <f>IF(OR($R$234="",Q241=""),"",$R$234)</f>
        <v/>
      </c>
      <c r="S241" s="164" t="str">
        <f>IF(OR($S$234="",Q241=""),"",$S$234)</f>
        <v/>
      </c>
      <c r="T241" s="800"/>
      <c r="U241" s="427"/>
      <c r="V241" s="428"/>
      <c r="W241" s="429"/>
      <c r="X241" s="455" t="s">
        <v>265</v>
      </c>
      <c r="Y241" s="462"/>
      <c r="Z241" s="330"/>
      <c r="AA241" s="335" t="s">
        <v>197</v>
      </c>
      <c r="AB241" s="626"/>
      <c r="AC241" s="377" t="str">
        <f t="shared" si="41"/>
        <v/>
      </c>
      <c r="AD241" s="634">
        <f>R520</f>
        <v>0</v>
      </c>
      <c r="AE241" s="832" t="s">
        <v>732</v>
      </c>
      <c r="AF241" s="330"/>
    </row>
    <row r="242" spans="1:32" ht="11.25" customHeight="1">
      <c r="A242" s="418">
        <v>44</v>
      </c>
      <c r="B242" s="110"/>
      <c r="C242" s="420" t="str">
        <f>IF(LEN(O138)&lt;=135,"",IF(LEN(O138)&lt;=260,RIGHT(O138,LEN(O138)-SEARCH(" ",O138,125)),MID(O138,SEARCH(" ",O138,130),IF(LEN(O138)&lt;=265,LEN(O138),SEARCH(" ",O138,255)-SEARCH(" ",O138,130)))))</f>
        <v/>
      </c>
      <c r="D242" s="272"/>
      <c r="E242" s="272"/>
      <c r="F242" s="272"/>
      <c r="G242" s="272"/>
      <c r="H242" s="272"/>
      <c r="I242" s="272"/>
      <c r="J242" s="272"/>
      <c r="K242" s="59"/>
      <c r="L242" s="465" t="s">
        <v>265</v>
      </c>
      <c r="M242" s="73" t="s">
        <v>48</v>
      </c>
      <c r="N242" s="37"/>
      <c r="O242" s="37"/>
      <c r="P242" s="37"/>
      <c r="Q242" s="37"/>
      <c r="R242" s="37"/>
      <c r="S242" s="37"/>
      <c r="T242" s="37"/>
      <c r="U242" s="37"/>
      <c r="V242" s="37"/>
      <c r="W242" s="57"/>
      <c r="X242" s="455" t="s">
        <v>265</v>
      </c>
      <c r="Y242" s="462"/>
      <c r="Z242" s="330"/>
      <c r="AA242" s="335" t="s">
        <v>198</v>
      </c>
      <c r="AB242" s="627"/>
      <c r="AC242" s="377" t="str">
        <f t="shared" si="41"/>
        <v/>
      </c>
      <c r="AD242" s="634">
        <f>T520</f>
        <v>0</v>
      </c>
      <c r="AE242" s="832" t="s">
        <v>733</v>
      </c>
      <c r="AF242" s="330"/>
    </row>
    <row r="243" spans="1:32" ht="11.25" customHeight="1" thickBot="1">
      <c r="A243" s="418">
        <v>45</v>
      </c>
      <c r="B243" s="110"/>
      <c r="C243" s="420" t="str">
        <f>IF(LEN(O138)&lt;=265,"",RIGHT(O138,LEN(O138)-SEARCH(" ",O138,255)))</f>
        <v/>
      </c>
      <c r="D243" s="272"/>
      <c r="E243" s="272"/>
      <c r="F243" s="272"/>
      <c r="G243" s="272"/>
      <c r="H243" s="272"/>
      <c r="I243" s="272"/>
      <c r="J243" s="272"/>
      <c r="K243" s="59"/>
      <c r="L243" s="465" t="s">
        <v>265</v>
      </c>
      <c r="M243" s="110"/>
      <c r="N243" s="401" t="s">
        <v>346</v>
      </c>
      <c r="O243" s="488" t="str">
        <f>IF(O245&lt;&gt;"",O245,IF(OR(AB211=0,AB211=""),"",AB211))</f>
        <v/>
      </c>
      <c r="P243" s="36"/>
      <c r="Q243" s="36"/>
      <c r="R243" s="36"/>
      <c r="S243" s="36"/>
      <c r="T243" s="36"/>
      <c r="U243" s="36"/>
      <c r="V243" s="36"/>
      <c r="W243" s="91"/>
      <c r="X243" s="455" t="s">
        <v>265</v>
      </c>
      <c r="Y243" s="462"/>
      <c r="Z243" s="330"/>
      <c r="AA243" s="335" t="s">
        <v>199</v>
      </c>
      <c r="AB243" s="627"/>
      <c r="AC243" s="377" t="str">
        <f t="shared" si="41"/>
        <v/>
      </c>
      <c r="AD243" s="634">
        <f>R521</f>
        <v>0</v>
      </c>
      <c r="AE243" s="832" t="s">
        <v>734</v>
      </c>
      <c r="AF243" s="330"/>
    </row>
    <row r="244" spans="1:32" ht="11.25" customHeight="1" thickBot="1">
      <c r="A244" s="418">
        <v>46</v>
      </c>
      <c r="B244" s="110"/>
      <c r="C244" s="420" t="str">
        <f>IF(O140="","",IF(LEN(O140)&lt;=135,O140,IF(LEN(O140)&lt;=260,LEFT(O140,SEARCH(" ",O140,125)),LEFT(O140,SEARCH(" ",O140,130)))))</f>
        <v/>
      </c>
      <c r="D244" s="272"/>
      <c r="E244" s="272"/>
      <c r="F244" s="272"/>
      <c r="G244" s="272"/>
      <c r="H244" s="272"/>
      <c r="I244" s="272"/>
      <c r="J244" s="272"/>
      <c r="K244" s="59"/>
      <c r="L244" s="465" t="s">
        <v>265</v>
      </c>
      <c r="M244" s="73"/>
      <c r="N244" s="416" t="s">
        <v>100</v>
      </c>
      <c r="O244" s="47"/>
      <c r="P244" s="559">
        <f>LEN(O243)</f>
        <v>0</v>
      </c>
      <c r="Q244" s="37"/>
      <c r="R244" s="37"/>
      <c r="S244" s="37"/>
      <c r="T244" s="37"/>
      <c r="U244" s="33" t="s">
        <v>353</v>
      </c>
      <c r="V244" s="124" t="str">
        <f>IF(E377="","TBD",(IF(AND(ABS(MAX(E377:E384))&lt;=0.05,ABS(MIN(E377:E384))&lt;=0.05),"YES","NO")))</f>
        <v>TBD</v>
      </c>
      <c r="W244" s="57"/>
      <c r="X244" s="455" t="s">
        <v>265</v>
      </c>
      <c r="Y244" s="462"/>
      <c r="Z244" s="330"/>
      <c r="AF244" s="330"/>
    </row>
    <row r="245" spans="1:32" ht="11.25" customHeight="1">
      <c r="A245" s="418">
        <v>47</v>
      </c>
      <c r="B245" s="110"/>
      <c r="C245" s="420" t="str">
        <f>IF(LEN(O140)&lt;=135,"",IF(LEN(O140)&lt;=260,RIGHT(O140,LEN(O140)-SEARCH(" ",O140,125)),MID(O140,SEARCH(" ",O140,130),IF(LEN(O140)&lt;=265,LEN(O140),SEARCH(" ",O140,255)-SEARCH(" ",O140,130)))))</f>
        <v/>
      </c>
      <c r="D245" s="272"/>
      <c r="E245" s="272"/>
      <c r="F245" s="272"/>
      <c r="G245" s="272"/>
      <c r="H245" s="272"/>
      <c r="I245" s="272"/>
      <c r="J245" s="272"/>
      <c r="K245" s="59"/>
      <c r="L245" s="465" t="s">
        <v>265</v>
      </c>
      <c r="M245" s="54"/>
      <c r="N245" s="605" t="s">
        <v>366</v>
      </c>
      <c r="O245" s="607"/>
      <c r="W245" s="59"/>
      <c r="X245" s="455" t="s">
        <v>265</v>
      </c>
      <c r="Y245" s="462"/>
      <c r="Z245" s="330"/>
      <c r="AA245" s="464" t="s">
        <v>484</v>
      </c>
      <c r="AB245" s="330"/>
      <c r="AD245" s="330"/>
      <c r="AF245" s="330"/>
    </row>
    <row r="246" spans="1:32" ht="11.25" customHeight="1">
      <c r="A246" s="418">
        <v>48</v>
      </c>
      <c r="B246" s="110"/>
      <c r="C246" s="420" t="str">
        <f>IF(LEN(O140)&lt;=265,"",RIGHT(O140,LEN(O140)-SEARCH(" ",O140,255)))</f>
        <v/>
      </c>
      <c r="D246" s="272"/>
      <c r="E246" s="272"/>
      <c r="F246" s="272"/>
      <c r="G246" s="272"/>
      <c r="H246" s="272"/>
      <c r="I246" s="272"/>
      <c r="J246" s="272"/>
      <c r="K246" s="59"/>
      <c r="L246" s="465" t="s">
        <v>265</v>
      </c>
      <c r="M246" s="223" t="s">
        <v>50</v>
      </c>
      <c r="N246" s="37"/>
      <c r="O246" s="37"/>
      <c r="P246" s="37"/>
      <c r="Q246" s="37"/>
      <c r="R246" s="37"/>
      <c r="S246" s="37"/>
      <c r="T246" s="37"/>
      <c r="U246" s="37"/>
      <c r="V246" s="37"/>
      <c r="W246" s="57"/>
      <c r="X246" s="455" t="s">
        <v>265</v>
      </c>
      <c r="Y246" s="462"/>
      <c r="Z246" s="330"/>
      <c r="AA246" s="335"/>
      <c r="AB246" s="628"/>
      <c r="AC246" s="377" t="str">
        <f t="shared" ref="AC246:AC251" si="43">IF(AND(OR(AB246="",AB246=0),OR(AD246="",AD246=0)),"",IF(AB246&lt;&gt;AD246,"Change",""))</f>
        <v/>
      </c>
      <c r="AD246" s="639" t="str">
        <f t="shared" ref="AD246:AD251" si="44">IF(OR(T1="",T1=0),"",T1)</f>
        <v/>
      </c>
      <c r="AE246" s="379" t="s">
        <v>485</v>
      </c>
      <c r="AF246" s="330"/>
    </row>
    <row r="247" spans="1:32" ht="11.25" customHeight="1">
      <c r="A247" s="418">
        <v>49</v>
      </c>
      <c r="B247" s="110"/>
      <c r="C247" s="420" t="str">
        <f>IF(O142="","",IF(LEN(O142)&lt;=135,O142,IF(LEN(O142)&lt;=260,LEFT(O142,SEARCH(" ",O142,125)),LEFT(O142,SEARCH(" ",O142,130)))))</f>
        <v/>
      </c>
      <c r="D247" s="272"/>
      <c r="E247" s="272"/>
      <c r="F247" s="272"/>
      <c r="G247" s="272"/>
      <c r="H247" s="272"/>
      <c r="I247" s="272"/>
      <c r="J247" s="272"/>
      <c r="K247" s="59"/>
      <c r="L247" s="465" t="s">
        <v>265</v>
      </c>
      <c r="M247" s="110"/>
      <c r="W247" s="59"/>
      <c r="X247" s="455" t="s">
        <v>265</v>
      </c>
      <c r="Y247" s="462"/>
      <c r="Z247" s="330"/>
      <c r="AB247" s="628"/>
      <c r="AC247" s="377" t="str">
        <f t="shared" si="43"/>
        <v/>
      </c>
      <c r="AD247" s="639" t="str">
        <f t="shared" si="44"/>
        <v/>
      </c>
      <c r="AE247" s="379" t="s">
        <v>486</v>
      </c>
      <c r="AF247" s="330"/>
    </row>
    <row r="248" spans="1:32" ht="11.25" customHeight="1">
      <c r="A248" s="418">
        <v>50</v>
      </c>
      <c r="B248" s="110"/>
      <c r="C248" s="420" t="str">
        <f>IF(LEN(O142)&lt;=135,"",IF(LEN(O142)&lt;=260,RIGHT(O142,LEN(O142)-SEARCH(" ",O142,125)),MID(O142,SEARCH(" ",O142,130),IF(LEN(O142)&lt;=265,LEN(O142),SEARCH(" ",O142,255)-SEARCH(" ",O142,130)))))</f>
        <v/>
      </c>
      <c r="D248" s="272"/>
      <c r="E248" s="272"/>
      <c r="F248" s="272"/>
      <c r="G248" s="272"/>
      <c r="H248" s="272"/>
      <c r="I248" s="272"/>
      <c r="J248" s="272"/>
      <c r="K248" s="59"/>
      <c r="L248" s="465" t="s">
        <v>265</v>
      </c>
      <c r="M248" s="54"/>
      <c r="N248" s="37"/>
      <c r="O248" s="38"/>
      <c r="P248" s="37"/>
      <c r="Q248" s="37"/>
      <c r="R248" s="37"/>
      <c r="S248" s="37"/>
      <c r="T248" s="37"/>
      <c r="U248" s="37"/>
      <c r="V248" s="37"/>
      <c r="W248" s="57"/>
      <c r="X248" s="455" t="s">
        <v>265</v>
      </c>
      <c r="Y248" s="462"/>
      <c r="Z248" s="330"/>
      <c r="AB248" s="628"/>
      <c r="AC248" s="377" t="str">
        <f t="shared" si="43"/>
        <v/>
      </c>
      <c r="AD248" s="639" t="str">
        <f t="shared" si="44"/>
        <v/>
      </c>
      <c r="AE248" s="379" t="s">
        <v>487</v>
      </c>
      <c r="AF248" s="330"/>
    </row>
    <row r="249" spans="1:32" ht="11.25" customHeight="1">
      <c r="A249" s="418">
        <v>51</v>
      </c>
      <c r="B249" s="110"/>
      <c r="C249" s="420" t="str">
        <f>IF(LEN(O142)&lt;=265,"",RIGHT(O142,LEN(O142)-SEARCH(" ",O142,255)))</f>
        <v/>
      </c>
      <c r="D249" s="272"/>
      <c r="E249" s="272"/>
      <c r="F249" s="272"/>
      <c r="G249" s="272"/>
      <c r="H249" s="272"/>
      <c r="I249" s="272"/>
      <c r="J249" s="272"/>
      <c r="K249" s="59"/>
      <c r="L249" s="465" t="s">
        <v>265</v>
      </c>
      <c r="M249" s="54"/>
      <c r="N249" s="37"/>
      <c r="O249" s="37"/>
      <c r="P249" s="37"/>
      <c r="Q249" s="88" t="s">
        <v>28</v>
      </c>
      <c r="R249" s="37"/>
      <c r="T249" s="37"/>
      <c r="U249" s="37"/>
      <c r="V249" s="37"/>
      <c r="W249" s="57"/>
      <c r="X249" s="455" t="s">
        <v>265</v>
      </c>
      <c r="Y249" s="462"/>
      <c r="Z249" s="330"/>
      <c r="AB249" s="628"/>
      <c r="AC249" s="377" t="str">
        <f t="shared" si="43"/>
        <v/>
      </c>
      <c r="AD249" s="639" t="str">
        <f t="shared" si="44"/>
        <v/>
      </c>
      <c r="AE249" s="379" t="s">
        <v>488</v>
      </c>
      <c r="AF249" s="330"/>
    </row>
    <row r="250" spans="1:32" ht="11.25" customHeight="1">
      <c r="A250" s="418">
        <v>52</v>
      </c>
      <c r="B250" s="110"/>
      <c r="C250" s="420" t="str">
        <f>IF(O144="","",IF(LEN(O144)&lt;=135,O144,IF(LEN(O144)&lt;=260,LEFT(O144,SEARCH(" ",O144,125)),LEFT(O144,SEARCH(" ",O144,130)))))</f>
        <v/>
      </c>
      <c r="D250" s="272"/>
      <c r="E250" s="272"/>
      <c r="F250" s="272"/>
      <c r="G250" s="272"/>
      <c r="H250" s="272"/>
      <c r="I250" s="272"/>
      <c r="J250" s="272"/>
      <c r="K250" s="59"/>
      <c r="L250" s="465" t="s">
        <v>265</v>
      </c>
      <c r="M250" s="54" t="s">
        <v>29</v>
      </c>
      <c r="N250" s="161" t="s">
        <v>30</v>
      </c>
      <c r="O250" s="161" t="s">
        <v>31</v>
      </c>
      <c r="P250" s="161" t="s">
        <v>32</v>
      </c>
      <c r="Q250" s="37"/>
      <c r="R250" s="161"/>
      <c r="S250" s="161" t="s">
        <v>34</v>
      </c>
      <c r="T250" s="54"/>
      <c r="U250" s="38" t="s">
        <v>35</v>
      </c>
      <c r="V250" s="37"/>
      <c r="W250" s="57"/>
      <c r="X250" s="455" t="s">
        <v>265</v>
      </c>
      <c r="Y250" s="462"/>
      <c r="Z250" s="330"/>
      <c r="AB250" s="628"/>
      <c r="AC250" s="377" t="str">
        <f t="shared" si="43"/>
        <v/>
      </c>
      <c r="AD250" s="639" t="str">
        <f t="shared" si="44"/>
        <v/>
      </c>
      <c r="AE250" s="379" t="s">
        <v>489</v>
      </c>
      <c r="AF250" s="330"/>
    </row>
    <row r="251" spans="1:32" ht="11.25" customHeight="1" thickBot="1">
      <c r="A251" s="418">
        <v>53</v>
      </c>
      <c r="B251" s="110"/>
      <c r="C251" s="420" t="str">
        <f>IF(LEN(O144)&lt;=135,"",IF(LEN(O144)&lt;=260,RIGHT(O144,LEN(O144)-SEARCH(" ",O144,125)),MID(O144,SEARCH(" ",O144,130),IF(LEN(O144)&lt;=265,LEN(O144),SEARCH(" ",O144,255)-SEARCH(" ",O144,130)))))</f>
        <v/>
      </c>
      <c r="D251" s="272"/>
      <c r="E251" s="272"/>
      <c r="F251" s="272"/>
      <c r="G251" s="272"/>
      <c r="H251" s="272"/>
      <c r="I251" s="272"/>
      <c r="J251" s="272"/>
      <c r="K251" s="59"/>
      <c r="L251" s="465" t="s">
        <v>265</v>
      </c>
      <c r="M251" s="162" t="s">
        <v>36</v>
      </c>
      <c r="N251" s="425" t="s">
        <v>364</v>
      </c>
      <c r="O251" s="121" t="s">
        <v>37</v>
      </c>
      <c r="P251" s="121" t="s">
        <v>22</v>
      </c>
      <c r="Q251" s="121" t="s">
        <v>38</v>
      </c>
      <c r="R251" s="121" t="str">
        <f>IF(AND(LFMAS="",SFMAS=""),"mA/mAs",IF(O252="Large",LFMAS,SFMAS))</f>
        <v>mAs</v>
      </c>
      <c r="S251" s="121" t="s">
        <v>39</v>
      </c>
      <c r="T251" s="162" t="s">
        <v>40</v>
      </c>
      <c r="U251" s="121" t="s">
        <v>41</v>
      </c>
      <c r="V251" s="121" t="s">
        <v>39</v>
      </c>
      <c r="W251" s="166" t="s">
        <v>512</v>
      </c>
      <c r="X251" s="455" t="s">
        <v>265</v>
      </c>
      <c r="Y251" s="462"/>
      <c r="Z251" s="330"/>
      <c r="AB251" s="628"/>
      <c r="AC251" s="377" t="str">
        <f t="shared" si="43"/>
        <v/>
      </c>
      <c r="AD251" s="639" t="str">
        <f t="shared" si="44"/>
        <v/>
      </c>
      <c r="AE251" s="379" t="s">
        <v>490</v>
      </c>
      <c r="AF251" s="330"/>
    </row>
    <row r="252" spans="1:32" ht="11.25" customHeight="1">
      <c r="A252" s="418">
        <v>54</v>
      </c>
      <c r="B252" s="110"/>
      <c r="C252" s="420" t="str">
        <f>IF(LEN(O144)&lt;=265,"",RIGHT(O144,LEN(O144)-SEARCH(" ",O144,255)))</f>
        <v/>
      </c>
      <c r="D252" s="272"/>
      <c r="E252" s="272"/>
      <c r="F252" s="272"/>
      <c r="G252" s="272"/>
      <c r="H252" s="272"/>
      <c r="I252" s="272"/>
      <c r="J252" s="272"/>
      <c r="K252" s="59"/>
      <c r="L252" s="465" t="s">
        <v>265</v>
      </c>
      <c r="M252" s="796"/>
      <c r="N252" s="263">
        <f>$N$234</f>
        <v>100</v>
      </c>
      <c r="O252" s="160" t="str">
        <f>Sheet1!F23</f>
        <v>Small</v>
      </c>
      <c r="P252" s="797"/>
      <c r="Q252" s="159">
        <f>Sheet1!A23</f>
        <v>50</v>
      </c>
      <c r="R252" s="308" cm="1">
        <f t="array" ref="R252">_xlfn.SWITCH(SFMAS,"mA",Sheet1!B23,"mAs",Sheet1!C23)</f>
        <v>10</v>
      </c>
      <c r="S252" s="164" t="str" cm="1">
        <f t="array" ref="S252">_xlfn.SWITCH(SFMAS,"mA",Sheet1!D23,"mAs","")</f>
        <v/>
      </c>
      <c r="T252" s="799" t="str">
        <f>IF(Tables!AA71="","",Tables!AA71)</f>
        <v/>
      </c>
      <c r="U252" s="160" t="str">
        <f>IF(Sheet1!G23="","",Sheet1!G23)</f>
        <v/>
      </c>
      <c r="V252" s="164" t="str">
        <f>IF(Sheet1!H23="","",Sheet1!H23)</f>
        <v/>
      </c>
      <c r="W252" s="321" t="str">
        <f>IF(Sheet1!I23="","",Sheet1!I23)</f>
        <v/>
      </c>
      <c r="X252" s="455" t="s">
        <v>265</v>
      </c>
      <c r="Y252" s="462"/>
      <c r="Z252" s="330"/>
      <c r="AF252" s="330"/>
    </row>
    <row r="253" spans="1:32" ht="11.25" customHeight="1">
      <c r="A253" s="418">
        <v>55</v>
      </c>
      <c r="B253" s="110"/>
      <c r="C253" s="420" t="str">
        <f>IF(O146="","",IF(LEN(O146)&lt;=135,O146,IF(LEN(O146)&lt;=260,LEFT(O146,SEARCH(" ",O146,125)),LEFT(O146,SEARCH(" ",O146,130)))))</f>
        <v/>
      </c>
      <c r="D253" s="272"/>
      <c r="E253" s="272"/>
      <c r="F253" s="272"/>
      <c r="G253" s="272"/>
      <c r="H253" s="272"/>
      <c r="I253" s="272"/>
      <c r="J253" s="272"/>
      <c r="K253" s="59"/>
      <c r="L253" s="465" t="s">
        <v>265</v>
      </c>
      <c r="M253" s="796"/>
      <c r="N253" s="263">
        <f>IF(OR($N$252="",Q253=""),"",$N$252)</f>
        <v>100</v>
      </c>
      <c r="O253" s="160" t="str">
        <f>Sheet1!F24</f>
        <v>Small</v>
      </c>
      <c r="P253" s="797"/>
      <c r="Q253" s="159">
        <f>Sheet1!A24</f>
        <v>70</v>
      </c>
      <c r="R253" s="308" cm="1">
        <f t="array" ref="R253">_xlfn.SWITCH(SFMAS,"mA",Sheet1!B24,"mAs",Sheet1!C24)</f>
        <v>10</v>
      </c>
      <c r="S253" s="164" t="str" cm="1">
        <f t="array" ref="S253">_xlfn.SWITCH(SFMAS,"mA",Sheet1!D24,"mAs","")</f>
        <v/>
      </c>
      <c r="T253" s="799" t="str">
        <f>IF(Tables!AA72="","",Tables!AA72)</f>
        <v/>
      </c>
      <c r="U253" s="160" t="str">
        <f>IF(Sheet1!G24="","",Sheet1!G24)</f>
        <v/>
      </c>
      <c r="V253" s="164" t="str">
        <f>IF(Sheet1!H24="","",Sheet1!H24)</f>
        <v/>
      </c>
      <c r="W253" s="321" t="str">
        <f>IF(Sheet1!I24="","",Sheet1!I24)</f>
        <v/>
      </c>
      <c r="X253" s="455" t="s">
        <v>265</v>
      </c>
      <c r="Y253" s="462"/>
      <c r="Z253" s="330"/>
      <c r="AA253" s="115" t="s">
        <v>603</v>
      </c>
      <c r="AB253" s="254"/>
      <c r="AF253" s="330"/>
    </row>
    <row r="254" spans="1:32" ht="11.25" customHeight="1">
      <c r="A254" s="418">
        <v>56</v>
      </c>
      <c r="B254" s="110"/>
      <c r="C254" s="420" t="str">
        <f>IF(LEN(O146)&lt;=135,"",IF(LEN(O146)&lt;=260,RIGHT(O146,LEN(O146)-SEARCH(" ",O146,125)),MID(O146,SEARCH(" ",O146,130),IF(LEN(O146)&lt;=265,LEN(O146),SEARCH(" ",O146,255)-SEARCH(" ",O146,130)))))</f>
        <v/>
      </c>
      <c r="D254" s="272"/>
      <c r="E254" s="272"/>
      <c r="F254" s="272"/>
      <c r="G254" s="272"/>
      <c r="H254" s="272"/>
      <c r="I254" s="272"/>
      <c r="J254" s="272"/>
      <c r="K254" s="59"/>
      <c r="L254" s="465" t="s">
        <v>265</v>
      </c>
      <c r="M254" s="796"/>
      <c r="N254" s="263">
        <f>IF(OR($N$252="",Q254=""),"",$N$252)</f>
        <v>100</v>
      </c>
      <c r="O254" s="160" t="str">
        <f>Sheet1!F25</f>
        <v>Small</v>
      </c>
      <c r="P254" s="797"/>
      <c r="Q254" s="159">
        <f>Sheet1!A25</f>
        <v>90</v>
      </c>
      <c r="R254" s="308" cm="1">
        <f t="array" ref="R254">_xlfn.SWITCH(SFMAS,"mA",Sheet1!B25,"mAs",Sheet1!C25)</f>
        <v>10</v>
      </c>
      <c r="S254" s="164" t="str" cm="1">
        <f t="array" ref="S254">_xlfn.SWITCH(SFMAS,"mA",Sheet1!D25,"mAs","")</f>
        <v/>
      </c>
      <c r="T254" s="799" t="str">
        <f>IF(Tables!AA73="","",Tables!AA73)</f>
        <v/>
      </c>
      <c r="U254" s="160" t="str">
        <f>IF(Sheet1!G25="","",Sheet1!G25)</f>
        <v/>
      </c>
      <c r="V254" s="164" t="str">
        <f>IF(Sheet1!H25="","",Sheet1!H25)</f>
        <v/>
      </c>
      <c r="W254" s="321" t="str">
        <f>IF(Sheet1!I25="","",Sheet1!I25)</f>
        <v/>
      </c>
      <c r="X254" s="455" t="s">
        <v>265</v>
      </c>
      <c r="Y254" s="462"/>
      <c r="Z254" s="330"/>
      <c r="AA254" s="115" t="s">
        <v>600</v>
      </c>
      <c r="AB254" s="254"/>
      <c r="AF254" s="330"/>
    </row>
    <row r="255" spans="1:32" ht="11.25" customHeight="1">
      <c r="A255" s="418">
        <v>57</v>
      </c>
      <c r="B255" s="110"/>
      <c r="C255" s="420" t="str">
        <f>IF(LEN(O146)&lt;=265,"",RIGHT(O146,LEN(O146)-SEARCH(" ",O146,255)))</f>
        <v/>
      </c>
      <c r="D255" s="272"/>
      <c r="E255" s="272"/>
      <c r="F255" s="272"/>
      <c r="G255" s="272"/>
      <c r="H255" s="272"/>
      <c r="I255" s="272"/>
      <c r="J255" s="272"/>
      <c r="K255" s="59"/>
      <c r="L255" s="465" t="s">
        <v>265</v>
      </c>
      <c r="M255" s="796"/>
      <c r="N255" s="263">
        <f>IF(OR($N$252="",Q255=""),"",$N$252)</f>
        <v>100</v>
      </c>
      <c r="O255" s="160" t="str">
        <f>IF(Q255="","",O254)</f>
        <v>Small</v>
      </c>
      <c r="P255" s="797"/>
      <c r="Q255" s="159">
        <f>Sheet1!A35</f>
        <v>110</v>
      </c>
      <c r="R255" s="308" cm="1">
        <f t="array" ref="R255">_xlfn.SWITCH(SFMAS,"mA",Sheet1!B35,"mAs",Sheet1!C35)</f>
        <v>10</v>
      </c>
      <c r="S255" s="164" t="str" cm="1">
        <f t="array" ref="S255">_xlfn.SWITCH(SFMAS,"mA",Sheet1!D26,"mAs","")</f>
        <v/>
      </c>
      <c r="T255" s="799" t="str">
        <f>IF(Tables!AA83="","",Tables!AA83)</f>
        <v/>
      </c>
      <c r="U255" s="160" t="str">
        <f>IF(Sheet1!G35="","",Sheet1!G35)</f>
        <v/>
      </c>
      <c r="V255" s="164" t="str">
        <f>IF(Sheet1!H35="","",Sheet1!H35)</f>
        <v/>
      </c>
      <c r="W255" s="321" t="str">
        <f>IF(Sheet1!I35="","",Sheet1!I35)</f>
        <v/>
      </c>
      <c r="X255" s="455" t="s">
        <v>265</v>
      </c>
      <c r="Y255" s="462"/>
      <c r="Z255" s="330"/>
      <c r="AA255" s="42" t="s">
        <v>585</v>
      </c>
      <c r="AB255" s="628"/>
      <c r="AC255" s="377" t="str">
        <f t="shared" ref="AC255:AC318" si="45">IF(AND(OR(AB255="",AB255=0),OR(AD255="",AD255=0)),"",IF(AB255&lt;&gt;AD255,"Change",""))</f>
        <v>Change</v>
      </c>
      <c r="AD255" s="639" t="str">
        <f t="shared" ref="AD255:AD272" si="46">IF(OR(P542="",P542=0),"",P542)</f>
        <v>125 kV Half Fan</v>
      </c>
      <c r="AE255" s="379" t="s">
        <v>735</v>
      </c>
      <c r="AF255" s="330"/>
    </row>
    <row r="256" spans="1:32" ht="11.25" customHeight="1">
      <c r="A256" s="418">
        <v>58</v>
      </c>
      <c r="B256" s="110"/>
      <c r="C256" s="420" t="str">
        <f>IF(O148="","",IF(LEN(O148)&lt;=135,O148,IF(LEN(O148)&lt;=260,LEFT(O148,SEARCH(" ",O148,125)),LEFT(O148,SEARCH(" ",O148,130)))))</f>
        <v/>
      </c>
      <c r="D256" s="272"/>
      <c r="E256" s="272"/>
      <c r="F256" s="272"/>
      <c r="G256" s="272"/>
      <c r="H256" s="272"/>
      <c r="I256" s="272"/>
      <c r="J256" s="272"/>
      <c r="K256" s="59"/>
      <c r="L256" s="465" t="s">
        <v>265</v>
      </c>
      <c r="M256" s="796"/>
      <c r="N256" s="263">
        <f>IF(OR($N$252="",Q256=""),"",$N$252)</f>
        <v>100</v>
      </c>
      <c r="O256" s="160" t="str">
        <f>IF(Q256="","",O255)</f>
        <v>Small</v>
      </c>
      <c r="P256" s="797"/>
      <c r="Q256" s="159">
        <f>Sheet1!A36</f>
        <v>130</v>
      </c>
      <c r="R256" s="308" cm="1">
        <f t="array" ref="R256">_xlfn.SWITCH(SFMAS,"mA",Sheet1!B36,"mAs",Sheet1!C36)</f>
        <v>10</v>
      </c>
      <c r="S256" s="164" t="str" cm="1">
        <f t="array" ref="S256">_xlfn.SWITCH(SFMAS,"mA",Sheet1!D27,"mAs","")</f>
        <v/>
      </c>
      <c r="T256" s="799" t="str">
        <f>IF(Tables!AA84="","",Tables!AA84)</f>
        <v/>
      </c>
      <c r="U256" s="160" t="str">
        <f>IF(Sheet1!G36="","",Sheet1!G36)</f>
        <v/>
      </c>
      <c r="V256" s="164" t="str">
        <f>IF(Sheet1!H36="","",Sheet1!H36)</f>
        <v/>
      </c>
      <c r="W256" s="321" t="str">
        <f>IF(Sheet1!I36="","",Sheet1!I36)</f>
        <v/>
      </c>
      <c r="X256" s="455" t="s">
        <v>265</v>
      </c>
      <c r="Y256" s="462"/>
      <c r="Z256" s="330"/>
      <c r="AA256" s="42" t="s">
        <v>298</v>
      </c>
      <c r="AB256" s="628"/>
      <c r="AC256" s="377" t="str">
        <f t="shared" si="45"/>
        <v>Change</v>
      </c>
      <c r="AD256" s="639">
        <f t="shared" si="46"/>
        <v>125</v>
      </c>
      <c r="AE256" s="379" t="s">
        <v>580</v>
      </c>
      <c r="AF256" s="330"/>
    </row>
    <row r="257" spans="1:32" ht="11.25" customHeight="1">
      <c r="A257" s="418">
        <v>59</v>
      </c>
      <c r="B257" s="110"/>
      <c r="C257" s="420" t="str">
        <f>IF(LEN(O148)&lt;=135,"",IF(LEN(O148)&lt;=260,RIGHT(O148,LEN(O148)-SEARCH(" ",O148,125)),MID(O148,SEARCH(" ",O148,130),IF(LEN(O148)&lt;=265,LEN(O148),SEARCH(" ",O148,255)-SEARCH(" ",O148,130)))))</f>
        <v/>
      </c>
      <c r="D257" s="272"/>
      <c r="E257" s="272"/>
      <c r="F257" s="272"/>
      <c r="G257" s="272"/>
      <c r="H257" s="272"/>
      <c r="I257" s="272"/>
      <c r="J257" s="272"/>
      <c r="K257" s="59"/>
      <c r="L257" s="465" t="s">
        <v>265</v>
      </c>
      <c r="M257" s="801"/>
      <c r="N257" s="263" t="str">
        <f>IF(OR($N$252="",Q257=""),"",$N$252)</f>
        <v/>
      </c>
      <c r="O257" s="160" t="str">
        <f>IF(Q257="","",O256)</f>
        <v/>
      </c>
      <c r="P257" s="802"/>
      <c r="Q257" s="426"/>
      <c r="R257" s="308" t="str">
        <f>IF(OR($R$252="",Q257=""),"",$R$252)</f>
        <v/>
      </c>
      <c r="S257" s="164" t="str">
        <f>IF(OR($S$252="",Q257=""),"",$S$252)</f>
        <v/>
      </c>
      <c r="T257" s="803"/>
      <c r="U257" s="427"/>
      <c r="V257" s="428"/>
      <c r="W257" s="429"/>
      <c r="X257" s="455" t="s">
        <v>265</v>
      </c>
      <c r="Y257" s="462"/>
      <c r="Z257" s="330"/>
      <c r="AA257" s="42" t="s">
        <v>300</v>
      </c>
      <c r="AB257" s="628"/>
      <c r="AC257" s="377" t="str">
        <f t="shared" si="45"/>
        <v>Change</v>
      </c>
      <c r="AD257" s="639">
        <f t="shared" si="46"/>
        <v>60</v>
      </c>
      <c r="AE257" s="379" t="s">
        <v>736</v>
      </c>
      <c r="AF257" s="330"/>
    </row>
    <row r="258" spans="1:32" ht="11.25" customHeight="1">
      <c r="A258" s="418">
        <v>60</v>
      </c>
      <c r="B258" s="110"/>
      <c r="C258" s="420" t="str">
        <f>IF(LEN(O148)&lt;=265,"",RIGHT(O148,LEN(O148)-SEARCH(" ",O148,255)))</f>
        <v/>
      </c>
      <c r="D258" s="272"/>
      <c r="E258" s="272"/>
      <c r="F258" s="272"/>
      <c r="G258" s="272"/>
      <c r="H258" s="272"/>
      <c r="I258" s="272"/>
      <c r="J258" s="272"/>
      <c r="K258" s="59"/>
      <c r="L258" s="465" t="s">
        <v>265</v>
      </c>
      <c r="M258" s="73" t="s">
        <v>48</v>
      </c>
      <c r="W258" s="59"/>
      <c r="X258" s="455" t="s">
        <v>265</v>
      </c>
      <c r="Y258" s="462"/>
      <c r="Z258" s="330"/>
      <c r="AA258" s="42" t="s">
        <v>355</v>
      </c>
      <c r="AB258" s="628"/>
      <c r="AC258" s="377" t="str">
        <f t="shared" si="45"/>
        <v>Change</v>
      </c>
      <c r="AD258" s="639">
        <f t="shared" si="46"/>
        <v>1.2</v>
      </c>
      <c r="AE258" s="379" t="s">
        <v>737</v>
      </c>
      <c r="AF258" s="330"/>
    </row>
    <row r="259" spans="1:32" ht="11.25" customHeight="1">
      <c r="A259" s="418">
        <v>61</v>
      </c>
      <c r="B259" s="110"/>
      <c r="C259" s="420" t="str">
        <f>IF(O150="","",IF(LEN(O150)&lt;=135,O150,IF(LEN(O150)&lt;=260,LEFT(O150,SEARCH(" ",O150,125)),LEFT(O150,SEARCH(" ",O150,130)))))</f>
        <v/>
      </c>
      <c r="D259" s="272"/>
      <c r="E259" s="272"/>
      <c r="F259" s="272"/>
      <c r="G259" s="272"/>
      <c r="H259" s="272"/>
      <c r="I259" s="272"/>
      <c r="J259" s="272"/>
      <c r="K259" s="59"/>
      <c r="L259" s="465" t="s">
        <v>265</v>
      </c>
      <c r="M259" s="110"/>
      <c r="N259" s="401" t="s">
        <v>346</v>
      </c>
      <c r="O259" s="606" t="str">
        <f>IF(O260&lt;&gt;"",O260,IF(OR(AB212=0,AB212=""),"",AB212))</f>
        <v/>
      </c>
      <c r="P259" s="36"/>
      <c r="Q259" s="36"/>
      <c r="R259" s="36"/>
      <c r="S259" s="36"/>
      <c r="T259" s="36"/>
      <c r="U259" s="36"/>
      <c r="V259" s="36"/>
      <c r="W259" s="91"/>
      <c r="X259" s="455" t="s">
        <v>265</v>
      </c>
      <c r="Y259" s="462"/>
      <c r="Z259" s="330"/>
      <c r="AA259" s="42" t="s">
        <v>586</v>
      </c>
      <c r="AB259" s="628"/>
      <c r="AC259" s="377" t="str">
        <f t="shared" si="45"/>
        <v/>
      </c>
      <c r="AD259" s="639" t="str">
        <f t="shared" si="46"/>
        <v/>
      </c>
      <c r="AE259" s="379" t="s">
        <v>738</v>
      </c>
      <c r="AF259" s="330"/>
    </row>
    <row r="260" spans="1:32" ht="11.25" customHeight="1" thickBot="1">
      <c r="A260" s="418">
        <v>62</v>
      </c>
      <c r="B260" s="110"/>
      <c r="C260" s="420" t="str">
        <f>IF(LEN(O150)&lt;=135,"",IF(LEN(O150)&lt;=260,RIGHT(O150,LEN(O150)-SEARCH(" ",O150,125)),MID(O150,SEARCH(" ",O150,130),IF(LEN(O150)&lt;=265,LEN(O150),SEARCH(" ",O150,255)-SEARCH(" ",O150,130)))))</f>
        <v/>
      </c>
      <c r="D260" s="272"/>
      <c r="E260" s="272"/>
      <c r="F260" s="272"/>
      <c r="G260" s="272"/>
      <c r="H260" s="272"/>
      <c r="I260" s="272"/>
      <c r="J260" s="272"/>
      <c r="K260" s="59"/>
      <c r="L260" s="465" t="s">
        <v>265</v>
      </c>
      <c r="M260" s="73"/>
      <c r="N260" s="605" t="s">
        <v>366</v>
      </c>
      <c r="O260" s="607"/>
      <c r="P260" s="558">
        <f>LEN(O259)</f>
        <v>0</v>
      </c>
      <c r="Q260" s="37"/>
      <c r="R260" s="37"/>
      <c r="S260" s="37"/>
      <c r="T260" s="37"/>
      <c r="U260" s="37"/>
      <c r="V260" s="37"/>
      <c r="W260" s="57"/>
      <c r="X260" s="455" t="s">
        <v>265</v>
      </c>
      <c r="Y260" s="462"/>
      <c r="Z260" s="330"/>
      <c r="AA260" s="42" t="s">
        <v>587</v>
      </c>
      <c r="AB260" s="628"/>
      <c r="AC260" s="377" t="str">
        <f t="shared" si="45"/>
        <v/>
      </c>
      <c r="AD260" s="639" t="str">
        <f t="shared" si="46"/>
        <v/>
      </c>
      <c r="AE260" s="379" t="s">
        <v>739</v>
      </c>
      <c r="AF260" s="330"/>
    </row>
    <row r="261" spans="1:32" ht="11.25" customHeight="1" thickBot="1">
      <c r="A261" s="418">
        <v>63</v>
      </c>
      <c r="B261" s="110"/>
      <c r="C261" s="420" t="str">
        <f>IF(LEN(O150)&lt;=265,"",RIGHT(O150,LEN(O150)-SEARCH(" ",O150,255)))</f>
        <v/>
      </c>
      <c r="D261" s="272"/>
      <c r="E261" s="272"/>
      <c r="F261" s="272"/>
      <c r="G261" s="272"/>
      <c r="H261" s="272"/>
      <c r="I261" s="272"/>
      <c r="J261" s="272"/>
      <c r="K261" s="59"/>
      <c r="L261" s="465" t="s">
        <v>265</v>
      </c>
      <c r="M261" s="54"/>
      <c r="O261" s="492" t="str">
        <f>IF(AND(O243="",O259=""),"",IF(AND(O243&lt;&gt;"",O259=""),"Lg. F:  "&amp;O243,IF(AND(O243="",O259&lt;&gt;""),"Sm. F:  "&amp;O259,"Lg. F:  "&amp;O243&amp;";  Sm. F:  "&amp;O259)))</f>
        <v/>
      </c>
      <c r="P261" s="38" t="s">
        <v>52</v>
      </c>
      <c r="Q261" s="37"/>
      <c r="R261" s="37"/>
      <c r="S261" s="37"/>
      <c r="T261" s="37"/>
      <c r="U261" s="33" t="s">
        <v>353</v>
      </c>
      <c r="V261" s="124" t="str">
        <f>IF(J377="","TBD",(IF(AND(ABS(MAX(J377:J382))&lt;=0.05,ABS(MIN(J377:J382))&lt;=0.05),"YES","NO")))</f>
        <v>TBD</v>
      </c>
      <c r="W261" s="57"/>
      <c r="X261" s="455" t="s">
        <v>265</v>
      </c>
      <c r="Y261" s="462"/>
      <c r="Z261" s="330"/>
      <c r="AA261" s="42" t="s">
        <v>588</v>
      </c>
      <c r="AB261" s="628"/>
      <c r="AC261" s="377" t="str">
        <f t="shared" si="45"/>
        <v/>
      </c>
      <c r="AD261" s="639" t="str">
        <f t="shared" si="46"/>
        <v/>
      </c>
      <c r="AE261" s="379" t="s">
        <v>740</v>
      </c>
      <c r="AF261" s="330"/>
    </row>
    <row r="262" spans="1:32" ht="11.25" customHeight="1" thickBot="1">
      <c r="A262" s="418">
        <v>64</v>
      </c>
      <c r="B262" s="86"/>
      <c r="C262" s="71"/>
      <c r="D262" s="71"/>
      <c r="E262" s="71"/>
      <c r="F262" s="71"/>
      <c r="G262" s="71"/>
      <c r="H262" s="71"/>
      <c r="I262" s="71"/>
      <c r="J262" s="71"/>
      <c r="K262" s="74"/>
      <c r="L262" s="465" t="s">
        <v>265</v>
      </c>
      <c r="M262" s="110"/>
      <c r="N262" s="416" t="s">
        <v>100</v>
      </c>
      <c r="P262" s="558">
        <f>LEN(O261)</f>
        <v>0</v>
      </c>
      <c r="W262" s="59"/>
      <c r="X262" s="455" t="s">
        <v>265</v>
      </c>
      <c r="Y262" s="462"/>
      <c r="Z262" s="330"/>
      <c r="AA262" s="42" t="s">
        <v>589</v>
      </c>
      <c r="AB262" s="628"/>
      <c r="AC262" s="377" t="str">
        <f t="shared" si="45"/>
        <v/>
      </c>
      <c r="AD262" s="639" t="str">
        <f t="shared" si="46"/>
        <v/>
      </c>
      <c r="AE262" s="379" t="s">
        <v>741</v>
      </c>
      <c r="AF262" s="330"/>
    </row>
    <row r="263" spans="1:32" ht="11.25" customHeight="1" thickTop="1">
      <c r="A263" s="418">
        <v>65</v>
      </c>
      <c r="B263" s="40" t="str">
        <f t="array" ref="B263:C264">$B$65:$C$66</f>
        <v>Date:</v>
      </c>
      <c r="C263" s="674" t="str">
        <v/>
      </c>
      <c r="E263" s="39"/>
      <c r="F263" s="39"/>
      <c r="G263" s="39"/>
      <c r="H263" s="39"/>
      <c r="I263" s="40" t="str">
        <f t="array" ref="I263:J264">$I$65:$J$66</f>
        <v>Inspector:</v>
      </c>
      <c r="J263" s="616" t="str">
        <v>Eugene Mah</v>
      </c>
      <c r="L263" s="465" t="s">
        <v>265</v>
      </c>
      <c r="M263" s="110"/>
      <c r="N263" s="115" t="s">
        <v>354</v>
      </c>
      <c r="O263" s="88" t="s">
        <v>299</v>
      </c>
      <c r="P263" s="88"/>
      <c r="W263" s="59"/>
      <c r="X263" s="455" t="s">
        <v>265</v>
      </c>
      <c r="Y263" s="462"/>
      <c r="Z263" s="330"/>
      <c r="AA263" s="42" t="s">
        <v>590</v>
      </c>
      <c r="AB263" s="628"/>
      <c r="AC263" s="377" t="str">
        <f t="shared" si="45"/>
        <v/>
      </c>
      <c r="AD263" s="639" t="str">
        <f t="shared" si="46"/>
        <v/>
      </c>
      <c r="AE263" s="379" t="s">
        <v>742</v>
      </c>
      <c r="AF263" s="330"/>
    </row>
    <row r="264" spans="1:32" ht="11.25" customHeight="1" thickBot="1">
      <c r="A264" s="418">
        <v>66</v>
      </c>
      <c r="B264" s="40" t="str">
        <v>Room Number:</v>
      </c>
      <c r="C264" s="271" t="str">
        <v/>
      </c>
      <c r="E264" s="39"/>
      <c r="F264" s="39"/>
      <c r="G264" s="39"/>
      <c r="H264" s="39"/>
      <c r="I264" s="40" t="str">
        <v>Survey ID:</v>
      </c>
      <c r="J264" s="615" t="str">
        <v/>
      </c>
      <c r="L264" s="465" t="s">
        <v>265</v>
      </c>
      <c r="M264" s="86"/>
      <c r="N264" s="71"/>
      <c r="O264" s="71"/>
      <c r="P264" s="71"/>
      <c r="Q264" s="71"/>
      <c r="R264" s="71"/>
      <c r="S264" s="71"/>
      <c r="T264" s="71"/>
      <c r="U264" s="71"/>
      <c r="V264" s="71"/>
      <c r="W264" s="74"/>
      <c r="X264" s="455" t="s">
        <v>265</v>
      </c>
      <c r="Y264" s="462"/>
      <c r="Z264" s="330"/>
      <c r="AA264" s="42" t="s">
        <v>591</v>
      </c>
      <c r="AB264" s="628"/>
      <c r="AC264" s="377" t="str">
        <f t="shared" si="45"/>
        <v>Change</v>
      </c>
      <c r="AD264" s="639" t="str">
        <f t="shared" si="46"/>
        <v>A</v>
      </c>
      <c r="AE264" s="379" t="s">
        <v>743</v>
      </c>
      <c r="AF264" s="330"/>
    </row>
    <row r="265" spans="1:32" ht="11.25" customHeight="1" thickTop="1">
      <c r="A265" s="418">
        <v>1</v>
      </c>
      <c r="K265" s="114" t="str">
        <f>$F$2</f>
        <v>Medical University of South Carolina</v>
      </c>
      <c r="L265" s="465" t="s">
        <v>265</v>
      </c>
      <c r="X265" s="455" t="s">
        <v>265</v>
      </c>
      <c r="Y265" s="462"/>
      <c r="Z265" s="330"/>
      <c r="AA265" s="42" t="s">
        <v>592</v>
      </c>
      <c r="AB265" s="628"/>
      <c r="AC265" s="377" t="str">
        <f t="shared" si="45"/>
        <v>Change</v>
      </c>
      <c r="AD265" s="639">
        <f t="shared" si="46"/>
        <v>280</v>
      </c>
      <c r="AE265" s="379" t="s">
        <v>744</v>
      </c>
      <c r="AF265" s="330"/>
    </row>
    <row r="266" spans="1:32" ht="11.25" customHeight="1">
      <c r="A266" s="418">
        <v>2</v>
      </c>
      <c r="K266" s="115" t="str">
        <f>$F$5</f>
        <v>Radiation Oncology IGRT Compliance Inspection</v>
      </c>
      <c r="L266" s="465" t="s">
        <v>265</v>
      </c>
      <c r="X266" s="455" t="s">
        <v>265</v>
      </c>
      <c r="Y266" s="462"/>
      <c r="Z266" s="330"/>
      <c r="AA266" s="42" t="s">
        <v>593</v>
      </c>
      <c r="AB266" s="628"/>
      <c r="AC266" s="377" t="str">
        <f t="shared" si="45"/>
        <v>Change</v>
      </c>
      <c r="AD266" s="639">
        <f t="shared" si="46"/>
        <v>1</v>
      </c>
      <c r="AE266" s="379" t="s">
        <v>745</v>
      </c>
      <c r="AF266" s="330"/>
    </row>
    <row r="267" spans="1:32" ht="11.25" customHeight="1" thickBot="1">
      <c r="A267" s="418">
        <v>3</v>
      </c>
      <c r="F267" s="94" t="s">
        <v>344</v>
      </c>
      <c r="L267" s="465" t="s">
        <v>265</v>
      </c>
      <c r="W267" s="114"/>
      <c r="X267" s="455" t="s">
        <v>265</v>
      </c>
      <c r="Y267" s="462"/>
      <c r="Z267" s="330"/>
      <c r="AA267" s="42" t="s">
        <v>594</v>
      </c>
      <c r="AB267" s="628"/>
      <c r="AC267" s="377" t="str">
        <f t="shared" si="45"/>
        <v>Change</v>
      </c>
      <c r="AD267" s="639">
        <f t="shared" si="46"/>
        <v>280</v>
      </c>
      <c r="AE267" s="379" t="s">
        <v>746</v>
      </c>
      <c r="AF267" s="330"/>
    </row>
    <row r="268" spans="1:32" ht="11.25" customHeight="1" thickTop="1">
      <c r="A268" s="418">
        <v>4</v>
      </c>
      <c r="B268" s="67"/>
      <c r="C268" s="50"/>
      <c r="D268" s="50"/>
      <c r="E268" s="50"/>
      <c r="F268" s="50"/>
      <c r="G268" s="50"/>
      <c r="H268" s="50"/>
      <c r="I268" s="50"/>
      <c r="J268" s="50"/>
      <c r="K268" s="68"/>
      <c r="L268" s="465" t="s">
        <v>265</v>
      </c>
      <c r="W268" s="115"/>
      <c r="X268" s="455" t="s">
        <v>265</v>
      </c>
      <c r="Y268" s="462"/>
      <c r="Z268" s="330"/>
      <c r="AA268" s="42" t="s">
        <v>595</v>
      </c>
      <c r="AB268" s="628"/>
      <c r="AC268" s="377" t="str">
        <f t="shared" si="45"/>
        <v>Change</v>
      </c>
      <c r="AD268" s="639">
        <f t="shared" si="46"/>
        <v>1</v>
      </c>
      <c r="AE268" s="379" t="s">
        <v>747</v>
      </c>
      <c r="AF268" s="330"/>
    </row>
    <row r="269" spans="1:32" ht="11.25" customHeight="1">
      <c r="A269" s="418">
        <v>5</v>
      </c>
      <c r="B269" s="110"/>
      <c r="K269" s="59"/>
      <c r="L269" s="465" t="s">
        <v>265</v>
      </c>
      <c r="M269" s="158"/>
      <c r="R269" s="70"/>
      <c r="X269" s="455" t="s">
        <v>265</v>
      </c>
      <c r="Y269" s="462"/>
      <c r="Z269" s="330"/>
      <c r="AA269" s="42" t="s">
        <v>596</v>
      </c>
      <c r="AB269" s="628"/>
      <c r="AC269" s="377" t="str">
        <f t="shared" si="45"/>
        <v/>
      </c>
      <c r="AD269" s="639" t="str">
        <f t="shared" si="46"/>
        <v/>
      </c>
      <c r="AE269" s="379" t="s">
        <v>748</v>
      </c>
      <c r="AF269" s="330"/>
    </row>
    <row r="270" spans="1:32" ht="11.25" customHeight="1" thickBot="1">
      <c r="A270" s="418">
        <v>6</v>
      </c>
      <c r="B270" s="110"/>
      <c r="K270" s="59"/>
      <c r="L270" s="465" t="s">
        <v>265</v>
      </c>
      <c r="X270" s="455" t="s">
        <v>265</v>
      </c>
      <c r="Y270" s="462"/>
      <c r="Z270" s="330"/>
      <c r="AA270" s="42" t="s">
        <v>597</v>
      </c>
      <c r="AB270" s="628"/>
      <c r="AC270" s="377" t="str">
        <f t="shared" si="45"/>
        <v/>
      </c>
      <c r="AD270" s="639" t="str">
        <f t="shared" si="46"/>
        <v/>
      </c>
      <c r="AE270" s="379" t="s">
        <v>749</v>
      </c>
      <c r="AF270" s="330"/>
    </row>
    <row r="271" spans="1:32" ht="11.25" customHeight="1" thickTop="1">
      <c r="A271" s="418">
        <v>7</v>
      </c>
      <c r="B271" s="110"/>
      <c r="K271" s="59"/>
      <c r="L271" s="465" t="s">
        <v>265</v>
      </c>
      <c r="M271" s="52"/>
      <c r="N271" s="50"/>
      <c r="O271" s="50"/>
      <c r="P271" s="50"/>
      <c r="Q271" s="50"/>
      <c r="R271" s="50"/>
      <c r="S271" s="100"/>
      <c r="T271" s="100"/>
      <c r="U271" s="100"/>
      <c r="V271" s="100"/>
      <c r="W271" s="53"/>
      <c r="X271" s="455" t="s">
        <v>265</v>
      </c>
      <c r="Y271" s="462"/>
      <c r="Z271" s="330"/>
      <c r="AA271" s="42" t="s">
        <v>598</v>
      </c>
      <c r="AB271" s="628"/>
      <c r="AC271" s="377" t="str">
        <f t="shared" si="45"/>
        <v/>
      </c>
      <c r="AD271" s="639" t="str">
        <f t="shared" si="46"/>
        <v/>
      </c>
      <c r="AE271" s="379" t="s">
        <v>750</v>
      </c>
      <c r="AF271" s="330"/>
    </row>
    <row r="272" spans="1:32" ht="11.25" customHeight="1">
      <c r="A272" s="418">
        <v>8</v>
      </c>
      <c r="B272" s="110"/>
      <c r="K272" s="59"/>
      <c r="L272" s="465" t="s">
        <v>265</v>
      </c>
      <c r="M272" s="110"/>
      <c r="R272" s="191" t="s">
        <v>398</v>
      </c>
      <c r="W272" s="59"/>
      <c r="X272" s="455" t="s">
        <v>265</v>
      </c>
      <c r="Y272" s="462"/>
      <c r="Z272" s="330"/>
      <c r="AA272" s="42" t="s">
        <v>599</v>
      </c>
      <c r="AB272" s="628"/>
      <c r="AC272" s="377" t="str">
        <f t="shared" si="45"/>
        <v/>
      </c>
      <c r="AD272" s="639" t="str">
        <f t="shared" si="46"/>
        <v/>
      </c>
      <c r="AE272" s="379" t="s">
        <v>751</v>
      </c>
      <c r="AF272" s="330"/>
    </row>
    <row r="273" spans="1:32" ht="11.25" customHeight="1">
      <c r="A273" s="418">
        <v>9</v>
      </c>
      <c r="B273" s="110"/>
      <c r="K273" s="59"/>
      <c r="L273" s="465" t="s">
        <v>265</v>
      </c>
      <c r="M273" s="110"/>
      <c r="W273" s="59"/>
      <c r="X273" s="455" t="s">
        <v>265</v>
      </c>
      <c r="Y273" s="462"/>
      <c r="Z273" s="330"/>
      <c r="AA273" s="115" t="s">
        <v>601</v>
      </c>
      <c r="AB273" s="254"/>
      <c r="AC273" s="377" t="str">
        <f t="shared" si="45"/>
        <v/>
      </c>
      <c r="AD273" s="330"/>
      <c r="AF273" s="330"/>
    </row>
    <row r="274" spans="1:32" ht="11.25" customHeight="1">
      <c r="A274" s="418">
        <v>10</v>
      </c>
      <c r="B274" s="110"/>
      <c r="K274" s="59"/>
      <c r="L274" s="465" t="s">
        <v>265</v>
      </c>
      <c r="M274" s="110"/>
      <c r="N274" s="42" t="s">
        <v>21</v>
      </c>
      <c r="O274" s="47" t="str">
        <f>IF($O$227="","",$O$227)</f>
        <v>Piranha CB2-19020491</v>
      </c>
      <c r="P274" s="47"/>
      <c r="Q274" s="36"/>
      <c r="W274" s="59"/>
      <c r="X274" s="455" t="s">
        <v>265</v>
      </c>
      <c r="Y274" s="462"/>
      <c r="Z274" s="330"/>
      <c r="AA274" s="42" t="s">
        <v>585</v>
      </c>
      <c r="AB274" s="628"/>
      <c r="AC274" s="377" t="str">
        <f t="shared" si="45"/>
        <v>Change</v>
      </c>
      <c r="AD274" s="639" t="str">
        <f t="shared" ref="AD274:AD291" si="47">IF(OR(Q542="",Q542=0),"",Q542)</f>
        <v>125 kV Full fan</v>
      </c>
      <c r="AE274" s="379" t="s">
        <v>752</v>
      </c>
      <c r="AF274" s="330"/>
    </row>
    <row r="275" spans="1:32" ht="11.25" customHeight="1">
      <c r="A275" s="418">
        <v>11</v>
      </c>
      <c r="B275" s="110"/>
      <c r="K275" s="59"/>
      <c r="L275" s="465" t="s">
        <v>265</v>
      </c>
      <c r="M275" s="110"/>
      <c r="W275" s="59"/>
      <c r="X275" s="455" t="s">
        <v>265</v>
      </c>
      <c r="Y275" s="462"/>
      <c r="Z275" s="330"/>
      <c r="AA275" s="42" t="s">
        <v>298</v>
      </c>
      <c r="AB275" s="628"/>
      <c r="AC275" s="377" t="str">
        <f t="shared" si="45"/>
        <v>Change</v>
      </c>
      <c r="AD275" s="639">
        <f t="shared" si="47"/>
        <v>125</v>
      </c>
      <c r="AE275" s="379" t="s">
        <v>753</v>
      </c>
      <c r="AF275" s="330"/>
    </row>
    <row r="276" spans="1:32" ht="11.25" customHeight="1">
      <c r="A276" s="418">
        <v>12</v>
      </c>
      <c r="B276" s="110"/>
      <c r="K276" s="59"/>
      <c r="L276" s="465" t="s">
        <v>265</v>
      </c>
      <c r="M276" s="223" t="s">
        <v>525</v>
      </c>
      <c r="N276" s="37"/>
      <c r="O276" s="37"/>
      <c r="P276" s="37"/>
      <c r="Q276" s="37"/>
      <c r="R276" s="37"/>
      <c r="S276" s="37"/>
      <c r="T276" s="37"/>
      <c r="U276" s="37"/>
      <c r="V276" s="37"/>
      <c r="W276" s="57"/>
      <c r="X276" s="455" t="s">
        <v>265</v>
      </c>
      <c r="Y276" s="462"/>
      <c r="Z276" s="330"/>
      <c r="AA276" s="42" t="s">
        <v>300</v>
      </c>
      <c r="AB276" s="628"/>
      <c r="AC276" s="377" t="str">
        <f t="shared" si="45"/>
        <v>Change</v>
      </c>
      <c r="AD276" s="639">
        <f t="shared" si="47"/>
        <v>60</v>
      </c>
      <c r="AE276" s="379" t="s">
        <v>754</v>
      </c>
      <c r="AF276" s="330"/>
    </row>
    <row r="277" spans="1:32" ht="11.25" customHeight="1">
      <c r="A277" s="418">
        <v>13</v>
      </c>
      <c r="B277" s="110"/>
      <c r="K277" s="59"/>
      <c r="L277" s="465" t="s">
        <v>265</v>
      </c>
      <c r="M277" s="54"/>
      <c r="N277" s="37"/>
      <c r="O277" s="37"/>
      <c r="P277" s="37"/>
      <c r="Q277" s="37"/>
      <c r="R277" s="37"/>
      <c r="S277" s="37"/>
      <c r="T277" s="37"/>
      <c r="U277" s="37"/>
      <c r="V277" s="37"/>
      <c r="W277" s="57"/>
      <c r="X277" s="455" t="s">
        <v>265</v>
      </c>
      <c r="Y277" s="462"/>
      <c r="Z277" s="330"/>
      <c r="AA277" s="42" t="s">
        <v>355</v>
      </c>
      <c r="AB277" s="628"/>
      <c r="AC277" s="377" t="str">
        <f t="shared" si="45"/>
        <v>Change</v>
      </c>
      <c r="AD277" s="639">
        <f t="shared" si="47"/>
        <v>1.2</v>
      </c>
      <c r="AE277" s="379" t="s">
        <v>755</v>
      </c>
      <c r="AF277" s="330"/>
    </row>
    <row r="278" spans="1:32" ht="11.25" customHeight="1">
      <c r="A278" s="418">
        <v>14</v>
      </c>
      <c r="B278" s="110"/>
      <c r="K278" s="59"/>
      <c r="L278" s="465" t="s">
        <v>265</v>
      </c>
      <c r="M278" s="54" t="s">
        <v>29</v>
      </c>
      <c r="N278" s="161" t="s">
        <v>53</v>
      </c>
      <c r="O278" s="161" t="s">
        <v>31</v>
      </c>
      <c r="P278" s="161" t="s">
        <v>32</v>
      </c>
      <c r="Q278" s="37"/>
      <c r="R278" s="161"/>
      <c r="S278" s="161" t="s">
        <v>34</v>
      </c>
      <c r="T278" s="54"/>
      <c r="U278" s="38" t="s">
        <v>35</v>
      </c>
      <c r="V278" s="37"/>
      <c r="W278" s="57"/>
      <c r="X278" s="455" t="s">
        <v>265</v>
      </c>
      <c r="Y278" s="462"/>
      <c r="Z278" s="330"/>
      <c r="AA278" s="42" t="s">
        <v>586</v>
      </c>
      <c r="AB278" s="628"/>
      <c r="AC278" s="377" t="str">
        <f t="shared" si="45"/>
        <v/>
      </c>
      <c r="AD278" s="639" t="str">
        <f t="shared" si="47"/>
        <v/>
      </c>
      <c r="AE278" s="379" t="s">
        <v>756</v>
      </c>
      <c r="AF278" s="330"/>
    </row>
    <row r="279" spans="1:32" ht="11.25" customHeight="1" thickBot="1">
      <c r="A279" s="418">
        <v>15</v>
      </c>
      <c r="B279" s="110"/>
      <c r="K279" s="59"/>
      <c r="L279" s="465" t="s">
        <v>265</v>
      </c>
      <c r="M279" s="162" t="s">
        <v>36</v>
      </c>
      <c r="N279" s="121" t="str">
        <f>LFSDD</f>
        <v>cm</v>
      </c>
      <c r="O279" s="121" t="s">
        <v>37</v>
      </c>
      <c r="P279" s="121" t="s">
        <v>22</v>
      </c>
      <c r="Q279" s="121" t="s">
        <v>38</v>
      </c>
      <c r="R279" s="121" t="str">
        <f>IF(AND(LFMAS="",SFMAS=""),"mA/mAs",IF(O280="Large",LFMAS,SFMAS))</f>
        <v>mAs</v>
      </c>
      <c r="S279" s="121" t="s">
        <v>39</v>
      </c>
      <c r="T279" s="162" t="s">
        <v>40</v>
      </c>
      <c r="U279" s="121" t="s">
        <v>41</v>
      </c>
      <c r="V279" s="121" t="s">
        <v>39</v>
      </c>
      <c r="W279" s="166" t="s">
        <v>512</v>
      </c>
      <c r="X279" s="455" t="s">
        <v>265</v>
      </c>
      <c r="Y279" s="462"/>
      <c r="Z279" s="330"/>
      <c r="AA279" s="42" t="s">
        <v>587</v>
      </c>
      <c r="AB279" s="628"/>
      <c r="AC279" s="377" t="str">
        <f t="shared" si="45"/>
        <v/>
      </c>
      <c r="AD279" s="639" t="str">
        <f t="shared" si="47"/>
        <v/>
      </c>
      <c r="AE279" s="379" t="s">
        <v>757</v>
      </c>
      <c r="AF279" s="330"/>
    </row>
    <row r="280" spans="1:32" ht="11.25" customHeight="1">
      <c r="A280" s="418">
        <v>16</v>
      </c>
      <c r="B280" s="110"/>
      <c r="K280" s="59"/>
      <c r="L280" s="465" t="s">
        <v>265</v>
      </c>
      <c r="M280" s="796"/>
      <c r="N280" s="263">
        <f>$N$234</f>
        <v>100</v>
      </c>
      <c r="O280" s="160" t="str">
        <f>$O$234</f>
        <v>Large</v>
      </c>
      <c r="P280" s="797"/>
      <c r="Q280" s="159">
        <f>Sheet1!A5</f>
        <v>80</v>
      </c>
      <c r="R280" s="308" cm="1">
        <f t="array" ref="R280">_xlfn.SWITCH(LFMAS,"mA",Sheet1!B5,"mAs",Sheet1!C5)</f>
        <v>20</v>
      </c>
      <c r="S280" s="164" t="str" cm="1">
        <f t="array" ref="S280">_xlfn.SWITCH(LFMAS,"mA",Sheet1!D5,"mAs","")</f>
        <v/>
      </c>
      <c r="T280" s="806"/>
      <c r="U280" s="160" t="str">
        <f>IF(Sheet1!G5="","",Sheet1!G5)</f>
        <v/>
      </c>
      <c r="V280" s="164" t="str">
        <f>IF(Sheet1!H5="","",Sheet1!H5)</f>
        <v/>
      </c>
      <c r="W280" s="321" t="str">
        <f>IF(Sheet1!I5="","",Sheet1!I5)</f>
        <v/>
      </c>
      <c r="X280" s="455" t="s">
        <v>265</v>
      </c>
      <c r="Y280" s="462"/>
      <c r="Z280" s="330"/>
      <c r="AA280" s="42" t="s">
        <v>588</v>
      </c>
      <c r="AB280" s="628"/>
      <c r="AC280" s="377" t="str">
        <f t="shared" si="45"/>
        <v/>
      </c>
      <c r="AD280" s="639" t="str">
        <f t="shared" si="47"/>
        <v/>
      </c>
      <c r="AE280" s="379" t="s">
        <v>758</v>
      </c>
      <c r="AF280" s="330"/>
    </row>
    <row r="281" spans="1:32" ht="11.25" customHeight="1">
      <c r="A281" s="418">
        <v>17</v>
      </c>
      <c r="B281" s="110"/>
      <c r="K281" s="59"/>
      <c r="L281" s="465" t="s">
        <v>265</v>
      </c>
      <c r="M281" s="796"/>
      <c r="N281" s="263">
        <f>IF(OR(N$280="",$Q281=""),"",N$280)</f>
        <v>100</v>
      </c>
      <c r="O281" s="160" t="str">
        <f>IF(Q281="","",O280)</f>
        <v>Large</v>
      </c>
      <c r="P281" s="797"/>
      <c r="Q281" s="159">
        <f>Sheet1!A6</f>
        <v>80</v>
      </c>
      <c r="R281" s="308" cm="1">
        <f t="array" ref="R281">_xlfn.SWITCH(LFMAS,"mA",Sheet1!B6,"mAs",Sheet1!C6)</f>
        <v>20</v>
      </c>
      <c r="S281" s="164" t="str" cm="1">
        <f t="array" ref="S281">_xlfn.SWITCH(LFMAS,"mA",Sheet1!D6,"mAs","")</f>
        <v/>
      </c>
      <c r="T281" s="806"/>
      <c r="U281" s="160" t="str">
        <f>IF(Sheet1!G6="","",Sheet1!G6)</f>
        <v/>
      </c>
      <c r="V281" s="164" t="str">
        <f>IF(Sheet1!H6="","",Sheet1!H6)</f>
        <v/>
      </c>
      <c r="W281" s="321" t="str">
        <f>IF(Sheet1!I6="","",Sheet1!I6)</f>
        <v/>
      </c>
      <c r="X281" s="455" t="s">
        <v>265</v>
      </c>
      <c r="Y281" s="462"/>
      <c r="Z281" s="330"/>
      <c r="AA281" s="42" t="s">
        <v>589</v>
      </c>
      <c r="AB281" s="628"/>
      <c r="AC281" s="377" t="str">
        <f t="shared" si="45"/>
        <v/>
      </c>
      <c r="AD281" s="639" t="str">
        <f t="shared" si="47"/>
        <v/>
      </c>
      <c r="AE281" s="379" t="s">
        <v>759</v>
      </c>
      <c r="AF281" s="330"/>
    </row>
    <row r="282" spans="1:32" ht="11.25" customHeight="1">
      <c r="A282" s="418">
        <v>18</v>
      </c>
      <c r="B282" s="110"/>
      <c r="K282" s="59"/>
      <c r="L282" s="465" t="s">
        <v>265</v>
      </c>
      <c r="M282" s="796"/>
      <c r="N282" s="263">
        <f>IF(OR(N$280="",$Q282=""),"",N$280)</f>
        <v>100</v>
      </c>
      <c r="O282" s="160" t="str">
        <f>IF(Q282="","",O281)</f>
        <v>Large</v>
      </c>
      <c r="P282" s="797"/>
      <c r="Q282" s="159">
        <f>Sheet1!A7</f>
        <v>80</v>
      </c>
      <c r="R282" s="308" cm="1">
        <f t="array" ref="R282">_xlfn.SWITCH(LFMAS,"mA",Sheet1!B7,"mAs",Sheet1!C7)</f>
        <v>20</v>
      </c>
      <c r="S282" s="164" t="str" cm="1">
        <f t="array" ref="S282">_xlfn.SWITCH(LFMAS,"mA",Sheet1!D7,"mAs","")</f>
        <v/>
      </c>
      <c r="T282" s="806"/>
      <c r="U282" s="160" t="str">
        <f>IF(Sheet1!G7="","",Sheet1!G7)</f>
        <v/>
      </c>
      <c r="V282" s="164" t="str">
        <f>IF(Sheet1!H7="","",Sheet1!H7)</f>
        <v/>
      </c>
      <c r="W282" s="321" t="str">
        <f>IF(Sheet1!I7="","",Sheet1!I7)</f>
        <v/>
      </c>
      <c r="X282" s="455" t="s">
        <v>265</v>
      </c>
      <c r="Y282" s="462"/>
      <c r="Z282" s="330"/>
      <c r="AA282" s="42" t="s">
        <v>590</v>
      </c>
      <c r="AB282" s="628"/>
      <c r="AC282" s="377" t="str">
        <f t="shared" si="45"/>
        <v/>
      </c>
      <c r="AD282" s="639" t="str">
        <f t="shared" si="47"/>
        <v/>
      </c>
      <c r="AE282" s="379" t="s">
        <v>760</v>
      </c>
      <c r="AF282" s="330"/>
    </row>
    <row r="283" spans="1:32" ht="11.25" customHeight="1">
      <c r="A283" s="418">
        <v>19</v>
      </c>
      <c r="B283" s="110"/>
      <c r="K283" s="59"/>
      <c r="L283" s="465" t="s">
        <v>265</v>
      </c>
      <c r="M283" s="796"/>
      <c r="N283" s="263">
        <f>IF(OR(N$280="",$Q283=""),"",N$280)</f>
        <v>100</v>
      </c>
      <c r="O283" s="160" t="str">
        <f>IF(Q283="","",O282)</f>
        <v>Large</v>
      </c>
      <c r="P283" s="797"/>
      <c r="Q283" s="159">
        <f>Sheet1!A8</f>
        <v>80</v>
      </c>
      <c r="R283" s="308" cm="1">
        <f t="array" ref="R283">_xlfn.SWITCH(LFMAS,"mA",Sheet1!B8,"mAs",Sheet1!C8)</f>
        <v>20</v>
      </c>
      <c r="S283" s="164" t="str" cm="1">
        <f t="array" ref="S283">_xlfn.SWITCH(LFMAS,"mA",Sheet1!D8,"mAs","")</f>
        <v/>
      </c>
      <c r="T283" s="806"/>
      <c r="U283" s="160" t="str">
        <f>IF(Sheet1!G8="","",Sheet1!G8)</f>
        <v/>
      </c>
      <c r="V283" s="164" t="str">
        <f>IF(Sheet1!H8="","",Sheet1!H8)</f>
        <v/>
      </c>
      <c r="W283" s="321" t="str">
        <f>IF(Sheet1!I8="","",Sheet1!I8)</f>
        <v/>
      </c>
      <c r="X283" s="455" t="s">
        <v>265</v>
      </c>
      <c r="Y283" s="462"/>
      <c r="Z283" s="330"/>
      <c r="AA283" s="42" t="s">
        <v>591</v>
      </c>
      <c r="AB283" s="628"/>
      <c r="AC283" s="377" t="str">
        <f t="shared" si="45"/>
        <v>Change</v>
      </c>
      <c r="AD283" s="639" t="str">
        <f t="shared" si="47"/>
        <v>A</v>
      </c>
      <c r="AE283" s="379" t="s">
        <v>761</v>
      </c>
      <c r="AF283" s="330"/>
    </row>
    <row r="284" spans="1:32" ht="11.25" customHeight="1">
      <c r="A284" s="418">
        <v>20</v>
      </c>
      <c r="B284" s="110"/>
      <c r="K284" s="59"/>
      <c r="L284" s="465" t="s">
        <v>265</v>
      </c>
      <c r="M284" s="796"/>
      <c r="N284" s="263">
        <f>IF(OR(N$280="",$Q284=""),"",N$280)</f>
        <v>100</v>
      </c>
      <c r="O284" s="160" t="str">
        <f>IF(Q284="","",O283)</f>
        <v>Large</v>
      </c>
      <c r="P284" s="797"/>
      <c r="Q284" s="159">
        <f>Sheet1!A9</f>
        <v>80</v>
      </c>
      <c r="R284" s="308" cm="1">
        <f t="array" ref="R284">_xlfn.SWITCH(LFMAS,"mA",Sheet1!B9,"mAs",Sheet1!C9)</f>
        <v>20</v>
      </c>
      <c r="S284" s="164" t="str" cm="1">
        <f t="array" ref="S284">_xlfn.SWITCH(LFMAS,"mA",Sheet1!D9,"mAs","")</f>
        <v/>
      </c>
      <c r="T284" s="806"/>
      <c r="U284" s="160" t="str">
        <f>IF(Sheet1!G9="","",Sheet1!G9)</f>
        <v/>
      </c>
      <c r="V284" s="164" t="str">
        <f>IF(Sheet1!H9="","",Sheet1!H9)</f>
        <v/>
      </c>
      <c r="W284" s="321" t="str">
        <f>IF(Sheet1!I9="","",Sheet1!I9)</f>
        <v/>
      </c>
      <c r="X284" s="455" t="s">
        <v>265</v>
      </c>
      <c r="Y284" s="462"/>
      <c r="Z284" s="330"/>
      <c r="AA284" s="42" t="s">
        <v>592</v>
      </c>
      <c r="AB284" s="628"/>
      <c r="AC284" s="377" t="str">
        <f t="shared" si="45"/>
        <v>Change</v>
      </c>
      <c r="AD284" s="639">
        <f t="shared" si="47"/>
        <v>280</v>
      </c>
      <c r="AE284" s="379" t="s">
        <v>762</v>
      </c>
      <c r="AF284" s="330"/>
    </row>
    <row r="285" spans="1:32" ht="11.25" customHeight="1">
      <c r="A285" s="418">
        <v>21</v>
      </c>
      <c r="B285" s="110"/>
      <c r="K285" s="59"/>
      <c r="L285" s="465" t="s">
        <v>265</v>
      </c>
      <c r="M285" s="796"/>
      <c r="N285" s="159" t="str">
        <f t="shared" ref="N285:O289" si="48">IF(AND($T285="",$V285=""),"",N$280)</f>
        <v/>
      </c>
      <c r="O285" s="159" t="str">
        <f t="shared" si="48"/>
        <v/>
      </c>
      <c r="P285" s="797"/>
      <c r="Q285" s="159" t="str">
        <f t="shared" ref="Q285:S289" si="49">IF(AND($T285="",$V285=""),"",Q$280)</f>
        <v/>
      </c>
      <c r="R285" s="159" t="str">
        <f t="shared" si="49"/>
        <v/>
      </c>
      <c r="S285" s="159" t="str">
        <f t="shared" si="49"/>
        <v/>
      </c>
      <c r="T285" s="800"/>
      <c r="U285" s="427"/>
      <c r="V285" s="428"/>
      <c r="W285" s="429"/>
      <c r="X285" s="455" t="s">
        <v>265</v>
      </c>
      <c r="Y285" s="462"/>
      <c r="Z285" s="330"/>
      <c r="AA285" s="42" t="s">
        <v>593</v>
      </c>
      <c r="AB285" s="628"/>
      <c r="AC285" s="377" t="str">
        <f t="shared" si="45"/>
        <v>Change</v>
      </c>
      <c r="AD285" s="639">
        <f t="shared" si="47"/>
        <v>1</v>
      </c>
      <c r="AE285" s="379" t="s">
        <v>763</v>
      </c>
      <c r="AF285" s="330"/>
    </row>
    <row r="286" spans="1:32" ht="11.25" customHeight="1">
      <c r="A286" s="418">
        <v>22</v>
      </c>
      <c r="B286" s="110"/>
      <c r="K286" s="59"/>
      <c r="L286" s="465" t="s">
        <v>265</v>
      </c>
      <c r="M286" s="796"/>
      <c r="N286" s="159" t="str">
        <f t="shared" si="48"/>
        <v/>
      </c>
      <c r="O286" s="159" t="str">
        <f t="shared" si="48"/>
        <v/>
      </c>
      <c r="P286" s="797"/>
      <c r="Q286" s="159" t="str">
        <f t="shared" si="49"/>
        <v/>
      </c>
      <c r="R286" s="159" t="str">
        <f t="shared" si="49"/>
        <v/>
      </c>
      <c r="S286" s="159" t="str">
        <f t="shared" si="49"/>
        <v/>
      </c>
      <c r="T286" s="800"/>
      <c r="U286" s="427"/>
      <c r="V286" s="428"/>
      <c r="W286" s="429"/>
      <c r="X286" s="455" t="s">
        <v>265</v>
      </c>
      <c r="Y286" s="462"/>
      <c r="Z286" s="330"/>
      <c r="AA286" s="42" t="s">
        <v>594</v>
      </c>
      <c r="AB286" s="628"/>
      <c r="AC286" s="377" t="str">
        <f t="shared" si="45"/>
        <v>Change</v>
      </c>
      <c r="AD286" s="639">
        <f t="shared" si="47"/>
        <v>280</v>
      </c>
      <c r="AE286" s="379" t="s">
        <v>764</v>
      </c>
      <c r="AF286" s="330"/>
    </row>
    <row r="287" spans="1:32" ht="11.25" customHeight="1">
      <c r="A287" s="418">
        <v>23</v>
      </c>
      <c r="B287" s="110"/>
      <c r="K287" s="59"/>
      <c r="L287" s="465" t="s">
        <v>265</v>
      </c>
      <c r="M287" s="796"/>
      <c r="N287" s="159" t="str">
        <f t="shared" si="48"/>
        <v/>
      </c>
      <c r="O287" s="159" t="str">
        <f t="shared" si="48"/>
        <v/>
      </c>
      <c r="P287" s="797"/>
      <c r="Q287" s="159" t="str">
        <f t="shared" si="49"/>
        <v/>
      </c>
      <c r="R287" s="159" t="str">
        <f t="shared" si="49"/>
        <v/>
      </c>
      <c r="S287" s="159" t="str">
        <f t="shared" si="49"/>
        <v/>
      </c>
      <c r="T287" s="800"/>
      <c r="U287" s="427"/>
      <c r="V287" s="428"/>
      <c r="W287" s="429"/>
      <c r="X287" s="455" t="s">
        <v>265</v>
      </c>
      <c r="Y287" s="462"/>
      <c r="Z287" s="330"/>
      <c r="AA287" s="42" t="s">
        <v>595</v>
      </c>
      <c r="AB287" s="628"/>
      <c r="AC287" s="377" t="str">
        <f t="shared" si="45"/>
        <v>Change</v>
      </c>
      <c r="AD287" s="639">
        <f t="shared" si="47"/>
        <v>1</v>
      </c>
      <c r="AE287" s="379" t="s">
        <v>765</v>
      </c>
      <c r="AF287" s="330"/>
    </row>
    <row r="288" spans="1:32" ht="11.25" customHeight="1">
      <c r="A288" s="418">
        <v>24</v>
      </c>
      <c r="B288" s="110"/>
      <c r="K288" s="59"/>
      <c r="L288" s="465" t="s">
        <v>265</v>
      </c>
      <c r="M288" s="796"/>
      <c r="N288" s="159" t="str">
        <f t="shared" si="48"/>
        <v/>
      </c>
      <c r="O288" s="159" t="str">
        <f t="shared" si="48"/>
        <v/>
      </c>
      <c r="P288" s="797"/>
      <c r="Q288" s="159" t="str">
        <f t="shared" si="49"/>
        <v/>
      </c>
      <c r="R288" s="159" t="str">
        <f t="shared" si="49"/>
        <v/>
      </c>
      <c r="S288" s="159" t="str">
        <f t="shared" si="49"/>
        <v/>
      </c>
      <c r="T288" s="800"/>
      <c r="U288" s="427"/>
      <c r="V288" s="428"/>
      <c r="W288" s="429"/>
      <c r="X288" s="455" t="s">
        <v>265</v>
      </c>
      <c r="Y288" s="462"/>
      <c r="Z288" s="330"/>
      <c r="AA288" s="42" t="s">
        <v>596</v>
      </c>
      <c r="AB288" s="628"/>
      <c r="AC288" s="377" t="str">
        <f t="shared" si="45"/>
        <v/>
      </c>
      <c r="AD288" s="639" t="str">
        <f t="shared" si="47"/>
        <v/>
      </c>
      <c r="AE288" s="379" t="s">
        <v>766</v>
      </c>
      <c r="AF288" s="330"/>
    </row>
    <row r="289" spans="1:32" ht="11.25" customHeight="1" thickBot="1">
      <c r="A289" s="418">
        <v>25</v>
      </c>
      <c r="B289" s="110"/>
      <c r="K289" s="59"/>
      <c r="L289" s="465" t="s">
        <v>265</v>
      </c>
      <c r="M289" s="804"/>
      <c r="N289" s="167" t="str">
        <f t="shared" si="48"/>
        <v/>
      </c>
      <c r="O289" s="167" t="str">
        <f t="shared" si="48"/>
        <v/>
      </c>
      <c r="P289" s="805"/>
      <c r="Q289" s="167" t="str">
        <f t="shared" si="49"/>
        <v/>
      </c>
      <c r="R289" s="167" t="str">
        <f t="shared" si="49"/>
        <v/>
      </c>
      <c r="S289" s="167" t="str">
        <f t="shared" si="49"/>
        <v/>
      </c>
      <c r="T289" s="807"/>
      <c r="U289" s="430"/>
      <c r="V289" s="431"/>
      <c r="W289" s="432"/>
      <c r="X289" s="455" t="s">
        <v>265</v>
      </c>
      <c r="Y289" s="462"/>
      <c r="Z289" s="330"/>
      <c r="AA289" s="42" t="s">
        <v>597</v>
      </c>
      <c r="AB289" s="628"/>
      <c r="AC289" s="377" t="str">
        <f t="shared" si="45"/>
        <v/>
      </c>
      <c r="AD289" s="639" t="str">
        <f t="shared" si="47"/>
        <v/>
      </c>
      <c r="AE289" s="379" t="s">
        <v>767</v>
      </c>
      <c r="AF289" s="330"/>
    </row>
    <row r="290" spans="1:32" ht="11.25" customHeight="1" thickTop="1">
      <c r="A290" s="418">
        <v>26</v>
      </c>
      <c r="B290" s="110"/>
      <c r="K290" s="59"/>
      <c r="L290" s="465" t="s">
        <v>265</v>
      </c>
      <c r="M290" s="412" t="s">
        <v>55</v>
      </c>
      <c r="N290" s="100"/>
      <c r="O290" s="100"/>
      <c r="P290" s="100"/>
      <c r="Q290" s="100"/>
      <c r="R290" s="100"/>
      <c r="S290" s="100"/>
      <c r="T290" s="100"/>
      <c r="U290" s="100"/>
      <c r="V290" s="100"/>
      <c r="W290" s="53"/>
      <c r="X290" s="455" t="s">
        <v>265</v>
      </c>
      <c r="Y290" s="462"/>
      <c r="Z290" s="330"/>
      <c r="AA290" s="42" t="s">
        <v>598</v>
      </c>
      <c r="AB290" s="628"/>
      <c r="AC290" s="377" t="str">
        <f t="shared" si="45"/>
        <v/>
      </c>
      <c r="AD290" s="639" t="str">
        <f t="shared" si="47"/>
        <v/>
      </c>
      <c r="AE290" s="379" t="s">
        <v>768</v>
      </c>
      <c r="AF290" s="330"/>
    </row>
    <row r="291" spans="1:32" ht="11.25" customHeight="1">
      <c r="A291" s="418">
        <v>27</v>
      </c>
      <c r="B291" s="110"/>
      <c r="K291" s="59"/>
      <c r="L291" s="465" t="s">
        <v>265</v>
      </c>
      <c r="M291" s="54"/>
      <c r="N291" s="416" t="s">
        <v>100</v>
      </c>
      <c r="O291" s="606" t="str">
        <f>IF(O292&lt;&gt;"",O292,IF(OR(AB213=0,AB213=""),"",AB213))</f>
        <v/>
      </c>
      <c r="P291" s="36"/>
      <c r="Q291" s="36"/>
      <c r="R291" s="36"/>
      <c r="S291" s="36"/>
      <c r="T291" s="36"/>
      <c r="U291" s="36"/>
      <c r="V291" s="36"/>
      <c r="W291" s="91"/>
      <c r="X291" s="455" t="s">
        <v>265</v>
      </c>
      <c r="Y291" s="462"/>
      <c r="Z291" s="330"/>
      <c r="AA291" s="42" t="s">
        <v>599</v>
      </c>
      <c r="AB291" s="628"/>
      <c r="AC291" s="377" t="str">
        <f t="shared" si="45"/>
        <v/>
      </c>
      <c r="AD291" s="639" t="str">
        <f t="shared" si="47"/>
        <v/>
      </c>
      <c r="AE291" s="379" t="s">
        <v>769</v>
      </c>
      <c r="AF291" s="330"/>
    </row>
    <row r="292" spans="1:32" ht="11.25" customHeight="1" thickBot="1">
      <c r="A292" s="418">
        <v>28</v>
      </c>
      <c r="B292" s="110"/>
      <c r="K292" s="59"/>
      <c r="L292" s="465" t="s">
        <v>265</v>
      </c>
      <c r="M292" s="73"/>
      <c r="N292" s="605" t="s">
        <v>366</v>
      </c>
      <c r="O292" s="607"/>
      <c r="P292" s="559">
        <f>LEN(O291)</f>
        <v>0</v>
      </c>
      <c r="Q292" s="36"/>
      <c r="R292" s="36"/>
      <c r="S292" s="36"/>
      <c r="T292" s="36"/>
      <c r="U292" s="36"/>
      <c r="V292" s="36"/>
      <c r="W292" s="91"/>
      <c r="X292" s="455" t="s">
        <v>265</v>
      </c>
      <c r="Y292" s="462"/>
      <c r="Z292" s="330"/>
      <c r="AA292" s="115" t="s">
        <v>602</v>
      </c>
      <c r="AB292" s="254"/>
      <c r="AC292" s="377" t="str">
        <f t="shared" si="45"/>
        <v/>
      </c>
      <c r="AF292" s="330"/>
    </row>
    <row r="293" spans="1:32" ht="11.25" customHeight="1" thickBot="1">
      <c r="A293" s="418">
        <v>29</v>
      </c>
      <c r="B293" s="110"/>
      <c r="K293" s="59"/>
      <c r="L293" s="465" t="s">
        <v>265</v>
      </c>
      <c r="M293" s="54"/>
      <c r="N293" s="416" t="s">
        <v>100</v>
      </c>
      <c r="O293" s="606" t="str">
        <f>IF(O294&lt;&gt;"",O294,IF(OR(AB214=0,AB214=""),"",AB214))</f>
        <v/>
      </c>
      <c r="P293" s="583"/>
      <c r="Q293" s="36"/>
      <c r="R293" s="36"/>
      <c r="S293" s="36"/>
      <c r="U293" s="550" t="s">
        <v>298</v>
      </c>
      <c r="V293" s="550" t="s">
        <v>512</v>
      </c>
      <c r="W293" s="715" t="s">
        <v>301</v>
      </c>
      <c r="X293" s="455" t="s">
        <v>265</v>
      </c>
      <c r="Y293" s="462"/>
      <c r="Z293" s="330"/>
      <c r="AA293" s="42" t="s">
        <v>585</v>
      </c>
      <c r="AB293" s="628"/>
      <c r="AC293" s="377" t="str">
        <f t="shared" si="45"/>
        <v/>
      </c>
      <c r="AD293" s="639" t="str">
        <f t="shared" ref="AD293:AD310" si="50">IF(OR(R542="",R542=0),"",R542)</f>
        <v/>
      </c>
      <c r="AE293" s="379" t="s">
        <v>770</v>
      </c>
      <c r="AF293" s="330"/>
    </row>
    <row r="294" spans="1:32" ht="11.25" customHeight="1" thickBot="1">
      <c r="A294" s="418">
        <v>30</v>
      </c>
      <c r="B294" s="110"/>
      <c r="K294" s="59"/>
      <c r="L294" s="465" t="s">
        <v>265</v>
      </c>
      <c r="M294" s="54"/>
      <c r="N294" s="115" t="s">
        <v>366</v>
      </c>
      <c r="O294" s="607"/>
      <c r="P294" s="558">
        <f>LEN(O293)</f>
        <v>0</v>
      </c>
      <c r="Q294" s="37"/>
      <c r="R294" s="37"/>
      <c r="S294" s="37"/>
      <c r="T294" s="550" t="s">
        <v>353</v>
      </c>
      <c r="U294" s="5" t="str">
        <f>IF(U280="","NA",IF(E428="TBD","TBD",IF(E428&gt;0.05,"NO","YES")))</f>
        <v>NA</v>
      </c>
      <c r="V294" s="225" t="str">
        <f>IF(W280="","NA",IF(F428="TBD","TBD",IF(F428&gt;0.05,"NO","YES")))</f>
        <v>NA</v>
      </c>
      <c r="W294" s="716" t="str">
        <f>IF(M332&lt;&gt;1,"NA",IF(K497="TBD","TBD",IF(K497&gt;=0.05,"NO","YES")))</f>
        <v>NA</v>
      </c>
      <c r="X294" s="455" t="s">
        <v>265</v>
      </c>
      <c r="Y294" s="462"/>
      <c r="Z294" s="330"/>
      <c r="AA294" s="42" t="s">
        <v>298</v>
      </c>
      <c r="AB294" s="628"/>
      <c r="AC294" s="377" t="str">
        <f t="shared" si="45"/>
        <v/>
      </c>
      <c r="AD294" s="639" t="str">
        <f t="shared" si="50"/>
        <v/>
      </c>
      <c r="AE294" s="379" t="s">
        <v>771</v>
      </c>
      <c r="AF294" s="330"/>
    </row>
    <row r="295" spans="1:32" ht="11.25" customHeight="1">
      <c r="A295" s="418">
        <v>31</v>
      </c>
      <c r="B295" s="110"/>
      <c r="K295" s="59"/>
      <c r="L295" s="465" t="s">
        <v>265</v>
      </c>
      <c r="M295" s="223" t="s">
        <v>526</v>
      </c>
      <c r="N295" s="37"/>
      <c r="O295" s="37"/>
      <c r="P295" s="37"/>
      <c r="Q295" s="37"/>
      <c r="R295" s="37"/>
      <c r="S295" s="37"/>
      <c r="T295" s="37"/>
      <c r="U295" s="37"/>
      <c r="V295" s="37"/>
      <c r="W295" s="57"/>
      <c r="X295" s="455" t="s">
        <v>265</v>
      </c>
      <c r="Y295" s="462"/>
      <c r="Z295" s="330"/>
      <c r="AA295" s="42" t="s">
        <v>300</v>
      </c>
      <c r="AB295" s="628"/>
      <c r="AC295" s="377" t="str">
        <f t="shared" si="45"/>
        <v/>
      </c>
      <c r="AD295" s="639" t="str">
        <f t="shared" si="50"/>
        <v/>
      </c>
      <c r="AE295" s="379" t="s">
        <v>772</v>
      </c>
      <c r="AF295" s="330"/>
    </row>
    <row r="296" spans="1:32" ht="11.25" customHeight="1">
      <c r="A296" s="418">
        <v>32</v>
      </c>
      <c r="B296" s="110"/>
      <c r="K296" s="59"/>
      <c r="L296" s="465" t="s">
        <v>265</v>
      </c>
      <c r="M296" s="54"/>
      <c r="N296" s="37"/>
      <c r="O296" s="37"/>
      <c r="P296" s="37"/>
      <c r="Q296" s="37"/>
      <c r="R296" s="37"/>
      <c r="S296" s="37"/>
      <c r="T296" s="37"/>
      <c r="U296" s="37"/>
      <c r="V296" s="37"/>
      <c r="W296" s="57"/>
      <c r="X296" s="455" t="s">
        <v>265</v>
      </c>
      <c r="Y296" s="462"/>
      <c r="Z296" s="330"/>
      <c r="AA296" s="42" t="s">
        <v>355</v>
      </c>
      <c r="AB296" s="628"/>
      <c r="AC296" s="377" t="str">
        <f t="shared" si="45"/>
        <v/>
      </c>
      <c r="AD296" s="639" t="str">
        <f t="shared" si="50"/>
        <v/>
      </c>
      <c r="AE296" s="379" t="s">
        <v>773</v>
      </c>
      <c r="AF296" s="330"/>
    </row>
    <row r="297" spans="1:32" ht="11.25" customHeight="1">
      <c r="A297" s="418">
        <v>33</v>
      </c>
      <c r="B297" s="110"/>
      <c r="K297" s="59"/>
      <c r="L297" s="465" t="s">
        <v>265</v>
      </c>
      <c r="M297" s="54" t="s">
        <v>29</v>
      </c>
      <c r="N297" s="161" t="s">
        <v>53</v>
      </c>
      <c r="O297" s="161" t="s">
        <v>31</v>
      </c>
      <c r="P297" s="161" t="s">
        <v>32</v>
      </c>
      <c r="Q297" s="37"/>
      <c r="R297" s="161"/>
      <c r="S297" s="161" t="s">
        <v>34</v>
      </c>
      <c r="T297" s="108"/>
      <c r="U297" s="38" t="s">
        <v>35</v>
      </c>
      <c r="V297" s="37"/>
      <c r="W297" s="57"/>
      <c r="X297" s="455" t="s">
        <v>265</v>
      </c>
      <c r="Y297" s="462"/>
      <c r="Z297" s="330"/>
      <c r="AA297" s="42" t="s">
        <v>586</v>
      </c>
      <c r="AB297" s="628"/>
      <c r="AC297" s="377" t="str">
        <f t="shared" si="45"/>
        <v/>
      </c>
      <c r="AD297" s="639" t="str">
        <f t="shared" si="50"/>
        <v/>
      </c>
      <c r="AE297" s="379" t="s">
        <v>774</v>
      </c>
      <c r="AF297" s="330"/>
    </row>
    <row r="298" spans="1:32" ht="11.25" customHeight="1" thickBot="1">
      <c r="A298" s="418">
        <v>34</v>
      </c>
      <c r="B298" s="110"/>
      <c r="K298" s="59"/>
      <c r="L298" s="465" t="s">
        <v>265</v>
      </c>
      <c r="M298" s="162" t="s">
        <v>36</v>
      </c>
      <c r="N298" s="121" t="str">
        <f>SFSDD</f>
        <v>cm</v>
      </c>
      <c r="O298" s="121" t="s">
        <v>37</v>
      </c>
      <c r="P298" s="121" t="s">
        <v>22</v>
      </c>
      <c r="Q298" s="121" t="s">
        <v>38</v>
      </c>
      <c r="R298" s="121" t="str">
        <f>IF(AND(LFMAS="",SFMAS=""),"mA/mAs",IF(O299="Large",LFMAS,SFMAS))</f>
        <v>mAs</v>
      </c>
      <c r="S298" s="121" t="s">
        <v>39</v>
      </c>
      <c r="T298" s="193" t="s">
        <v>40</v>
      </c>
      <c r="U298" s="689" t="s">
        <v>41</v>
      </c>
      <c r="V298" s="689" t="s">
        <v>39</v>
      </c>
      <c r="W298" s="166" t="s">
        <v>512</v>
      </c>
      <c r="X298" s="455" t="s">
        <v>265</v>
      </c>
      <c r="Y298" s="462"/>
      <c r="Z298" s="330"/>
      <c r="AA298" s="42" t="s">
        <v>587</v>
      </c>
      <c r="AB298" s="628"/>
      <c r="AC298" s="377" t="str">
        <f t="shared" si="45"/>
        <v/>
      </c>
      <c r="AD298" s="639" t="str">
        <f t="shared" si="50"/>
        <v/>
      </c>
      <c r="AE298" s="379" t="s">
        <v>775</v>
      </c>
      <c r="AF298" s="330"/>
    </row>
    <row r="299" spans="1:32" ht="11.25" customHeight="1">
      <c r="A299" s="418">
        <v>35</v>
      </c>
      <c r="B299" s="110"/>
      <c r="K299" s="59"/>
      <c r="L299" s="465" t="s">
        <v>265</v>
      </c>
      <c r="M299" s="808"/>
      <c r="N299" s="263">
        <f>$N$234</f>
        <v>100</v>
      </c>
      <c r="O299" s="160" t="str">
        <f>$O$252</f>
        <v>Small</v>
      </c>
      <c r="P299" s="810"/>
      <c r="Q299" s="159">
        <f>Sheet1!A25</f>
        <v>90</v>
      </c>
      <c r="R299" s="308" cm="1">
        <f t="array" ref="R299">_xlfn.SWITCH(SFMAS,"mA",Sheet1!B25,"mAs",Sheet1!C25)</f>
        <v>10</v>
      </c>
      <c r="S299" s="164" t="str" cm="1">
        <f t="array" ref="S299">_xlfn.SWITCH(SFMAS,"mA",Sheet1!D25,"mAs","")</f>
        <v/>
      </c>
      <c r="T299" s="813"/>
      <c r="U299" s="331" t="str">
        <f>IF(Sheet1!G25="","",Sheet1!G25)</f>
        <v/>
      </c>
      <c r="V299" s="332" t="str">
        <f>IF(Sheet1!H25="","",Sheet1!H25)</f>
        <v/>
      </c>
      <c r="W299" s="333" t="str">
        <f>IF(Sheet1!I25="","",Sheet1!I25)</f>
        <v/>
      </c>
      <c r="X299" s="455" t="s">
        <v>265</v>
      </c>
      <c r="Y299" s="462"/>
      <c r="Z299" s="330"/>
      <c r="AA299" s="42" t="s">
        <v>588</v>
      </c>
      <c r="AB299" s="628"/>
      <c r="AC299" s="377" t="str">
        <f t="shared" si="45"/>
        <v/>
      </c>
      <c r="AD299" s="639" t="str">
        <f t="shared" si="50"/>
        <v/>
      </c>
      <c r="AE299" s="379" t="s">
        <v>776</v>
      </c>
      <c r="AF299" s="330"/>
    </row>
    <row r="300" spans="1:32" ht="11.25" customHeight="1">
      <c r="A300" s="418">
        <v>36</v>
      </c>
      <c r="B300" s="110"/>
      <c r="K300" s="59"/>
      <c r="L300" s="465" t="s">
        <v>265</v>
      </c>
      <c r="M300" s="808"/>
      <c r="N300" s="263">
        <f>IF(OR(N$299="",$Q300=""),"",N$299)</f>
        <v>100</v>
      </c>
      <c r="O300" s="160" t="str">
        <f>IF(Q300="","",O299)</f>
        <v>Small</v>
      </c>
      <c r="P300" s="810"/>
      <c r="Q300" s="159">
        <f>Sheet1!A26</f>
        <v>90</v>
      </c>
      <c r="R300" s="308" cm="1">
        <f t="array" ref="R300">_xlfn.SWITCH(SFMAS,"mA",Sheet1!B26,"mAs",Sheet1!C26)</f>
        <v>10</v>
      </c>
      <c r="S300" s="164" t="str" cm="1">
        <f t="array" ref="S300">_xlfn.SWITCH(SFMAS,"mA",Sheet1!D26,"mAs","")</f>
        <v/>
      </c>
      <c r="T300" s="813"/>
      <c r="U300" s="331" t="str">
        <f>IF(Sheet1!G26="","",Sheet1!G26)</f>
        <v/>
      </c>
      <c r="V300" s="332" t="str">
        <f>IF(Sheet1!H26="","",Sheet1!H26)</f>
        <v/>
      </c>
      <c r="W300" s="91" t="str">
        <f>IF(Sheet1!I26="","",Sheet1!I26)</f>
        <v/>
      </c>
      <c r="X300" s="455" t="s">
        <v>265</v>
      </c>
      <c r="Y300" s="462"/>
      <c r="Z300" s="330"/>
      <c r="AA300" s="42" t="s">
        <v>589</v>
      </c>
      <c r="AB300" s="628"/>
      <c r="AC300" s="377" t="str">
        <f t="shared" si="45"/>
        <v/>
      </c>
      <c r="AD300" s="639" t="str">
        <f t="shared" si="50"/>
        <v/>
      </c>
      <c r="AE300" s="379" t="s">
        <v>777</v>
      </c>
      <c r="AF300" s="330"/>
    </row>
    <row r="301" spans="1:32" ht="11.25" customHeight="1">
      <c r="A301" s="418">
        <v>37</v>
      </c>
      <c r="B301" s="110"/>
      <c r="K301" s="59"/>
      <c r="L301" s="465" t="s">
        <v>265</v>
      </c>
      <c r="M301" s="808"/>
      <c r="N301" s="263">
        <f>IF(OR(N$299="",$Q301=""),"",N$299)</f>
        <v>100</v>
      </c>
      <c r="O301" s="160" t="str">
        <f>IF(Q301="","",O300)</f>
        <v>Small</v>
      </c>
      <c r="P301" s="810"/>
      <c r="Q301" s="159">
        <f>Sheet1!A27</f>
        <v>90</v>
      </c>
      <c r="R301" s="308" cm="1">
        <f t="array" ref="R301">_xlfn.SWITCH(SFMAS,"mA",Sheet1!B27,"mAs",Sheet1!C27)</f>
        <v>10</v>
      </c>
      <c r="S301" s="164" t="str" cm="1">
        <f t="array" ref="S301">_xlfn.SWITCH(SFMAS,"mA",Sheet1!D27,"mAs","")</f>
        <v/>
      </c>
      <c r="T301" s="813"/>
      <c r="U301" s="331" t="str">
        <f>IF(Sheet1!G27="","",Sheet1!G27)</f>
        <v/>
      </c>
      <c r="V301" s="332" t="str">
        <f>IF(Sheet1!H27="","",Sheet1!H27)</f>
        <v/>
      </c>
      <c r="W301" s="91" t="str">
        <f>IF(Sheet1!I27="","",Sheet1!I27)</f>
        <v/>
      </c>
      <c r="X301" s="455" t="s">
        <v>265</v>
      </c>
      <c r="Y301" s="462"/>
      <c r="Z301" s="330"/>
      <c r="AA301" s="42" t="s">
        <v>590</v>
      </c>
      <c r="AB301" s="628"/>
      <c r="AC301" s="377" t="str">
        <f t="shared" si="45"/>
        <v/>
      </c>
      <c r="AD301" s="639" t="str">
        <f t="shared" si="50"/>
        <v/>
      </c>
      <c r="AE301" s="379" t="s">
        <v>778</v>
      </c>
      <c r="AF301" s="330"/>
    </row>
    <row r="302" spans="1:32" ht="11.25" customHeight="1">
      <c r="A302" s="418">
        <v>38</v>
      </c>
      <c r="B302" s="110"/>
      <c r="K302" s="59"/>
      <c r="L302" s="465" t="s">
        <v>265</v>
      </c>
      <c r="M302" s="808"/>
      <c r="N302" s="263">
        <f>IF(OR(N$299="",$Q302=""),"",N$299)</f>
        <v>100</v>
      </c>
      <c r="O302" s="160" t="str">
        <f>IF(Q302="","",O301)</f>
        <v>Small</v>
      </c>
      <c r="P302" s="810"/>
      <c r="Q302" s="159">
        <f>Sheet1!A28</f>
        <v>90</v>
      </c>
      <c r="R302" s="308" cm="1">
        <f t="array" ref="R302">_xlfn.SWITCH(SFMAS,"mA",Sheet1!B28,"mAs",Sheet1!C28)</f>
        <v>10</v>
      </c>
      <c r="S302" s="164" t="str" cm="1">
        <f t="array" ref="S302">_xlfn.SWITCH(SFMAS,"mA",Sheet1!D28,"mAs","")</f>
        <v/>
      </c>
      <c r="T302" s="813"/>
      <c r="U302" s="331" t="str">
        <f>IF(Sheet1!G28="","",Sheet1!G28)</f>
        <v/>
      </c>
      <c r="V302" s="332" t="str">
        <f>IF(Sheet1!H28="","",Sheet1!H28)</f>
        <v/>
      </c>
      <c r="W302" s="91" t="str">
        <f>IF(Sheet1!I28="","",Sheet1!I28)</f>
        <v/>
      </c>
      <c r="X302" s="455" t="s">
        <v>265</v>
      </c>
      <c r="Y302" s="462"/>
      <c r="Z302" s="330"/>
      <c r="AA302" s="42" t="s">
        <v>591</v>
      </c>
      <c r="AB302" s="628"/>
      <c r="AC302" s="377" t="str">
        <f t="shared" si="45"/>
        <v/>
      </c>
      <c r="AD302" s="639" t="str">
        <f t="shared" si="50"/>
        <v/>
      </c>
      <c r="AE302" s="379" t="s">
        <v>779</v>
      </c>
      <c r="AF302" s="330"/>
    </row>
    <row r="303" spans="1:32" ht="11.25" customHeight="1">
      <c r="A303" s="418">
        <v>39</v>
      </c>
      <c r="B303" s="110"/>
      <c r="K303" s="59"/>
      <c r="L303" s="465" t="s">
        <v>265</v>
      </c>
      <c r="M303" s="808"/>
      <c r="N303" s="263">
        <f>IF(OR(N$299="",$Q303=""),"",N$299)</f>
        <v>100</v>
      </c>
      <c r="O303" s="160" t="str">
        <f>IF(Q303="","",O302)</f>
        <v>Small</v>
      </c>
      <c r="P303" s="810"/>
      <c r="Q303" s="159">
        <f>Sheet1!A29</f>
        <v>90</v>
      </c>
      <c r="R303" s="308" cm="1">
        <f t="array" ref="R303">_xlfn.SWITCH(SFMAS,"mA",Sheet1!B29,"mAs",Sheet1!C29)</f>
        <v>10</v>
      </c>
      <c r="S303" s="164" t="str" cm="1">
        <f t="array" ref="S303">_xlfn.SWITCH(SFMAS,"mA",Sheet1!D29,"mAs","")</f>
        <v/>
      </c>
      <c r="T303" s="813"/>
      <c r="U303" s="331" t="str">
        <f>IF(Sheet1!G29="","",Sheet1!G29)</f>
        <v/>
      </c>
      <c r="V303" s="332" t="str">
        <f>IF(Sheet1!H29="","",Sheet1!H29)</f>
        <v/>
      </c>
      <c r="W303" s="91" t="str">
        <f>IF(Sheet1!I29="","",Sheet1!I29)</f>
        <v/>
      </c>
      <c r="X303" s="455" t="s">
        <v>265</v>
      </c>
      <c r="Y303" s="462"/>
      <c r="Z303" s="330"/>
      <c r="AA303" s="42" t="s">
        <v>592</v>
      </c>
      <c r="AB303" s="628"/>
      <c r="AC303" s="377" t="str">
        <f t="shared" si="45"/>
        <v/>
      </c>
      <c r="AD303" s="639" t="str">
        <f t="shared" si="50"/>
        <v/>
      </c>
      <c r="AE303" s="379" t="s">
        <v>780</v>
      </c>
      <c r="AF303" s="330"/>
    </row>
    <row r="304" spans="1:32" ht="11.25" customHeight="1">
      <c r="A304" s="418">
        <v>40</v>
      </c>
      <c r="B304" s="110"/>
      <c r="K304" s="59"/>
      <c r="L304" s="465" t="s">
        <v>265</v>
      </c>
      <c r="M304" s="806"/>
      <c r="N304" s="159" t="str">
        <f t="shared" ref="N304:O308" si="51">IF(AND($T304="",$V304=""),"",N$299)</f>
        <v/>
      </c>
      <c r="O304" s="159" t="str">
        <f t="shared" si="51"/>
        <v/>
      </c>
      <c r="P304" s="811"/>
      <c r="Q304" s="159" t="str">
        <f t="shared" ref="Q304:S308" si="52">IF(AND($T304="",$V304=""),"",Q$299)</f>
        <v/>
      </c>
      <c r="R304" s="159" t="str">
        <f t="shared" si="52"/>
        <v/>
      </c>
      <c r="S304" s="159" t="str">
        <f t="shared" si="52"/>
        <v/>
      </c>
      <c r="T304" s="814"/>
      <c r="U304" s="433"/>
      <c r="V304" s="434"/>
      <c r="W304" s="435"/>
      <c r="X304" s="455" t="s">
        <v>265</v>
      </c>
      <c r="Y304" s="462"/>
      <c r="Z304" s="330"/>
      <c r="AA304" s="42" t="s">
        <v>593</v>
      </c>
      <c r="AB304" s="628"/>
      <c r="AC304" s="377" t="str">
        <f t="shared" si="45"/>
        <v/>
      </c>
      <c r="AD304" s="639" t="str">
        <f t="shared" si="50"/>
        <v/>
      </c>
      <c r="AE304" s="379" t="s">
        <v>781</v>
      </c>
      <c r="AF304" s="330"/>
    </row>
    <row r="305" spans="1:32" ht="11.25" customHeight="1">
      <c r="A305" s="418">
        <v>41</v>
      </c>
      <c r="B305" s="110"/>
      <c r="C305" s="42" t="s">
        <v>520</v>
      </c>
      <c r="D305" s="36" t="str">
        <f>IF(OR(Y485="",W485=""),"",SLOPE(Y485:Y492,W485:W492))</f>
        <v/>
      </c>
      <c r="F305" s="42" t="s">
        <v>521</v>
      </c>
      <c r="G305" s="36" t="str">
        <f>IF(OR(Y502="",W502=""),"",SLOPE(Y502:Y507,W502:W507))</f>
        <v/>
      </c>
      <c r="I305" s="42" t="s">
        <v>522</v>
      </c>
      <c r="J305" s="36" t="str">
        <f>IF(OR(AH485="",AI485=""),"",SLOPE(AI485:AI498,AH485:AH498))</f>
        <v/>
      </c>
      <c r="K305" s="59"/>
      <c r="L305" s="465" t="s">
        <v>265</v>
      </c>
      <c r="M305" s="806"/>
      <c r="N305" s="159" t="str">
        <f t="shared" si="51"/>
        <v/>
      </c>
      <c r="O305" s="159" t="str">
        <f t="shared" si="51"/>
        <v/>
      </c>
      <c r="P305" s="811"/>
      <c r="Q305" s="159" t="str">
        <f t="shared" si="52"/>
        <v/>
      </c>
      <c r="R305" s="159" t="str">
        <f t="shared" si="52"/>
        <v/>
      </c>
      <c r="S305" s="159" t="str">
        <f t="shared" si="52"/>
        <v/>
      </c>
      <c r="T305" s="814"/>
      <c r="U305" s="433"/>
      <c r="V305" s="434"/>
      <c r="W305" s="435"/>
      <c r="X305" s="455" t="s">
        <v>265</v>
      </c>
      <c r="Y305" s="462"/>
      <c r="Z305" s="330"/>
      <c r="AA305" s="42" t="s">
        <v>594</v>
      </c>
      <c r="AB305" s="628"/>
      <c r="AC305" s="377" t="str">
        <f t="shared" si="45"/>
        <v/>
      </c>
      <c r="AD305" s="639" t="str">
        <f t="shared" si="50"/>
        <v/>
      </c>
      <c r="AE305" s="379" t="s">
        <v>782</v>
      </c>
      <c r="AF305" s="330"/>
    </row>
    <row r="306" spans="1:32" ht="11.25" customHeight="1">
      <c r="A306" s="418">
        <v>42</v>
      </c>
      <c r="B306" s="34"/>
      <c r="K306" s="59"/>
      <c r="L306" s="465" t="s">
        <v>265</v>
      </c>
      <c r="M306" s="806"/>
      <c r="N306" s="159" t="str">
        <f t="shared" si="51"/>
        <v/>
      </c>
      <c r="O306" s="159" t="str">
        <f t="shared" si="51"/>
        <v/>
      </c>
      <c r="P306" s="811"/>
      <c r="Q306" s="159" t="str">
        <f t="shared" si="52"/>
        <v/>
      </c>
      <c r="R306" s="159" t="str">
        <f t="shared" si="52"/>
        <v/>
      </c>
      <c r="S306" s="159" t="str">
        <f t="shared" si="52"/>
        <v/>
      </c>
      <c r="T306" s="800"/>
      <c r="U306" s="427"/>
      <c r="V306" s="428"/>
      <c r="W306" s="429"/>
      <c r="X306" s="455" t="s">
        <v>265</v>
      </c>
      <c r="Y306" s="462"/>
      <c r="Z306" s="330"/>
      <c r="AA306" s="42" t="s">
        <v>595</v>
      </c>
      <c r="AB306" s="628"/>
      <c r="AC306" s="377" t="str">
        <f t="shared" si="45"/>
        <v/>
      </c>
      <c r="AD306" s="639" t="str">
        <f t="shared" si="50"/>
        <v/>
      </c>
      <c r="AE306" s="379" t="s">
        <v>783</v>
      </c>
      <c r="AF306" s="330"/>
    </row>
    <row r="307" spans="1:32" ht="11.25" customHeight="1" thickBot="1">
      <c r="A307" s="418">
        <v>43</v>
      </c>
      <c r="B307" s="693"/>
      <c r="C307" s="258"/>
      <c r="D307" s="258"/>
      <c r="E307" s="258"/>
      <c r="F307" s="258"/>
      <c r="G307" s="258"/>
      <c r="H307" s="258"/>
      <c r="I307" s="258"/>
      <c r="J307" s="258"/>
      <c r="K307" s="694"/>
      <c r="L307" s="465" t="s">
        <v>265</v>
      </c>
      <c r="M307" s="806"/>
      <c r="N307" s="159" t="str">
        <f t="shared" si="51"/>
        <v/>
      </c>
      <c r="O307" s="159" t="str">
        <f t="shared" si="51"/>
        <v/>
      </c>
      <c r="P307" s="811"/>
      <c r="Q307" s="159" t="str">
        <f t="shared" si="52"/>
        <v/>
      </c>
      <c r="R307" s="159" t="str">
        <f t="shared" si="52"/>
        <v/>
      </c>
      <c r="S307" s="159" t="str">
        <f t="shared" si="52"/>
        <v/>
      </c>
      <c r="T307" s="800"/>
      <c r="U307" s="427"/>
      <c r="V307" s="428"/>
      <c r="W307" s="429"/>
      <c r="X307" s="455" t="s">
        <v>265</v>
      </c>
      <c r="Y307" s="462"/>
      <c r="Z307" s="330"/>
      <c r="AA307" s="42" t="s">
        <v>596</v>
      </c>
      <c r="AB307" s="628"/>
      <c r="AC307" s="377" t="str">
        <f t="shared" si="45"/>
        <v/>
      </c>
      <c r="AD307" s="639" t="str">
        <f t="shared" si="50"/>
        <v/>
      </c>
      <c r="AE307" s="379" t="s">
        <v>784</v>
      </c>
      <c r="AF307" s="330"/>
    </row>
    <row r="308" spans="1:32" ht="11.25" customHeight="1" thickBot="1">
      <c r="A308" s="418">
        <v>44</v>
      </c>
      <c r="B308" s="110"/>
      <c r="K308" s="59"/>
      <c r="L308" s="465" t="s">
        <v>265</v>
      </c>
      <c r="M308" s="809"/>
      <c r="N308" s="167" t="str">
        <f t="shared" si="51"/>
        <v/>
      </c>
      <c r="O308" s="167" t="str">
        <f t="shared" si="51"/>
        <v/>
      </c>
      <c r="P308" s="812"/>
      <c r="Q308" s="167" t="str">
        <f t="shared" si="52"/>
        <v/>
      </c>
      <c r="R308" s="167" t="str">
        <f t="shared" si="52"/>
        <v/>
      </c>
      <c r="S308" s="167" t="str">
        <f t="shared" si="52"/>
        <v/>
      </c>
      <c r="T308" s="807"/>
      <c r="U308" s="430"/>
      <c r="V308" s="431"/>
      <c r="W308" s="432"/>
      <c r="X308" s="455" t="s">
        <v>265</v>
      </c>
      <c r="Y308" s="462"/>
      <c r="Z308" s="330"/>
      <c r="AA308" s="42" t="s">
        <v>597</v>
      </c>
      <c r="AB308" s="628"/>
      <c r="AC308" s="377" t="str">
        <f t="shared" si="45"/>
        <v/>
      </c>
      <c r="AD308" s="639" t="str">
        <f t="shared" si="50"/>
        <v/>
      </c>
      <c r="AE308" s="379" t="s">
        <v>785</v>
      </c>
      <c r="AF308" s="330"/>
    </row>
    <row r="309" spans="1:32" ht="11.25" customHeight="1" thickTop="1">
      <c r="A309" s="418">
        <v>45</v>
      </c>
      <c r="B309" s="110"/>
      <c r="F309" s="151" t="s">
        <v>260</v>
      </c>
      <c r="K309" s="59"/>
      <c r="L309" s="465" t="s">
        <v>265</v>
      </c>
      <c r="M309" s="52"/>
      <c r="N309" s="100"/>
      <c r="O309" s="100"/>
      <c r="P309" s="100"/>
      <c r="Q309" s="100"/>
      <c r="R309" s="100"/>
      <c r="S309" s="100"/>
      <c r="T309" s="100"/>
      <c r="U309" s="100"/>
      <c r="V309" s="100"/>
      <c r="W309" s="53"/>
      <c r="X309" s="455" t="s">
        <v>265</v>
      </c>
      <c r="Y309" s="462"/>
      <c r="Z309" s="330"/>
      <c r="AA309" s="42" t="s">
        <v>598</v>
      </c>
      <c r="AB309" s="628"/>
      <c r="AC309" s="377" t="str">
        <f t="shared" si="45"/>
        <v/>
      </c>
      <c r="AD309" s="639" t="str">
        <f t="shared" si="50"/>
        <v/>
      </c>
      <c r="AE309" s="379" t="s">
        <v>786</v>
      </c>
      <c r="AF309" s="330"/>
    </row>
    <row r="310" spans="1:32" ht="11.25" customHeight="1" thickBot="1">
      <c r="A310" s="418">
        <v>46</v>
      </c>
      <c r="B310" s="110"/>
      <c r="K310" s="59"/>
      <c r="L310" s="465" t="s">
        <v>265</v>
      </c>
      <c r="M310" s="54"/>
      <c r="N310" s="416" t="s">
        <v>100</v>
      </c>
      <c r="O310" s="606" t="str">
        <f>IF(O311&lt;&gt;"",O311,IF(OR(AB215=0,AB215=""),"",AB215))</f>
        <v/>
      </c>
      <c r="P310" s="610"/>
      <c r="Q310" s="36"/>
      <c r="R310" s="36"/>
      <c r="S310" s="36"/>
      <c r="T310" s="36"/>
      <c r="V310" s="37"/>
      <c r="W310" s="57"/>
      <c r="X310" s="455" t="s">
        <v>265</v>
      </c>
      <c r="Y310" s="462"/>
      <c r="Z310" s="330"/>
      <c r="AA310" s="42" t="s">
        <v>599</v>
      </c>
      <c r="AB310" s="628"/>
      <c r="AC310" s="377" t="str">
        <f t="shared" si="45"/>
        <v/>
      </c>
      <c r="AD310" s="639" t="str">
        <f t="shared" si="50"/>
        <v/>
      </c>
      <c r="AE310" s="379" t="s">
        <v>787</v>
      </c>
      <c r="AF310" s="330"/>
    </row>
    <row r="311" spans="1:32" ht="11.25" customHeight="1">
      <c r="A311" s="418">
        <v>47</v>
      </c>
      <c r="B311" s="564" t="s">
        <v>367</v>
      </c>
      <c r="C311" s="293"/>
      <c r="D311" s="565" t="s">
        <v>368</v>
      </c>
      <c r="E311" s="293"/>
      <c r="F311" s="147" t="s">
        <v>369</v>
      </c>
      <c r="G311" s="563"/>
      <c r="H311" s="842" t="s">
        <v>373</v>
      </c>
      <c r="I311" s="843"/>
      <c r="J311" s="327"/>
      <c r="K311" s="59"/>
      <c r="L311" s="465" t="s">
        <v>265</v>
      </c>
      <c r="M311" s="73"/>
      <c r="N311" s="605" t="s">
        <v>366</v>
      </c>
      <c r="O311" s="607"/>
      <c r="P311" s="558">
        <f>LEN(O310)</f>
        <v>0</v>
      </c>
      <c r="R311" s="37"/>
      <c r="S311" s="37"/>
      <c r="T311" s="37"/>
      <c r="W311" s="57"/>
      <c r="X311" s="455" t="s">
        <v>265</v>
      </c>
      <c r="Y311" s="462"/>
      <c r="Z311" s="330"/>
      <c r="AA311" s="115" t="s">
        <v>607</v>
      </c>
      <c r="AF311" s="330"/>
    </row>
    <row r="312" spans="1:32" ht="11.25" customHeight="1" thickBot="1">
      <c r="A312" s="418">
        <v>48</v>
      </c>
      <c r="B312" s="133" t="str">
        <f>"("&amp;TBCM_IN&amp;")"</f>
        <v>(cm)</v>
      </c>
      <c r="C312" s="142"/>
      <c r="D312" s="141" t="str">
        <f>"("&amp;TBCM_IN&amp;")"</f>
        <v>(cm)</v>
      </c>
      <c r="E312" s="142"/>
      <c r="F312" s="136" t="s">
        <v>370</v>
      </c>
      <c r="G312" s="135"/>
      <c r="H312" s="137" t="s">
        <v>369</v>
      </c>
      <c r="I312" s="135"/>
      <c r="J312" s="327"/>
      <c r="K312" s="59"/>
      <c r="L312" s="465" t="s">
        <v>265</v>
      </c>
      <c r="M312" s="54"/>
      <c r="N312" s="416" t="s">
        <v>100</v>
      </c>
      <c r="O312" s="606" t="str">
        <f>IF(O313&lt;&gt;"",O313,IF(OR(AB216=0,AB216=""),"",AB216))</f>
        <v/>
      </c>
      <c r="P312" s="610"/>
      <c r="Q312" s="36"/>
      <c r="R312" s="36"/>
      <c r="S312" s="36"/>
      <c r="T312" s="36"/>
      <c r="V312" s="37"/>
      <c r="W312" s="57"/>
      <c r="X312" s="455" t="s">
        <v>265</v>
      </c>
      <c r="Y312" s="462"/>
      <c r="Z312" s="330"/>
      <c r="AA312" s="42" t="s">
        <v>600</v>
      </c>
      <c r="AB312" s="628"/>
      <c r="AC312" s="377" t="str">
        <f t="shared" si="45"/>
        <v/>
      </c>
      <c r="AD312" s="831" t="str">
        <f>IF(OR(O577="",O577=0),"",O577)</f>
        <v/>
      </c>
      <c r="AE312" s="379" t="s">
        <v>604</v>
      </c>
      <c r="AF312" s="330"/>
    </row>
    <row r="313" spans="1:32" ht="11.25" customHeight="1" thickBot="1">
      <c r="A313" s="418">
        <v>49</v>
      </c>
      <c r="B313" s="134" t="s">
        <v>291</v>
      </c>
      <c r="C313" s="139" t="s">
        <v>292</v>
      </c>
      <c r="D313" s="140" t="s">
        <v>291</v>
      </c>
      <c r="E313" s="139" t="s">
        <v>292</v>
      </c>
      <c r="F313" s="138" t="s">
        <v>291</v>
      </c>
      <c r="G313" s="139" t="s">
        <v>292</v>
      </c>
      <c r="H313" s="140" t="s">
        <v>291</v>
      </c>
      <c r="I313" s="139" t="s">
        <v>292</v>
      </c>
      <c r="J313" s="327"/>
      <c r="K313" s="59"/>
      <c r="L313" s="465" t="s">
        <v>265</v>
      </c>
      <c r="M313" s="54"/>
      <c r="N313" s="115" t="s">
        <v>366</v>
      </c>
      <c r="O313" s="607"/>
      <c r="P313" s="558">
        <f>LEN(O312)</f>
        <v>0</v>
      </c>
      <c r="R313" s="37"/>
      <c r="S313" s="37"/>
      <c r="T313" s="37"/>
      <c r="U313" s="37"/>
      <c r="V313" s="550" t="s">
        <v>298</v>
      </c>
      <c r="W313" s="715" t="s">
        <v>512</v>
      </c>
      <c r="X313" s="455" t="s">
        <v>265</v>
      </c>
      <c r="Y313" s="462"/>
      <c r="Z313" s="330"/>
      <c r="AA313" s="42" t="s">
        <v>601</v>
      </c>
      <c r="AB313" s="628"/>
      <c r="AC313" s="377" t="str">
        <f t="shared" si="45"/>
        <v/>
      </c>
      <c r="AD313" s="639" t="str">
        <f>IF(OR(P577="",P577=0),"",P577)</f>
        <v/>
      </c>
      <c r="AE313" s="379" t="s">
        <v>605</v>
      </c>
      <c r="AF313" s="330"/>
    </row>
    <row r="314" spans="1:32" ht="11.25" customHeight="1" thickBot="1">
      <c r="A314" s="418">
        <v>50</v>
      </c>
      <c r="B314" s="276">
        <f t="shared" ref="B314:G315" si="53">IF(O189="","",O189)</f>
        <v>5</v>
      </c>
      <c r="C314" s="275">
        <f t="shared" si="53"/>
        <v>5</v>
      </c>
      <c r="D314" s="274" t="str">
        <f t="shared" si="53"/>
        <v/>
      </c>
      <c r="E314" s="275" t="str">
        <f t="shared" si="53"/>
        <v/>
      </c>
      <c r="F314" s="143" t="str">
        <f t="shared" si="53"/>
        <v>NA</v>
      </c>
      <c r="G314" s="144" t="str">
        <f t="shared" si="53"/>
        <v>NA</v>
      </c>
      <c r="H314" s="145" t="str">
        <f>U189</f>
        <v>NA</v>
      </c>
      <c r="I314" s="148" t="str">
        <f>V189</f>
        <v>NA</v>
      </c>
      <c r="J314" s="327"/>
      <c r="K314" s="59"/>
      <c r="L314" s="465" t="s">
        <v>265</v>
      </c>
      <c r="M314" s="73"/>
      <c r="N314" s="37"/>
      <c r="O314" s="37"/>
      <c r="Q314" s="38"/>
      <c r="R314" s="37"/>
      <c r="S314" s="37"/>
      <c r="T314" s="37"/>
      <c r="U314" s="717" t="s">
        <v>353</v>
      </c>
      <c r="V314" s="225" t="str">
        <f>IF(U299="","NA",IF(I428="TBD","TBD",IF(I428&gt;0.05,"NO","YES")))</f>
        <v>NA</v>
      </c>
      <c r="W314" s="716" t="str">
        <f>IF(W299="","NA",IF(J428="TBD","TBD",IF(J428&gt;0.05,"NO","YES")))</f>
        <v>NA</v>
      </c>
      <c r="X314" s="455" t="s">
        <v>265</v>
      </c>
      <c r="Y314" s="462"/>
      <c r="Z314" s="330"/>
      <c r="AA314" s="42" t="s">
        <v>602</v>
      </c>
      <c r="AB314" s="628"/>
      <c r="AC314" s="377" t="str">
        <f t="shared" si="45"/>
        <v/>
      </c>
      <c r="AD314" s="639" t="str">
        <f>IF(OR(Q577="",Q577=0),"",Q577)</f>
        <v/>
      </c>
      <c r="AE314" s="379" t="s">
        <v>606</v>
      </c>
      <c r="AF314" s="330"/>
    </row>
    <row r="315" spans="1:32" ht="11.25" customHeight="1" thickBot="1">
      <c r="A315" s="418">
        <v>51</v>
      </c>
      <c r="B315" s="276">
        <f t="shared" si="53"/>
        <v>10</v>
      </c>
      <c r="C315" s="275">
        <f t="shared" si="53"/>
        <v>10</v>
      </c>
      <c r="D315" s="274" t="str">
        <f t="shared" si="53"/>
        <v/>
      </c>
      <c r="E315" s="275" t="str">
        <f t="shared" si="53"/>
        <v/>
      </c>
      <c r="F315" s="143" t="str">
        <f t="shared" si="53"/>
        <v>NA</v>
      </c>
      <c r="G315" s="144" t="str">
        <f t="shared" si="53"/>
        <v>NA</v>
      </c>
      <c r="H315" s="146" t="str">
        <f>U190</f>
        <v>NA</v>
      </c>
      <c r="I315" s="149" t="str">
        <f>V190</f>
        <v>NA</v>
      </c>
      <c r="J315" s="327"/>
      <c r="K315" s="59"/>
      <c r="L315" s="465" t="s">
        <v>265</v>
      </c>
      <c r="M315" s="54"/>
      <c r="N315" s="115" t="s">
        <v>354</v>
      </c>
      <c r="O315" s="88" t="s">
        <v>61</v>
      </c>
      <c r="S315" s="37"/>
      <c r="T315" s="37"/>
      <c r="U315" s="37"/>
      <c r="V315" s="37"/>
      <c r="W315" s="57"/>
      <c r="X315" s="455" t="s">
        <v>265</v>
      </c>
      <c r="Y315" s="462"/>
      <c r="Z315" s="330"/>
      <c r="AA315" s="115" t="s">
        <v>616</v>
      </c>
      <c r="AC315" s="377" t="str">
        <f t="shared" si="45"/>
        <v/>
      </c>
      <c r="AF315" s="330"/>
    </row>
    <row r="316" spans="1:32" ht="11.25" customHeight="1">
      <c r="A316" s="418">
        <v>52</v>
      </c>
      <c r="B316" s="132" t="s">
        <v>371</v>
      </c>
      <c r="K316" s="59"/>
      <c r="L316" s="465" t="s">
        <v>265</v>
      </c>
      <c r="M316" s="54"/>
      <c r="N316" s="37"/>
      <c r="Q316" s="37"/>
      <c r="R316" s="37"/>
      <c r="S316" s="37"/>
      <c r="T316" s="37"/>
      <c r="U316" s="37"/>
      <c r="V316" s="37"/>
      <c r="W316" s="57"/>
      <c r="X316" s="455" t="s">
        <v>265</v>
      </c>
      <c r="Y316" s="462"/>
      <c r="Z316" s="330"/>
      <c r="AA316" s="37" t="s">
        <v>600</v>
      </c>
      <c r="AB316" s="628"/>
      <c r="AC316" s="377" t="str">
        <f t="shared" si="45"/>
        <v/>
      </c>
      <c r="AD316" s="639" t="str">
        <f>IF(OR(O583="",O583=0),"",O583)</f>
        <v/>
      </c>
      <c r="AE316" s="379" t="s">
        <v>727</v>
      </c>
      <c r="AF316" s="330"/>
    </row>
    <row r="317" spans="1:32" ht="11.25" customHeight="1" thickBot="1">
      <c r="A317" s="418">
        <v>53</v>
      </c>
      <c r="B317" s="132" t="s">
        <v>372</v>
      </c>
      <c r="K317" s="59"/>
      <c r="L317" s="465" t="s">
        <v>265</v>
      </c>
      <c r="M317" s="86"/>
      <c r="N317" s="71"/>
      <c r="O317" s="71"/>
      <c r="P317" s="71"/>
      <c r="Q317" s="71"/>
      <c r="R317" s="71"/>
      <c r="S317" s="71"/>
      <c r="T317" s="71"/>
      <c r="U317" s="71"/>
      <c r="V317" s="71"/>
      <c r="W317" s="74"/>
      <c r="X317" s="455" t="s">
        <v>265</v>
      </c>
      <c r="Y317" s="462"/>
      <c r="Z317" s="330"/>
      <c r="AA317" s="37" t="s">
        <v>601</v>
      </c>
      <c r="AB317" s="628"/>
      <c r="AC317" s="377" t="str">
        <f t="shared" si="45"/>
        <v/>
      </c>
      <c r="AD317" s="639" t="str">
        <f>IF(OR(P583="",P583=0),"",P583)</f>
        <v/>
      </c>
      <c r="AE317" s="379" t="s">
        <v>728</v>
      </c>
      <c r="AF317" s="330"/>
    </row>
    <row r="318" spans="1:32" ht="11.25" customHeight="1" thickTop="1">
      <c r="A318" s="418">
        <v>54</v>
      </c>
      <c r="B318" s="54"/>
      <c r="C318" s="37"/>
      <c r="D318" s="37"/>
      <c r="K318" s="59"/>
      <c r="L318" s="465" t="s">
        <v>265</v>
      </c>
      <c r="X318" s="455" t="s">
        <v>265</v>
      </c>
      <c r="Y318" s="462"/>
      <c r="Z318" s="330"/>
      <c r="AA318" s="37" t="s">
        <v>602</v>
      </c>
      <c r="AB318" s="628"/>
      <c r="AC318" s="377" t="str">
        <f t="shared" si="45"/>
        <v/>
      </c>
      <c r="AD318" s="639" t="str">
        <f>IF(OR(Q583="",Q583=0),"",Q583)</f>
        <v/>
      </c>
      <c r="AE318" s="379" t="s">
        <v>729</v>
      </c>
      <c r="AF318" s="330"/>
    </row>
    <row r="319" spans="1:32" ht="11.25" customHeight="1">
      <c r="A319" s="418">
        <v>55</v>
      </c>
      <c r="B319" s="152" t="s">
        <v>354</v>
      </c>
      <c r="C319" s="88" t="s">
        <v>375</v>
      </c>
      <c r="K319" s="59"/>
      <c r="L319" s="465" t="s">
        <v>265</v>
      </c>
      <c r="N319" s="609" t="s">
        <v>494</v>
      </c>
      <c r="X319" s="455" t="s">
        <v>265</v>
      </c>
      <c r="Y319" s="462"/>
      <c r="Z319" s="330"/>
      <c r="AF319" s="330"/>
    </row>
    <row r="320" spans="1:32" ht="11.25" customHeight="1">
      <c r="A320" s="418">
        <v>56</v>
      </c>
      <c r="B320" s="153"/>
      <c r="C320" s="88" t="s">
        <v>287</v>
      </c>
      <c r="D320" s="37"/>
      <c r="K320" s="59"/>
      <c r="L320" s="465" t="s">
        <v>265</v>
      </c>
      <c r="N320" s="335" t="s">
        <v>320</v>
      </c>
      <c r="O320" s="492" t="str">
        <f>IF(AND(O291="",O293=""),"","Lg. F:  "&amp;O291&amp;IF(O293&lt;&gt;"","; "&amp;O293,""))</f>
        <v/>
      </c>
      <c r="X320" s="455" t="s">
        <v>265</v>
      </c>
      <c r="Y320" s="462"/>
      <c r="Z320" s="330"/>
      <c r="AF320" s="330"/>
    </row>
    <row r="321" spans="1:32" ht="11.25" customHeight="1">
      <c r="A321" s="418">
        <v>57</v>
      </c>
      <c r="B321" s="110"/>
      <c r="K321" s="59"/>
      <c r="L321" s="465" t="s">
        <v>265</v>
      </c>
      <c r="N321" s="335"/>
      <c r="X321" s="455" t="s">
        <v>265</v>
      </c>
      <c r="Y321" s="462"/>
      <c r="Z321" s="330"/>
      <c r="AF321" s="330"/>
    </row>
    <row r="322" spans="1:32" ht="11.25" customHeight="1">
      <c r="A322" s="418">
        <v>58</v>
      </c>
      <c r="B322" s="110"/>
      <c r="K322" s="59"/>
      <c r="L322" s="465" t="s">
        <v>265</v>
      </c>
      <c r="N322" s="335" t="s">
        <v>331</v>
      </c>
      <c r="O322" s="270" t="str">
        <f>IF(AND(O310="",O312=""),"","Sm. F:  "&amp;O310&amp;IF(O312&lt;&gt;"","; "&amp;O312,""))</f>
        <v/>
      </c>
      <c r="X322" s="455" t="s">
        <v>265</v>
      </c>
      <c r="Y322" s="462"/>
      <c r="Z322" s="330"/>
      <c r="AF322" s="330"/>
    </row>
    <row r="323" spans="1:32" ht="11.25" customHeight="1" thickBot="1">
      <c r="A323" s="418">
        <v>59</v>
      </c>
      <c r="B323" s="110"/>
      <c r="K323" s="59"/>
      <c r="L323" s="465" t="s">
        <v>265</v>
      </c>
      <c r="X323" s="455" t="s">
        <v>265</v>
      </c>
      <c r="Y323" s="462"/>
      <c r="Z323" s="330"/>
      <c r="AF323" s="330"/>
    </row>
    <row r="324" spans="1:32" ht="11.25" customHeight="1" thickTop="1">
      <c r="A324" s="418">
        <v>60</v>
      </c>
      <c r="B324" s="110"/>
      <c r="K324" s="59"/>
      <c r="L324" s="465" t="s">
        <v>265</v>
      </c>
      <c r="M324" s="67"/>
      <c r="N324" s="50"/>
      <c r="O324" s="50"/>
      <c r="P324" s="50"/>
      <c r="Q324" s="50"/>
      <c r="R324" s="50"/>
      <c r="S324" s="50"/>
      <c r="T324" s="50"/>
      <c r="U324" s="50"/>
      <c r="V324" s="50"/>
      <c r="W324" s="68"/>
      <c r="X324" s="455" t="s">
        <v>265</v>
      </c>
      <c r="Y324" s="462"/>
      <c r="Z324" s="330"/>
      <c r="AF324" s="330"/>
    </row>
    <row r="325" spans="1:32" ht="11.25" customHeight="1">
      <c r="A325" s="418">
        <v>61</v>
      </c>
      <c r="B325" s="110"/>
      <c r="K325" s="59"/>
      <c r="L325" s="465" t="s">
        <v>265</v>
      </c>
      <c r="M325" s="54"/>
      <c r="N325" s="42" t="s">
        <v>21</v>
      </c>
      <c r="O325" s="47" t="str">
        <f>IF($O$227="","",$O$227)</f>
        <v>Piranha CB2-19020491</v>
      </c>
      <c r="P325" s="47"/>
      <c r="Q325" s="36"/>
      <c r="R325" s="37"/>
      <c r="S325" s="37"/>
      <c r="T325" s="37"/>
      <c r="U325" s="37"/>
      <c r="V325" s="37"/>
      <c r="W325" s="57"/>
      <c r="X325" s="455" t="s">
        <v>265</v>
      </c>
      <c r="Y325" s="462"/>
      <c r="Z325" s="330"/>
      <c r="AF325" s="330"/>
    </row>
    <row r="326" spans="1:32" ht="11.25" customHeight="1">
      <c r="A326" s="418">
        <v>62</v>
      </c>
      <c r="B326" s="110"/>
      <c r="K326" s="59"/>
      <c r="L326" s="465" t="s">
        <v>265</v>
      </c>
      <c r="M326" s="54"/>
      <c r="N326" s="37"/>
      <c r="O326" s="37"/>
      <c r="P326" s="37"/>
      <c r="Q326" s="37"/>
      <c r="R326" s="37"/>
      <c r="S326" s="37"/>
      <c r="T326" s="37"/>
      <c r="U326" s="37"/>
      <c r="V326" s="37"/>
      <c r="W326" s="57"/>
      <c r="X326" s="455" t="s">
        <v>265</v>
      </c>
      <c r="Y326" s="462"/>
      <c r="Z326" s="330"/>
      <c r="AF326" s="330"/>
    </row>
    <row r="327" spans="1:32" ht="11.25" customHeight="1">
      <c r="A327" s="418">
        <v>63</v>
      </c>
      <c r="B327" s="110"/>
      <c r="K327" s="59"/>
      <c r="L327" s="465" t="s">
        <v>265</v>
      </c>
      <c r="M327" s="110"/>
      <c r="W327" s="59"/>
      <c r="X327" s="455" t="s">
        <v>265</v>
      </c>
      <c r="Y327" s="462"/>
      <c r="Z327" s="330"/>
      <c r="AF327" s="330"/>
    </row>
    <row r="328" spans="1:32" ht="11.25" customHeight="1" thickBot="1">
      <c r="A328" s="418">
        <v>64</v>
      </c>
      <c r="B328" s="86"/>
      <c r="C328" s="71"/>
      <c r="D328" s="71"/>
      <c r="E328" s="71"/>
      <c r="F328" s="71"/>
      <c r="G328" s="71"/>
      <c r="H328" s="71"/>
      <c r="I328" s="71"/>
      <c r="J328" s="71"/>
      <c r="K328" s="74"/>
      <c r="L328" s="465" t="s">
        <v>265</v>
      </c>
      <c r="M328" s="255" t="s">
        <v>62</v>
      </c>
      <c r="N328" s="37"/>
      <c r="O328" s="37"/>
      <c r="P328" s="37"/>
      <c r="Q328" s="37"/>
      <c r="T328" s="37"/>
      <c r="U328" s="37"/>
      <c r="V328" s="37"/>
      <c r="W328" s="57"/>
      <c r="X328" s="455" t="s">
        <v>265</v>
      </c>
      <c r="Y328" s="462"/>
      <c r="Z328" s="330"/>
      <c r="AF328" s="330"/>
    </row>
    <row r="329" spans="1:32" ht="11.25" customHeight="1" thickTop="1">
      <c r="A329" s="418">
        <v>65</v>
      </c>
      <c r="B329" s="40" t="str">
        <f t="array" ref="B329:C330">$B$65:$C$66</f>
        <v>Date:</v>
      </c>
      <c r="C329" s="674" t="str">
        <v/>
      </c>
      <c r="E329" s="39"/>
      <c r="F329" s="39"/>
      <c r="G329" s="39"/>
      <c r="H329" s="39"/>
      <c r="I329" s="40" t="str">
        <f t="array" ref="I329:J330">$I$65:$J$66</f>
        <v>Inspector:</v>
      </c>
      <c r="J329" s="303" t="str">
        <v>Eugene Mah</v>
      </c>
      <c r="L329" s="465" t="s">
        <v>265</v>
      </c>
      <c r="M329" s="110"/>
      <c r="W329" s="59"/>
      <c r="X329" s="455" t="s">
        <v>265</v>
      </c>
      <c r="Y329" s="462"/>
      <c r="Z329" s="330"/>
      <c r="AF329" s="330"/>
    </row>
    <row r="330" spans="1:32" ht="11.25" customHeight="1">
      <c r="A330" s="418">
        <v>66</v>
      </c>
      <c r="B330" s="40" t="str">
        <v>Room Number:</v>
      </c>
      <c r="C330" s="271" t="str">
        <v/>
      </c>
      <c r="E330" s="39"/>
      <c r="F330" s="39"/>
      <c r="G330" s="39"/>
      <c r="H330" s="39"/>
      <c r="I330" s="40" t="str">
        <v>Survey ID:</v>
      </c>
      <c r="J330" s="615" t="str">
        <v/>
      </c>
      <c r="L330" s="465" t="s">
        <v>265</v>
      </c>
      <c r="M330" s="110"/>
      <c r="N330" s="38" t="s">
        <v>63</v>
      </c>
      <c r="W330" s="59"/>
      <c r="X330" s="455" t="s">
        <v>265</v>
      </c>
      <c r="Y330" s="462"/>
      <c r="Z330" s="330"/>
      <c r="AF330" s="330"/>
    </row>
    <row r="331" spans="1:32" ht="11.25" customHeight="1">
      <c r="A331" s="418">
        <v>1</v>
      </c>
      <c r="K331" s="114" t="str">
        <f>$F$2</f>
        <v>Medical University of South Carolina</v>
      </c>
      <c r="L331" s="465" t="s">
        <v>265</v>
      </c>
      <c r="M331" s="110"/>
      <c r="N331" s="205" t="s">
        <v>64</v>
      </c>
      <c r="O331" s="580" t="str">
        <f>IF(P331&lt;&gt;"",P331,IF(OR(AB103=0,AB103=""),"",AB103))</f>
        <v>HF</v>
      </c>
      <c r="P331" s="477" t="s">
        <v>509</v>
      </c>
      <c r="Q331" s="207" t="str">
        <f>IF(OR($O$331=0,$O$331="",$O$331="Dent"),"",IF(OR($O$331=1,$O$331=3),"-Phase",IF($O$331="HF"," (High Frequency)",IF($O$331="CP"," (Constant Potential)",""))))</f>
        <v xml:space="preserve"> (High Frequency)</v>
      </c>
      <c r="W331" s="59"/>
      <c r="X331" s="455" t="s">
        <v>265</v>
      </c>
      <c r="Y331" s="462"/>
      <c r="Z331" s="330"/>
    </row>
    <row r="332" spans="1:32" ht="11.25" customHeight="1">
      <c r="A332" s="418">
        <v>2</v>
      </c>
      <c r="F332" s="70" t="s">
        <v>347</v>
      </c>
      <c r="K332" s="115" t="str">
        <f>$F$5</f>
        <v>Radiation Oncology IGRT Compliance Inspection</v>
      </c>
      <c r="L332" s="465" t="s">
        <v>265</v>
      </c>
      <c r="M332" s="611">
        <f>IF($N$332&lt;&gt;"",$N$332,IF(OR(AB104=0,AB104=""),"",AB104))</f>
        <v>2</v>
      </c>
      <c r="N332" s="477">
        <v>2</v>
      </c>
      <c r="O332" s="88" t="s">
        <v>65</v>
      </c>
      <c r="P332" s="37"/>
      <c r="Q332" s="37"/>
      <c r="S332" s="37"/>
      <c r="T332" s="37"/>
      <c r="W332" s="57"/>
      <c r="X332" s="455" t="s">
        <v>265</v>
      </c>
      <c r="Y332" s="462"/>
    </row>
    <row r="333" spans="1:32" ht="11.25" customHeight="1">
      <c r="A333" s="418">
        <v>3</v>
      </c>
      <c r="L333" s="465" t="s">
        <v>265</v>
      </c>
      <c r="M333" s="54" t="s">
        <v>29</v>
      </c>
      <c r="N333" s="161" t="s">
        <v>53</v>
      </c>
      <c r="O333" s="161" t="s">
        <v>31</v>
      </c>
      <c r="P333" s="161" t="s">
        <v>32</v>
      </c>
      <c r="Q333" s="37"/>
      <c r="R333" s="201" t="s">
        <v>67</v>
      </c>
      <c r="S333" s="337"/>
      <c r="T333" s="203"/>
      <c r="U333" s="201" t="s">
        <v>68</v>
      </c>
      <c r="V333" s="37"/>
      <c r="W333" s="57"/>
      <c r="X333" s="455" t="s">
        <v>265</v>
      </c>
      <c r="Y333" s="462"/>
    </row>
    <row r="334" spans="1:32" ht="11.25" customHeight="1" thickBot="1">
      <c r="A334" s="418">
        <v>4</v>
      </c>
      <c r="F334" s="151" t="s">
        <v>319</v>
      </c>
      <c r="L334" s="465" t="s">
        <v>265</v>
      </c>
      <c r="M334" s="162" t="s">
        <v>36</v>
      </c>
      <c r="N334" s="121" t="str">
        <f>LFSDD</f>
        <v>cm</v>
      </c>
      <c r="O334" s="121" t="s">
        <v>37</v>
      </c>
      <c r="P334" s="121" t="s">
        <v>22</v>
      </c>
      <c r="Q334" s="121" t="s">
        <v>38</v>
      </c>
      <c r="R334" s="6" t="str">
        <f>IF(MIN($T$234:$T$241)&gt;0,LFMAS,IF(MIN($T$252:$T$257)&gt;0,SFMAS,"mA/mAs"))</f>
        <v>mA/mAs</v>
      </c>
      <c r="S334" s="202" t="str">
        <f>IF($O$331=1,"Pulses","seconds")</f>
        <v>seconds</v>
      </c>
      <c r="T334" s="204" t="s">
        <v>40</v>
      </c>
      <c r="U334" s="121" t="s">
        <v>41</v>
      </c>
      <c r="V334" s="121" t="str">
        <f>IF($O$331=1,"Pulses","seconds")</f>
        <v>seconds</v>
      </c>
      <c r="W334" s="166" t="s">
        <v>512</v>
      </c>
      <c r="X334" s="455" t="s">
        <v>265</v>
      </c>
      <c r="Y334" s="462"/>
    </row>
    <row r="335" spans="1:32" ht="11.25" customHeight="1" thickBot="1">
      <c r="A335" s="418">
        <v>5</v>
      </c>
      <c r="F335" s="191"/>
      <c r="L335" s="465" t="s">
        <v>265</v>
      </c>
      <c r="M335" s="808"/>
      <c r="N335" s="263">
        <f>$N$234</f>
        <v>100</v>
      </c>
      <c r="O335" s="160" t="str">
        <f>Sheet1!F37</f>
        <v>Large</v>
      </c>
      <c r="P335" s="810"/>
      <c r="Q335" s="159">
        <f>Sheet1!A37</f>
        <v>80</v>
      </c>
      <c r="R335" s="308" cm="1">
        <f t="array" ref="R335">_xlfn.SWITCH(LFMAS,"mA",Sheet1!B37,"mAs",Sheet1!C37)</f>
        <v>2</v>
      </c>
      <c r="S335" s="349">
        <f>Sheet1!D37</f>
        <v>0.01</v>
      </c>
      <c r="T335" s="816"/>
      <c r="U335" s="160" t="str">
        <f>IF(Sheet1!G37="","",Sheet1!G37)</f>
        <v/>
      </c>
      <c r="V335" s="164" t="str">
        <f>IF(Sheet1!H37="","",Sheet1!H37)</f>
        <v/>
      </c>
      <c r="W335" s="321" t="str">
        <f>IF(Sheet1!I37="","",Sheet1!I37)</f>
        <v/>
      </c>
      <c r="X335" s="455" t="s">
        <v>265</v>
      </c>
      <c r="Y335" s="462"/>
    </row>
    <row r="336" spans="1:32" ht="11.25" customHeight="1" thickTop="1">
      <c r="A336" s="418">
        <v>6</v>
      </c>
      <c r="B336" s="67"/>
      <c r="C336" s="50"/>
      <c r="D336" s="50"/>
      <c r="E336" s="50"/>
      <c r="F336" s="50"/>
      <c r="G336" s="50"/>
      <c r="H336" s="50"/>
      <c r="I336" s="50"/>
      <c r="J336" s="50"/>
      <c r="K336" s="68"/>
      <c r="L336" s="465" t="s">
        <v>265</v>
      </c>
      <c r="M336" s="808"/>
      <c r="N336" s="263">
        <f>IF(AND(R336="",S336=""),"",$N$335)</f>
        <v>100</v>
      </c>
      <c r="O336" s="160" t="str">
        <f>IF(Tables!P86="","Large",Tables!P86)</f>
        <v>Large</v>
      </c>
      <c r="P336" s="815"/>
      <c r="Q336" s="159">
        <f>Sheet1!A38</f>
        <v>80</v>
      </c>
      <c r="R336" s="308" cm="1">
        <f t="array" ref="R336">_xlfn.SWITCH(LFMAS,"mA",Sheet1!B38,"mAs",Sheet1!C38)</f>
        <v>4</v>
      </c>
      <c r="S336" s="349">
        <f>Sheet1!D38</f>
        <v>0.02</v>
      </c>
      <c r="T336" s="816"/>
      <c r="U336" s="160" t="str">
        <f>IF(Sheet1!G38="","",Sheet1!G38)</f>
        <v/>
      </c>
      <c r="V336" s="164" t="str">
        <f>IF(Sheet1!H38="","",Sheet1!H38)</f>
        <v/>
      </c>
      <c r="W336" s="321" t="str">
        <f>IF(Sheet1!I38="","",Sheet1!I38)</f>
        <v/>
      </c>
      <c r="X336" s="455" t="s">
        <v>265</v>
      </c>
      <c r="Y336" s="462"/>
    </row>
    <row r="337" spans="1:31" ht="11.25" customHeight="1">
      <c r="A337" s="418">
        <v>7</v>
      </c>
      <c r="B337" s="223" t="s">
        <v>377</v>
      </c>
      <c r="C337" s="96"/>
      <c r="D337" s="1"/>
      <c r="E337" s="1"/>
      <c r="F337" s="1"/>
      <c r="G337" s="1"/>
      <c r="H337" s="1"/>
      <c r="I337" s="1"/>
      <c r="J337" s="1"/>
      <c r="K337" s="59"/>
      <c r="L337" s="465" t="s">
        <v>265</v>
      </c>
      <c r="M337" s="808"/>
      <c r="N337" s="263">
        <f>IF(AND(R337="",S337=""),"",$N$335)</f>
        <v>100</v>
      </c>
      <c r="O337" s="160" t="str">
        <f>IF(Tables!P87="","Large",Tables!P87)</f>
        <v>Large</v>
      </c>
      <c r="P337" s="815"/>
      <c r="Q337" s="159">
        <f>Sheet1!A39</f>
        <v>80</v>
      </c>
      <c r="R337" s="308" cm="1">
        <f t="array" ref="R337">_xlfn.SWITCH(LFMAS,"mA",Sheet1!B39,"mAs",Sheet1!C39)</f>
        <v>8</v>
      </c>
      <c r="S337" s="349">
        <f>Sheet1!D39</f>
        <v>0.04</v>
      </c>
      <c r="T337" s="816"/>
      <c r="U337" s="160" t="str">
        <f>IF(Sheet1!G39="","",Sheet1!G39)</f>
        <v/>
      </c>
      <c r="V337" s="164" t="str">
        <f>IF(Sheet1!H39="","",Sheet1!H39)</f>
        <v/>
      </c>
      <c r="W337" s="321" t="str">
        <f>IF(Sheet1!I39="","",Sheet1!I39)</f>
        <v/>
      </c>
      <c r="X337" s="455" t="s">
        <v>265</v>
      </c>
      <c r="Y337" s="462"/>
    </row>
    <row r="338" spans="1:31" ht="11.25" customHeight="1">
      <c r="A338" s="418">
        <v>8</v>
      </c>
      <c r="B338" s="110"/>
      <c r="J338" s="4" t="s">
        <v>384</v>
      </c>
      <c r="K338" s="325" t="s">
        <v>385</v>
      </c>
      <c r="L338" s="465" t="s">
        <v>265</v>
      </c>
      <c r="M338" s="808"/>
      <c r="N338" s="263">
        <f>IF(AND(R338="",S338=""),"",$N$335)</f>
        <v>100</v>
      </c>
      <c r="O338" s="160" t="str">
        <f>IF(Tables!P88="","Large",Tables!P88)</f>
        <v>Large</v>
      </c>
      <c r="P338" s="815"/>
      <c r="Q338" s="159">
        <f>Sheet1!A40</f>
        <v>80</v>
      </c>
      <c r="R338" s="308" cm="1">
        <f t="array" ref="R338">_xlfn.SWITCH(LFMAS,"mA",Sheet1!B40,"mAs",Sheet1!C40)</f>
        <v>20</v>
      </c>
      <c r="S338" s="349">
        <f>Sheet1!D40</f>
        <v>0.1</v>
      </c>
      <c r="T338" s="816"/>
      <c r="U338" s="160" t="str">
        <f>IF(Sheet1!G40="","",Sheet1!G40)</f>
        <v/>
      </c>
      <c r="V338" s="164" t="str">
        <f>IF(Sheet1!H40="","",Sheet1!H40)</f>
        <v/>
      </c>
      <c r="W338" s="321" t="str">
        <f>IF(Sheet1!I40="","",Sheet1!I40)</f>
        <v/>
      </c>
      <c r="X338" s="455" t="s">
        <v>265</v>
      </c>
      <c r="Y338" s="462"/>
    </row>
    <row r="339" spans="1:31" ht="11.25" customHeight="1">
      <c r="A339" s="418">
        <v>9</v>
      </c>
      <c r="B339" s="156" t="str">
        <f>IF(M207="","",M207)</f>
        <v>Large:</v>
      </c>
      <c r="C339" s="2" t="str">
        <f>IF(N207="","",N207)</f>
        <v/>
      </c>
      <c r="D339" s="3" t="str">
        <f>IF(O207="","",O207)</f>
        <v>mm</v>
      </c>
      <c r="E339" s="1"/>
      <c r="F339" s="1"/>
      <c r="G339" s="1"/>
      <c r="H339" s="1"/>
      <c r="I339" s="4" t="s">
        <v>351</v>
      </c>
      <c r="J339" s="4" t="s">
        <v>386</v>
      </c>
      <c r="K339" s="325" t="s">
        <v>386</v>
      </c>
      <c r="L339" s="465" t="s">
        <v>265</v>
      </c>
      <c r="M339" s="808"/>
      <c r="N339" s="263">
        <f>IF(AND(R339="",S339=""),"",$N$335)</f>
        <v>100</v>
      </c>
      <c r="O339" s="160" t="str">
        <f>IF(Tables!P89="","Large",Tables!P89)</f>
        <v>Large</v>
      </c>
      <c r="P339" s="815"/>
      <c r="Q339" s="159">
        <f>Sheet1!A41</f>
        <v>80</v>
      </c>
      <c r="R339" s="308" cm="1">
        <f t="array" ref="R339">_xlfn.SWITCH(LFMAS,"mA",Sheet1!B41,"mAs",Sheet1!C41)</f>
        <v>50</v>
      </c>
      <c r="S339" s="349">
        <f>Sheet1!D41</f>
        <v>0.25</v>
      </c>
      <c r="T339" s="816"/>
      <c r="U339" s="160" t="str">
        <f>IF(Sheet1!G41="","",Sheet1!G41)</f>
        <v/>
      </c>
      <c r="V339" s="164" t="str">
        <f>IF(Sheet1!H41="","",Sheet1!H41)</f>
        <v/>
      </c>
      <c r="W339" s="321" t="str">
        <f>IF(Sheet1!I41="","",Sheet1!I41)</f>
        <v/>
      </c>
      <c r="X339" s="455" t="s">
        <v>265</v>
      </c>
      <c r="Y339" s="462"/>
    </row>
    <row r="340" spans="1:31" ht="11.25" customHeight="1">
      <c r="A340" s="418">
        <v>10</v>
      </c>
      <c r="B340" s="34"/>
      <c r="C340" s="1"/>
      <c r="D340" s="1"/>
      <c r="E340" s="1"/>
      <c r="F340" s="1"/>
      <c r="G340" s="1"/>
      <c r="H340" s="1"/>
      <c r="I340" s="4" t="s">
        <v>388</v>
      </c>
      <c r="J340" s="4" t="s">
        <v>388</v>
      </c>
      <c r="K340" s="325" t="s">
        <v>388</v>
      </c>
      <c r="L340" s="465" t="s">
        <v>265</v>
      </c>
      <c r="M340" s="808"/>
      <c r="N340" s="263">
        <f>IF(AND(R340="",S340=""),"",$N$335)</f>
        <v>100</v>
      </c>
      <c r="O340" s="160" t="str">
        <f>IF(Tables!P90="","Large",Tables!P90)</f>
        <v>Large</v>
      </c>
      <c r="P340" s="815"/>
      <c r="Q340" s="159">
        <f>Sheet1!A42</f>
        <v>80</v>
      </c>
      <c r="R340" s="308" cm="1">
        <f t="array" ref="R340">_xlfn.SWITCH(LFMAS,"mA",Sheet1!B42,"mAs",Sheet1!C42)</f>
        <v>80</v>
      </c>
      <c r="S340" s="349">
        <f>Sheet1!D42</f>
        <v>0.4</v>
      </c>
      <c r="T340" s="816"/>
      <c r="U340" s="160" t="str">
        <f>IF(Sheet1!G42="","",Sheet1!G42)</f>
        <v/>
      </c>
      <c r="V340" s="164" t="str">
        <f>IF(Sheet1!H42="","",Sheet1!H42)</f>
        <v/>
      </c>
      <c r="W340" s="321" t="str">
        <f>IF(Sheet1!I42="","",Sheet1!I42)</f>
        <v/>
      </c>
      <c r="X340" s="455" t="s">
        <v>265</v>
      </c>
      <c r="Y340" s="462"/>
    </row>
    <row r="341" spans="1:31" ht="11.25" customHeight="1" thickBot="1">
      <c r="A341" s="418">
        <v>11</v>
      </c>
      <c r="B341" s="34"/>
      <c r="C341" s="23" t="s">
        <v>298</v>
      </c>
      <c r="D341" s="23" t="str">
        <f>IF(LFMAS="","mA/mAs",LFMAS)</f>
        <v>mAs</v>
      </c>
      <c r="E341" s="23" t="s">
        <v>389</v>
      </c>
      <c r="F341" s="23" t="s">
        <v>390</v>
      </c>
      <c r="G341" s="23" t="s">
        <v>391</v>
      </c>
      <c r="H341" s="194" t="s">
        <v>392</v>
      </c>
      <c r="I341" s="6" t="s">
        <v>393</v>
      </c>
      <c r="J341" s="6" t="s">
        <v>393</v>
      </c>
      <c r="K341" s="22" t="s">
        <v>393</v>
      </c>
      <c r="L341" s="465" t="s">
        <v>265</v>
      </c>
      <c r="M341" s="806"/>
      <c r="N341" s="263" t="str">
        <f t="shared" ref="N341:Q344" si="54">IF(AND($R341="",$S341=""),"",N$335)</f>
        <v/>
      </c>
      <c r="O341" s="263" t="str">
        <f t="shared" si="54"/>
        <v/>
      </c>
      <c r="P341" s="811"/>
      <c r="Q341" s="263" t="str">
        <f>IF(AND($R341="",$S341=""),"",Q$335)</f>
        <v/>
      </c>
      <c r="R341" s="308" t="str">
        <f>IF($S341="","",$R$335)</f>
        <v/>
      </c>
      <c r="S341" s="436"/>
      <c r="T341" s="817"/>
      <c r="U341" s="427"/>
      <c r="V341" s="428"/>
      <c r="W341" s="429"/>
      <c r="X341" s="455" t="s">
        <v>265</v>
      </c>
      <c r="Y341" s="462"/>
    </row>
    <row r="342" spans="1:31" ht="11.25" customHeight="1">
      <c r="A342" s="418">
        <v>12</v>
      </c>
      <c r="B342" s="34"/>
      <c r="C342" s="20" t="str">
        <f t="shared" ref="C342:K342" si="55">IF(O209="","",O209)</f>
        <v/>
      </c>
      <c r="D342" s="20" t="str">
        <f t="shared" si="55"/>
        <v/>
      </c>
      <c r="E342" s="21" t="str">
        <f t="shared" si="55"/>
        <v/>
      </c>
      <c r="F342" s="20">
        <f t="shared" si="55"/>
        <v>150</v>
      </c>
      <c r="G342" s="20">
        <f t="shared" si="55"/>
        <v>100</v>
      </c>
      <c r="H342" s="21">
        <f t="shared" si="55"/>
        <v>3</v>
      </c>
      <c r="I342" s="20" t="str">
        <f t="shared" si="55"/>
        <v/>
      </c>
      <c r="J342" s="8" t="str">
        <f t="shared" si="55"/>
        <v/>
      </c>
      <c r="K342" s="326" t="str">
        <f t="shared" si="55"/>
        <v/>
      </c>
      <c r="L342" s="465" t="s">
        <v>265</v>
      </c>
      <c r="M342" s="806"/>
      <c r="N342" s="263" t="str">
        <f t="shared" si="54"/>
        <v/>
      </c>
      <c r="O342" s="263" t="str">
        <f t="shared" si="54"/>
        <v/>
      </c>
      <c r="P342" s="811"/>
      <c r="Q342" s="263" t="str">
        <f t="shared" si="54"/>
        <v/>
      </c>
      <c r="R342" s="308" t="str">
        <f>IF($S342="","",$R$335)</f>
        <v/>
      </c>
      <c r="S342" s="436"/>
      <c r="T342" s="817"/>
      <c r="U342" s="427"/>
      <c r="V342" s="428"/>
      <c r="W342" s="429"/>
      <c r="X342" s="455" t="s">
        <v>265</v>
      </c>
      <c r="Y342" s="462"/>
    </row>
    <row r="343" spans="1:31" ht="11.25" customHeight="1">
      <c r="A343" s="418">
        <v>13</v>
      </c>
      <c r="B343" s="34"/>
      <c r="C343" s="1"/>
      <c r="D343" s="1"/>
      <c r="E343" s="1"/>
      <c r="F343" s="1"/>
      <c r="G343" s="1"/>
      <c r="H343" s="1"/>
      <c r="I343" s="1"/>
      <c r="J343" s="1"/>
      <c r="K343" s="32"/>
      <c r="L343" s="465" t="s">
        <v>265</v>
      </c>
      <c r="M343" s="806"/>
      <c r="N343" s="263" t="str">
        <f t="shared" si="54"/>
        <v/>
      </c>
      <c r="O343" s="263" t="str">
        <f t="shared" si="54"/>
        <v/>
      </c>
      <c r="P343" s="811"/>
      <c r="Q343" s="263" t="str">
        <f t="shared" si="54"/>
        <v/>
      </c>
      <c r="R343" s="308" t="str">
        <f>IF($S343="","",$R$335)</f>
        <v/>
      </c>
      <c r="S343" s="436"/>
      <c r="T343" s="817"/>
      <c r="U343" s="427"/>
      <c r="V343" s="428"/>
      <c r="W343" s="429"/>
      <c r="X343" s="455" t="s">
        <v>265</v>
      </c>
      <c r="Y343" s="462"/>
    </row>
    <row r="344" spans="1:31" ht="11.25" customHeight="1" thickBot="1">
      <c r="A344" s="418">
        <v>14</v>
      </c>
      <c r="B344" s="156" t="str">
        <f>IF(M212="","",M212)</f>
        <v>Small:</v>
      </c>
      <c r="C344" s="2" t="str">
        <f>IF(N212="","",N212)</f>
        <v/>
      </c>
      <c r="D344" s="3" t="str">
        <f>IF(O212="","",O212)</f>
        <v>mm</v>
      </c>
      <c r="E344" s="1"/>
      <c r="F344" s="1"/>
      <c r="G344" s="1"/>
      <c r="H344" s="1"/>
      <c r="I344" s="4" t="s">
        <v>351</v>
      </c>
      <c r="J344" s="4" t="s">
        <v>386</v>
      </c>
      <c r="K344" s="325" t="s">
        <v>386</v>
      </c>
      <c r="L344" s="465" t="s">
        <v>265</v>
      </c>
      <c r="M344" s="809"/>
      <c r="N344" s="264" t="str">
        <f t="shared" si="54"/>
        <v/>
      </c>
      <c r="O344" s="264" t="str">
        <f t="shared" si="54"/>
        <v/>
      </c>
      <c r="P344" s="812"/>
      <c r="Q344" s="264" t="str">
        <f t="shared" si="54"/>
        <v/>
      </c>
      <c r="R344" s="334" t="str">
        <f>IF($S344="","",$R$335)</f>
        <v/>
      </c>
      <c r="S344" s="437"/>
      <c r="T344" s="818"/>
      <c r="U344" s="430"/>
      <c r="V344" s="431"/>
      <c r="W344" s="432"/>
      <c r="X344" s="455" t="s">
        <v>265</v>
      </c>
      <c r="Y344" s="462"/>
    </row>
    <row r="345" spans="1:31" ht="11.25" customHeight="1" thickTop="1">
      <c r="A345" s="418">
        <v>15</v>
      </c>
      <c r="B345" s="34"/>
      <c r="C345" s="1"/>
      <c r="D345" s="1"/>
      <c r="E345" s="1"/>
      <c r="F345" s="1"/>
      <c r="G345" s="1"/>
      <c r="H345" s="1"/>
      <c r="I345" s="4" t="s">
        <v>388</v>
      </c>
      <c r="J345" s="4" t="s">
        <v>388</v>
      </c>
      <c r="K345" s="325" t="s">
        <v>388</v>
      </c>
      <c r="L345" s="465" t="s">
        <v>265</v>
      </c>
      <c r="M345" s="67"/>
      <c r="N345" s="324" t="s">
        <v>70</v>
      </c>
      <c r="O345" s="50"/>
      <c r="P345" s="50"/>
      <c r="Q345" s="50"/>
      <c r="R345" s="50"/>
      <c r="S345" s="50"/>
      <c r="T345" s="50"/>
      <c r="U345" s="50"/>
      <c r="V345" s="50"/>
      <c r="W345" s="68"/>
      <c r="X345" s="455" t="s">
        <v>265</v>
      </c>
      <c r="Y345" s="462"/>
    </row>
    <row r="346" spans="1:31" ht="11.25" customHeight="1" thickBot="1">
      <c r="A346" s="418">
        <v>16</v>
      </c>
      <c r="B346" s="34"/>
      <c r="C346" s="23" t="s">
        <v>298</v>
      </c>
      <c r="D346" s="23" t="str">
        <f>IF(SFMAS="","mA/mAs",SFMAS)</f>
        <v>mAs</v>
      </c>
      <c r="E346" s="23" t="s">
        <v>389</v>
      </c>
      <c r="F346" s="23" t="s">
        <v>390</v>
      </c>
      <c r="G346" s="23" t="s">
        <v>391</v>
      </c>
      <c r="H346" s="194" t="s">
        <v>392</v>
      </c>
      <c r="I346" s="6" t="s">
        <v>393</v>
      </c>
      <c r="J346" s="6" t="s">
        <v>393</v>
      </c>
      <c r="K346" s="22" t="s">
        <v>393</v>
      </c>
      <c r="L346" s="465" t="s">
        <v>265</v>
      </c>
      <c r="M346" s="110"/>
      <c r="N346" s="38" t="s">
        <v>71</v>
      </c>
      <c r="W346" s="59"/>
      <c r="X346" s="455" t="s">
        <v>265</v>
      </c>
      <c r="Y346" s="462"/>
    </row>
    <row r="347" spans="1:31" ht="11.25" customHeight="1">
      <c r="A347" s="418">
        <v>17</v>
      </c>
      <c r="B347" s="34"/>
      <c r="C347" s="20" t="str">
        <f t="shared" ref="C347:K347" si="56">IF(O214="","",O214)</f>
        <v/>
      </c>
      <c r="D347" s="20" t="str">
        <f t="shared" si="56"/>
        <v/>
      </c>
      <c r="E347" s="21" t="str">
        <f t="shared" si="56"/>
        <v/>
      </c>
      <c r="F347" s="20">
        <f t="shared" si="56"/>
        <v>150</v>
      </c>
      <c r="G347" s="20">
        <f t="shared" si="56"/>
        <v>100</v>
      </c>
      <c r="H347" s="21">
        <f t="shared" si="56"/>
        <v>3</v>
      </c>
      <c r="I347" s="20" t="str">
        <f t="shared" si="56"/>
        <v/>
      </c>
      <c r="J347" s="8" t="str">
        <f t="shared" si="56"/>
        <v/>
      </c>
      <c r="K347" s="326" t="str">
        <f t="shared" si="56"/>
        <v/>
      </c>
      <c r="L347" s="465" t="s">
        <v>265</v>
      </c>
      <c r="M347" s="110"/>
      <c r="W347" s="59"/>
      <c r="X347" s="455" t="s">
        <v>265</v>
      </c>
      <c r="Y347" s="462"/>
    </row>
    <row r="348" spans="1:31" ht="11.25" customHeight="1" thickBot="1">
      <c r="A348" s="418">
        <v>18</v>
      </c>
      <c r="B348" s="34"/>
      <c r="C348" s="3" t="s">
        <v>395</v>
      </c>
      <c r="D348" s="1"/>
      <c r="E348" s="1"/>
      <c r="F348" s="1"/>
      <c r="G348" s="1"/>
      <c r="H348" s="1"/>
      <c r="I348" s="1"/>
      <c r="J348" s="1"/>
      <c r="K348" s="59"/>
      <c r="L348" s="465" t="s">
        <v>265</v>
      </c>
      <c r="M348" s="54"/>
      <c r="N348" s="42" t="s">
        <v>346</v>
      </c>
      <c r="O348" s="571" t="str">
        <f>IF(O331="1*","Note: Although this is a single phase generator, the exposure time was recorded in seconds, rather than pulses.","")</f>
        <v/>
      </c>
      <c r="P348" s="36"/>
      <c r="Q348" s="36"/>
      <c r="R348" s="36"/>
      <c r="S348" s="36"/>
      <c r="T348" s="36"/>
      <c r="U348" s="36"/>
      <c r="V348" s="36"/>
      <c r="W348" s="91"/>
      <c r="X348" s="455" t="s">
        <v>265</v>
      </c>
      <c r="Y348" s="462"/>
    </row>
    <row r="349" spans="1:31" ht="11.25" customHeight="1" thickBot="1">
      <c r="A349" s="418">
        <v>19</v>
      </c>
      <c r="B349" s="156"/>
      <c r="C349" s="3" t="s">
        <v>396</v>
      </c>
      <c r="D349" s="1"/>
      <c r="E349" s="1"/>
      <c r="F349" s="1"/>
      <c r="G349" s="1"/>
      <c r="H349" s="1"/>
      <c r="I349" s="33" t="s">
        <v>353</v>
      </c>
      <c r="J349" s="124" t="str">
        <f>IF($M219="","TBD",IF($M219=1,"YES",IF($M219=2,"NO","NA")))</f>
        <v>TBD</v>
      </c>
      <c r="K349" s="59"/>
      <c r="L349" s="465" t="s">
        <v>265</v>
      </c>
      <c r="M349" s="92" t="s">
        <v>72</v>
      </c>
      <c r="N349" s="36"/>
      <c r="O349" s="36"/>
      <c r="P349" s="36"/>
      <c r="Q349" s="36"/>
      <c r="R349" s="36"/>
      <c r="S349" s="36"/>
      <c r="T349" s="36"/>
      <c r="U349" s="36"/>
      <c r="V349" s="36"/>
      <c r="W349" s="91"/>
      <c r="X349" s="455" t="s">
        <v>265</v>
      </c>
      <c r="Y349" s="462"/>
    </row>
    <row r="350" spans="1:31" ht="11.25" customHeight="1">
      <c r="A350" s="418">
        <v>20</v>
      </c>
      <c r="B350" s="110"/>
      <c r="K350" s="59"/>
      <c r="L350" s="465" t="s">
        <v>265</v>
      </c>
      <c r="M350" s="93"/>
      <c r="N350" s="168" t="s">
        <v>56</v>
      </c>
      <c r="O350" s="488" t="str">
        <f>IF(O351&lt;&gt;"",O351,IF(OR(AB217=0,AB217=""),"",AB217))</f>
        <v/>
      </c>
      <c r="P350" s="36"/>
      <c r="Q350" s="36"/>
      <c r="R350" s="36"/>
      <c r="S350" s="36"/>
      <c r="T350" s="36"/>
      <c r="U350" s="36"/>
      <c r="V350" s="36"/>
      <c r="W350" s="91"/>
      <c r="X350" s="455" t="s">
        <v>265</v>
      </c>
      <c r="Y350" s="462"/>
    </row>
    <row r="351" spans="1:31" ht="11.25" customHeight="1">
      <c r="A351" s="418">
        <v>21</v>
      </c>
      <c r="B351" s="110"/>
      <c r="C351" s="115" t="s">
        <v>354</v>
      </c>
      <c r="D351" s="88" t="s">
        <v>397</v>
      </c>
      <c r="K351" s="59"/>
      <c r="L351" s="465" t="s">
        <v>265</v>
      </c>
      <c r="M351" s="54"/>
      <c r="N351" s="605" t="s">
        <v>366</v>
      </c>
      <c r="O351" s="607"/>
      <c r="P351" s="559">
        <f>LEN(O350)</f>
        <v>0</v>
      </c>
      <c r="Q351" s="450"/>
      <c r="R351" s="450"/>
      <c r="S351" s="450"/>
      <c r="T351" s="450"/>
      <c r="U351" s="450"/>
      <c r="V351" s="450"/>
      <c r="W351" s="608"/>
      <c r="X351" s="455" t="s">
        <v>265</v>
      </c>
      <c r="Y351" s="462"/>
      <c r="AB351" s="335"/>
      <c r="AC351" s="377" t="str">
        <f t="shared" ref="AC351" si="57">IF(AND(OR(AB351="",AB351=0),OR(AD351="",AD351=0)),"",IF(AB351&lt;&gt;AD351,"Change",""))</f>
        <v/>
      </c>
      <c r="AD351" s="640"/>
      <c r="AE351" s="397"/>
    </row>
    <row r="352" spans="1:31" ht="11.25" customHeight="1">
      <c r="A352" s="418">
        <v>22</v>
      </c>
      <c r="B352" s="110"/>
      <c r="K352" s="59"/>
      <c r="L352" s="465" t="s">
        <v>265</v>
      </c>
      <c r="M352" s="54"/>
      <c r="R352" s="127" t="str">
        <f>"Time"&amp;IF($O$331=1," (Pulses)"," (sec)")</f>
        <v>Time (sec)</v>
      </c>
      <c r="S352" s="128"/>
      <c r="T352" s="37" t="s">
        <v>352</v>
      </c>
      <c r="U352" s="37" t="s">
        <v>73</v>
      </c>
      <c r="V352" s="37" t="s">
        <v>74</v>
      </c>
      <c r="W352" s="57" t="s">
        <v>75</v>
      </c>
      <c r="X352" s="455" t="s">
        <v>265</v>
      </c>
      <c r="Y352" s="462"/>
      <c r="AE352"/>
    </row>
    <row r="353" spans="1:31" ht="11.25" customHeight="1" thickBot="1">
      <c r="A353" s="418">
        <v>23</v>
      </c>
      <c r="B353" s="90" t="s">
        <v>346</v>
      </c>
      <c r="C353" s="560" t="str">
        <f>IF(O223="","",IF(LEN(O223)&lt;=135,O223,IF(LEN(O223)&lt;=260,LEFT(O223,SEARCH(" ",O223,125)),LEFT(O223,SEARCH(" ",O223,130)))))</f>
        <v/>
      </c>
      <c r="D353" s="2"/>
      <c r="E353" s="2"/>
      <c r="F353" s="2"/>
      <c r="G353" s="2"/>
      <c r="H353" s="2"/>
      <c r="I353" s="2"/>
      <c r="J353" s="2"/>
      <c r="K353" s="59"/>
      <c r="L353" s="465" t="s">
        <v>265</v>
      </c>
      <c r="M353" s="54"/>
      <c r="R353" s="126" t="s">
        <v>350</v>
      </c>
      <c r="S353" s="120" t="s">
        <v>351</v>
      </c>
      <c r="T353" s="126" t="str">
        <f>IF($O$331=1," (Pulses)"," (Percent)")</f>
        <v xml:space="preserve"> (Percent)</v>
      </c>
      <c r="U353" s="126" t="s">
        <v>373</v>
      </c>
      <c r="V353" s="126" t="s">
        <v>373</v>
      </c>
      <c r="W353" s="166" t="s">
        <v>373</v>
      </c>
      <c r="X353" s="455" t="s">
        <v>265</v>
      </c>
      <c r="Y353" s="462"/>
      <c r="AE353"/>
    </row>
    <row r="354" spans="1:31" ht="11.25" customHeight="1">
      <c r="A354" s="418">
        <v>24</v>
      </c>
      <c r="B354" s="34"/>
      <c r="C354" s="561" t="str">
        <f>IF(LEN(O223)&lt;=135,"",IF(LEN(O223)&lt;=260,RIGHT(O223,LEN(O223)-SEARCH(" ",O223,125)),MID(O223,SEARCH(" ",O223,130),IF(LEN(O223)&lt;=265,LEN(O223),SEARCH(" ",O223,255)-SEARCH(" ",O223,130)))))</f>
        <v/>
      </c>
      <c r="D354" s="2"/>
      <c r="E354" s="2"/>
      <c r="F354" s="2"/>
      <c r="G354" s="2"/>
      <c r="H354" s="2"/>
      <c r="I354" s="2"/>
      <c r="J354" s="2"/>
      <c r="K354" s="59"/>
      <c r="L354" s="465" t="s">
        <v>265</v>
      </c>
      <c r="M354" s="54"/>
      <c r="R354" s="106">
        <f t="shared" ref="R354:R363" si="58">IF(S335="","",S335)</f>
        <v>0.01</v>
      </c>
      <c r="S354" s="197" t="str">
        <f t="shared" ref="S354:S363" si="59">IF(V335="","",V335)</f>
        <v/>
      </c>
      <c r="T354" s="510" t="str">
        <f>IF(OR(E484="",F484="",AND(LFMAS="",SFMAS=""),AND(Tables!$P$83="Large",LFMAS="mAs"),AND(Tables!$P$83="Small",SFMAS="mAs")),"",IF($O$331=1,(F484-E484),IF(AND(E484&gt;0,F484&gt;0),(ROUND(100*(F484-E484)/E484,1)),"")))</f>
        <v/>
      </c>
      <c r="U354" s="104" t="str">
        <f t="shared" ref="U354:U363" si="60">IF(OR($M$332&lt;&gt;1,P331=1,AND(LFMAS="",SFMAS="")),"",IF(V335="","",IF(E484&lt;0.002,IF(ABS(G484)&gt;25,"NO","YES"),IF(E484&lt;=0.01,IF(ABS(G484)&gt;20,"NO","YES"),IF(E484&lt;=0.05,IF(ABS(G484)&gt;15,"NO","YES"),IF(E484&lt;=0.1,IF(ABS(G484)&gt;10,"NO","YES"),IF(ABS(G484)&gt;5,"NO","YES")))))))</f>
        <v/>
      </c>
      <c r="V354" s="104" t="str">
        <f t="shared" ref="V354:V363" si="61">IF(OR($M$332&lt;&gt;1,P331&lt;&gt;1,AND(LFMAS="",SFMAS="")),"",IF(V335="","",IF(E484&lt;=4,IF(ABS(G484)&gt;0,"NO","YES"),IF(E484&lt;=24,IF(ABS(G484)&gt;1,"NO","YES"),IF(E484&lt;=60,IF(ABS(G484)&gt;2,"NO","YES"),IF(ABS(G484)&gt;3,"NO","YES"))))))</f>
        <v/>
      </c>
      <c r="W354" s="720" t="str">
        <f t="shared" ref="W354:W363" si="62">IF(OR($M$332&lt;&gt;1,P331&lt;&gt;"Dent",AND(LFMAS="",SFMAS="")),"",IF(V335="","",IF(ABS(G484)&gt;15,"NO","YES")))</f>
        <v/>
      </c>
      <c r="X354" s="455" t="s">
        <v>265</v>
      </c>
      <c r="Y354" s="462"/>
      <c r="Z354" s="330"/>
      <c r="AE354"/>
    </row>
    <row r="355" spans="1:31" ht="11.25" customHeight="1">
      <c r="A355" s="418">
        <v>25</v>
      </c>
      <c r="B355" s="34"/>
      <c r="C355" s="560" t="str">
        <f>IF(LEN(O223)&lt;=265,"",RIGHT(O223,LEN(O223)-SEARCH(" ",O223,255)))</f>
        <v/>
      </c>
      <c r="D355" s="2"/>
      <c r="E355" s="2"/>
      <c r="F355" s="2"/>
      <c r="G355" s="2"/>
      <c r="H355" s="2"/>
      <c r="I355" s="2"/>
      <c r="J355" s="2"/>
      <c r="K355" s="59"/>
      <c r="L355" s="465" t="s">
        <v>265</v>
      </c>
      <c r="M355" s="54"/>
      <c r="R355" s="106">
        <f t="shared" si="58"/>
        <v>0.02</v>
      </c>
      <c r="S355" s="197" t="str">
        <f t="shared" si="59"/>
        <v/>
      </c>
      <c r="T355" s="510" t="str">
        <f>IF(OR(E485="",F485="",AND(LFMAS="",SFMAS=""),AND(Tables!$P$83="Large",LFMAS="mAs"),AND(Tables!$P$83="Small",SFMAS="mAs")),"",IF($O$331=1,(F485-E485),IF(AND(E485&gt;0,F485&gt;0),(ROUND(100*(F485-E485)/E485,1)),"")))</f>
        <v/>
      </c>
      <c r="U355" s="104" t="str">
        <f t="shared" si="60"/>
        <v/>
      </c>
      <c r="V355" s="104" t="str">
        <f t="shared" si="61"/>
        <v/>
      </c>
      <c r="W355" s="720" t="str">
        <f t="shared" si="62"/>
        <v/>
      </c>
      <c r="X355" s="455" t="s">
        <v>265</v>
      </c>
      <c r="Y355" s="462"/>
      <c r="Z355" s="330"/>
      <c r="AE355"/>
    </row>
    <row r="356" spans="1:31" ht="11.25" customHeight="1" thickBot="1">
      <c r="A356" s="418">
        <v>26</v>
      </c>
      <c r="B356" s="86"/>
      <c r="C356" s="71"/>
      <c r="D356" s="71"/>
      <c r="E356" s="71"/>
      <c r="F356" s="71"/>
      <c r="G356" s="71"/>
      <c r="H356" s="71"/>
      <c r="I356" s="71"/>
      <c r="J356" s="71"/>
      <c r="K356" s="74"/>
      <c r="L356" s="465" t="s">
        <v>265</v>
      </c>
      <c r="M356" s="54"/>
      <c r="R356" s="106">
        <f t="shared" si="58"/>
        <v>0.04</v>
      </c>
      <c r="S356" s="197" t="str">
        <f t="shared" si="59"/>
        <v/>
      </c>
      <c r="T356" s="510" t="str">
        <f>IF(OR(E486="",F486="",AND(LFMAS="",SFMAS=""),AND(Tables!$P$83="Large",LFMAS="mAs"),AND(Tables!$P$83="Small",SFMAS="mAs")),"",IF($O$331=1,(F486-E486),IF(AND(E486&gt;0,F486&gt;0),(ROUND(100*(F486-E486)/E486,1)),"")))</f>
        <v/>
      </c>
      <c r="U356" s="104" t="str">
        <f t="shared" si="60"/>
        <v/>
      </c>
      <c r="V356" s="104" t="str">
        <f t="shared" si="61"/>
        <v/>
      </c>
      <c r="W356" s="720" t="str">
        <f t="shared" si="62"/>
        <v/>
      </c>
      <c r="X356" s="455" t="s">
        <v>265</v>
      </c>
      <c r="Y356" s="462"/>
      <c r="Z356" s="330"/>
      <c r="AE356"/>
    </row>
    <row r="357" spans="1:31" ht="11.25" customHeight="1" thickTop="1">
      <c r="A357" s="418">
        <v>27</v>
      </c>
      <c r="L357" s="465" t="s">
        <v>265</v>
      </c>
      <c r="M357" s="110"/>
      <c r="R357" s="106">
        <f t="shared" si="58"/>
        <v>0.1</v>
      </c>
      <c r="S357" s="197" t="str">
        <f t="shared" si="59"/>
        <v/>
      </c>
      <c r="T357" s="510" t="str">
        <f>IF(OR(E487="",F487="",AND(LFMAS="",SFMAS=""),AND(Tables!$P$83="Large",LFMAS="mAs"),AND(Tables!$P$83="Small",SFMAS="mAs")),"",IF($O$331=1,(F487-E487),IF(AND(E487&gt;0,F487&gt;0),(ROUND(100*(F487-E487)/E487,1)),"")))</f>
        <v/>
      </c>
      <c r="U357" s="104" t="str">
        <f t="shared" si="60"/>
        <v/>
      </c>
      <c r="V357" s="104" t="str">
        <f t="shared" si="61"/>
        <v/>
      </c>
      <c r="W357" s="720" t="str">
        <f t="shared" si="62"/>
        <v/>
      </c>
      <c r="X357" s="455" t="s">
        <v>265</v>
      </c>
      <c r="Y357" s="462"/>
      <c r="Z357" s="330"/>
      <c r="AE357"/>
    </row>
    <row r="358" spans="1:31" ht="11.25" customHeight="1">
      <c r="A358" s="418">
        <v>28</v>
      </c>
      <c r="L358" s="465" t="s">
        <v>265</v>
      </c>
      <c r="M358" s="73"/>
      <c r="R358" s="106">
        <f t="shared" si="58"/>
        <v>0.25</v>
      </c>
      <c r="S358" s="197" t="str">
        <f t="shared" si="59"/>
        <v/>
      </c>
      <c r="T358" s="510" t="str">
        <f>IF(OR(E488="",F488="",AND(LFMAS="",SFMAS=""),AND(Tables!$P$83="Large",LFMAS="mAs"),AND(Tables!$P$83="Small",SFMAS="mAs")),"",IF($O$331=1,(F488-E488),IF(AND(E488&gt;0,F488&gt;0),(ROUND(100*(F488-E488)/E488,1)),"")))</f>
        <v/>
      </c>
      <c r="U358" s="104" t="str">
        <f t="shared" si="60"/>
        <v/>
      </c>
      <c r="V358" s="104" t="str">
        <f t="shared" si="61"/>
        <v/>
      </c>
      <c r="W358" s="720" t="str">
        <f t="shared" si="62"/>
        <v/>
      </c>
      <c r="X358" s="455" t="s">
        <v>265</v>
      </c>
      <c r="Y358" s="462"/>
      <c r="Z358" s="330"/>
      <c r="AE358"/>
    </row>
    <row r="359" spans="1:31" ht="11.25" customHeight="1">
      <c r="A359" s="418">
        <v>29</v>
      </c>
      <c r="F359" s="151" t="s">
        <v>26</v>
      </c>
      <c r="L359" s="465" t="s">
        <v>265</v>
      </c>
      <c r="M359" s="54"/>
      <c r="N359" s="37"/>
      <c r="O359" s="270" t="str">
        <f>IF(AND(O348="",O291=""),"",IF(AND(O348&lt;&gt;"",O291=""),"Accuracy:  "&amp;O348,IF(AND(O348="",O291&lt;&gt;""),"Reproducibility:  "&amp;O291,"Accuracy:  "&amp;O348&amp;";  Reproducibility:  "&amp;O291)))</f>
        <v/>
      </c>
      <c r="P359" s="37"/>
      <c r="Q359" s="37"/>
      <c r="R359" s="106">
        <f t="shared" si="58"/>
        <v>0.4</v>
      </c>
      <c r="S359" s="197" t="str">
        <f t="shared" si="59"/>
        <v/>
      </c>
      <c r="T359" s="510" t="str">
        <f>IF(OR(E489="",F489="",AND(LFMAS="",SFMAS=""),AND(Tables!$P$83="Large",LFMAS="mAs"),AND(Tables!$P$83="Small",SFMAS="mAs")),"",IF($O$331=1,(F489-E489),IF(AND(E489&gt;0,F489&gt;0),(ROUND(100*(F489-E489)/E489,1)),"")))</f>
        <v/>
      </c>
      <c r="U359" s="104" t="str">
        <f t="shared" si="60"/>
        <v/>
      </c>
      <c r="V359" s="104" t="str">
        <f t="shared" si="61"/>
        <v/>
      </c>
      <c r="W359" s="720" t="str">
        <f t="shared" si="62"/>
        <v/>
      </c>
      <c r="X359" s="455" t="s">
        <v>265</v>
      </c>
      <c r="Y359" s="462"/>
      <c r="Z359" s="330"/>
      <c r="AE359"/>
    </row>
    <row r="360" spans="1:31" ht="11.25" customHeight="1" thickBot="1">
      <c r="A360" s="418">
        <v>30</v>
      </c>
      <c r="F360" s="191"/>
      <c r="L360" s="465" t="s">
        <v>265</v>
      </c>
      <c r="M360" s="54"/>
      <c r="N360" s="37"/>
      <c r="O360" s="38"/>
      <c r="P360" s="37" t="s">
        <v>77</v>
      </c>
      <c r="Q360" s="37"/>
      <c r="R360" s="106" t="str">
        <f t="shared" si="58"/>
        <v/>
      </c>
      <c r="S360" s="197" t="str">
        <f t="shared" si="59"/>
        <v/>
      </c>
      <c r="T360" s="104" t="str">
        <f>IF(OR(E490="",F490="",AND(LFMAS="",SFMAS=""),AND(Tables!$P$83="Large",LFMAS="mAs"),AND(Tables!$P$83="Small",SFMAS="mAs")),"",IF($O$331=1,(F490-E490),IF(AND(E490&gt;0,F490&gt;0),(ROUND(100*(F490-E490)/E490,1)),"")))</f>
        <v/>
      </c>
      <c r="U360" s="104" t="str">
        <f t="shared" si="60"/>
        <v/>
      </c>
      <c r="V360" s="104" t="str">
        <f t="shared" si="61"/>
        <v/>
      </c>
      <c r="W360" s="720" t="str">
        <f t="shared" si="62"/>
        <v/>
      </c>
      <c r="X360" s="455" t="s">
        <v>265</v>
      </c>
      <c r="Y360" s="462"/>
      <c r="Z360" s="330"/>
      <c r="AE360"/>
    </row>
    <row r="361" spans="1:31" ht="11.25" customHeight="1" thickTop="1">
      <c r="A361" s="418">
        <v>31</v>
      </c>
      <c r="B361" s="67"/>
      <c r="C361" s="50"/>
      <c r="D361" s="50"/>
      <c r="E361" s="50"/>
      <c r="F361" s="50"/>
      <c r="G361" s="50"/>
      <c r="H361" s="50"/>
      <c r="I361" s="50"/>
      <c r="J361" s="50"/>
      <c r="K361" s="68"/>
      <c r="L361" s="465" t="s">
        <v>265</v>
      </c>
      <c r="M361" s="54"/>
      <c r="N361" s="37"/>
      <c r="P361" s="37"/>
      <c r="Q361" s="37"/>
      <c r="R361" s="106" t="str">
        <f t="shared" si="58"/>
        <v/>
      </c>
      <c r="S361" s="197" t="str">
        <f t="shared" si="59"/>
        <v/>
      </c>
      <c r="T361" s="104" t="str">
        <f>IF(OR(E491="",F491="",AND(LFMAS="",SFMAS=""),AND(Tables!$P$83="Large",LFMAS="mAs"),AND(Tables!$P$83="Small",SFMAS="mAs")),"",IF($O$331=1,(F491-E491),IF(AND(E491&gt;0,F491&gt;0),(ROUND(100*(F491-E491)/E491,1)),"")))</f>
        <v/>
      </c>
      <c r="U361" s="104" t="str">
        <f t="shared" si="60"/>
        <v/>
      </c>
      <c r="V361" s="104" t="str">
        <f t="shared" si="61"/>
        <v/>
      </c>
      <c r="W361" s="720" t="str">
        <f t="shared" si="62"/>
        <v/>
      </c>
      <c r="X361" s="455" t="s">
        <v>265</v>
      </c>
      <c r="Y361" s="462"/>
      <c r="Z361" s="330"/>
      <c r="AE361"/>
    </row>
    <row r="362" spans="1:31" ht="11.25" customHeight="1">
      <c r="A362" s="418">
        <v>32</v>
      </c>
      <c r="B362" s="110"/>
      <c r="C362" s="42" t="s">
        <v>21</v>
      </c>
      <c r="D362" s="47" t="str">
        <f>IF($O$227="","",$O$227)</f>
        <v>Piranha CB2-19020491</v>
      </c>
      <c r="E362" s="47"/>
      <c r="F362" s="37"/>
      <c r="G362" s="42" t="s">
        <v>538</v>
      </c>
      <c r="H362" s="683" t="str">
        <f>IF(S227="","",S227)</f>
        <v/>
      </c>
      <c r="J362" s="42" t="s">
        <v>540</v>
      </c>
      <c r="K362" s="684" t="str">
        <f>IF(S228="","",S228)</f>
        <v/>
      </c>
      <c r="L362" s="465" t="s">
        <v>265</v>
      </c>
      <c r="M362" s="54"/>
      <c r="N362" s="37"/>
      <c r="O362" s="270" t="str">
        <f>IF(AND(O350="",O293=""),"",IF(AND(O350&lt;&gt;"",O293=""),"Accuracy:  "&amp;O350,IF(AND(O350="",O293&lt;&gt;""),"Reproducibility:  "&amp;O293,"Accuracy:  "&amp;O350&amp;";  Reproducibility:  "&amp;O293)))</f>
        <v/>
      </c>
      <c r="P362" s="37"/>
      <c r="Q362" s="37"/>
      <c r="R362" s="106" t="str">
        <f t="shared" si="58"/>
        <v/>
      </c>
      <c r="S362" s="197" t="str">
        <f t="shared" si="59"/>
        <v/>
      </c>
      <c r="T362" s="104" t="str">
        <f>IF(OR(E492="",F492="",AND(LFMAS="",SFMAS=""),AND(Tables!$P$83="Large",LFMAS="mAs"),AND(Tables!$P$83="Small",SFMAS="mAs")),"",IF($O$331=1,(F492-E492),IF(AND(E492&gt;0,F492&gt;0),(ROUND(100*(F492-E492)/E492,1)),"")))</f>
        <v/>
      </c>
      <c r="U362" s="104" t="str">
        <f t="shared" si="60"/>
        <v/>
      </c>
      <c r="V362" s="104" t="str">
        <f t="shared" si="61"/>
        <v/>
      </c>
      <c r="W362" s="720" t="str">
        <f t="shared" si="62"/>
        <v/>
      </c>
      <c r="X362" s="455" t="s">
        <v>265</v>
      </c>
      <c r="Y362" s="462"/>
      <c r="Z362" s="330"/>
      <c r="AE362"/>
    </row>
    <row r="363" spans="1:31" ht="11.25" customHeight="1">
      <c r="A363" s="418">
        <v>33</v>
      </c>
      <c r="B363" s="110"/>
      <c r="C363" s="1"/>
      <c r="D363" s="1"/>
      <c r="E363" s="1"/>
      <c r="G363" s="1"/>
      <c r="H363" s="1"/>
      <c r="I363" s="1"/>
      <c r="J363" s="1"/>
      <c r="K363" s="59"/>
      <c r="L363" s="465" t="s">
        <v>265</v>
      </c>
      <c r="M363" s="54"/>
      <c r="N363" s="37"/>
      <c r="O363" s="37"/>
      <c r="P363" s="37"/>
      <c r="Q363" s="37"/>
      <c r="R363" s="106" t="str">
        <f t="shared" si="58"/>
        <v/>
      </c>
      <c r="S363" s="197" t="str">
        <f t="shared" si="59"/>
        <v/>
      </c>
      <c r="T363" s="104" t="str">
        <f>IF(OR(E493="",F493="",AND(LFMAS="",SFMAS=""),AND(Tables!$P$83="Large",LFMAS="mAs"),AND(Tables!$P$83="Small",SFMAS="mAs")),"",IF($O$331=1,(F493-E493),IF(AND(E493&gt;0,F493&gt;0),(ROUND(100*(F493-E493)/E493,1)),"")))</f>
        <v/>
      </c>
      <c r="U363" s="104" t="str">
        <f t="shared" si="60"/>
        <v/>
      </c>
      <c r="V363" s="104" t="str">
        <f t="shared" si="61"/>
        <v/>
      </c>
      <c r="W363" s="720" t="str">
        <f t="shared" si="62"/>
        <v/>
      </c>
      <c r="X363" s="455" t="s">
        <v>265</v>
      </c>
      <c r="Y363" s="462"/>
      <c r="Z363" s="330"/>
      <c r="AE363"/>
    </row>
    <row r="364" spans="1:31" ht="11.25" customHeight="1">
      <c r="A364" s="418">
        <v>34</v>
      </c>
      <c r="B364" s="223" t="s">
        <v>42</v>
      </c>
      <c r="C364" s="96"/>
      <c r="D364" s="1"/>
      <c r="E364" s="1"/>
      <c r="G364" s="1"/>
      <c r="H364" s="1"/>
      <c r="I364" s="1"/>
      <c r="J364" s="1"/>
      <c r="K364" s="59"/>
      <c r="L364" s="465" t="s">
        <v>265</v>
      </c>
      <c r="M364" s="54"/>
      <c r="N364" s="256" t="s">
        <v>78</v>
      </c>
      <c r="O364" s="37"/>
      <c r="P364" s="37"/>
      <c r="Q364" s="37"/>
      <c r="R364" s="37"/>
      <c r="S364" s="37"/>
      <c r="T364" s="37"/>
      <c r="U364" s="37"/>
      <c r="V364" s="37"/>
      <c r="W364" s="57"/>
      <c r="X364" s="455" t="s">
        <v>265</v>
      </c>
      <c r="Y364" s="462"/>
      <c r="Z364" s="330"/>
      <c r="AE364"/>
    </row>
    <row r="365" spans="1:31" ht="11.25" customHeight="1">
      <c r="A365" s="418">
        <v>35</v>
      </c>
      <c r="B365" s="54"/>
      <c r="C365" s="37"/>
      <c r="D365" s="37"/>
      <c r="E365" s="37"/>
      <c r="F365" s="37"/>
      <c r="G365" s="37"/>
      <c r="H365" s="37"/>
      <c r="I365" s="37"/>
      <c r="J365" s="37"/>
      <c r="K365" s="57"/>
      <c r="L365" s="465" t="s">
        <v>265</v>
      </c>
      <c r="M365" s="54"/>
      <c r="N365" s="37" t="s">
        <v>293</v>
      </c>
      <c r="O365" s="37"/>
      <c r="P365" s="37"/>
      <c r="Q365" s="37"/>
      <c r="R365" s="37" t="s">
        <v>293</v>
      </c>
      <c r="S365" s="37"/>
      <c r="T365" s="37"/>
      <c r="U365" s="37"/>
      <c r="V365" s="37"/>
      <c r="W365" s="57"/>
      <c r="X365" s="455" t="s">
        <v>265</v>
      </c>
      <c r="Y365" s="462"/>
      <c r="Z365" s="330"/>
      <c r="AE365"/>
    </row>
    <row r="366" spans="1:31" ht="11.25" customHeight="1">
      <c r="A366" s="418">
        <v>36</v>
      </c>
      <c r="B366" s="110"/>
      <c r="K366" s="59"/>
      <c r="L366" s="465" t="s">
        <v>265</v>
      </c>
      <c r="M366" s="54"/>
      <c r="N366" s="36" t="s">
        <v>79</v>
      </c>
      <c r="O366" s="160" t="s">
        <v>80</v>
      </c>
      <c r="P366" s="160" t="s">
        <v>81</v>
      </c>
      <c r="Q366" s="37"/>
      <c r="R366" s="36" t="s">
        <v>79</v>
      </c>
      <c r="S366" s="160" t="s">
        <v>355</v>
      </c>
      <c r="T366" s="160" t="s">
        <v>81</v>
      </c>
      <c r="U366" s="37"/>
      <c r="V366" s="37"/>
      <c r="W366" s="57"/>
      <c r="X366" s="455" t="s">
        <v>265</v>
      </c>
      <c r="Y366" s="462"/>
      <c r="Z366" s="330"/>
      <c r="AE366"/>
    </row>
    <row r="367" spans="1:31" ht="11.25" customHeight="1">
      <c r="A367" s="418">
        <v>37</v>
      </c>
      <c r="B367" s="110"/>
      <c r="C367" s="37" t="s">
        <v>43</v>
      </c>
      <c r="H367" s="37" t="s">
        <v>44</v>
      </c>
      <c r="K367" s="59"/>
      <c r="L367" s="465" t="s">
        <v>265</v>
      </c>
      <c r="M367" s="54"/>
      <c r="N367" s="37" t="s">
        <v>82</v>
      </c>
      <c r="O367" s="161" t="s">
        <v>498</v>
      </c>
      <c r="P367" s="169">
        <v>0</v>
      </c>
      <c r="Q367" s="38" t="s">
        <v>83</v>
      </c>
      <c r="R367" s="37" t="s">
        <v>84</v>
      </c>
      <c r="S367" s="161" t="s">
        <v>85</v>
      </c>
      <c r="T367" s="170">
        <v>0.15</v>
      </c>
      <c r="U367" s="37"/>
      <c r="V367" s="37"/>
      <c r="W367" s="57"/>
      <c r="X367" s="455" t="s">
        <v>265</v>
      </c>
      <c r="Y367" s="462"/>
      <c r="Z367" s="330"/>
      <c r="AE367"/>
    </row>
    <row r="368" spans="1:31" ht="11.25" customHeight="1">
      <c r="A368" s="418">
        <v>38</v>
      </c>
      <c r="B368" s="110"/>
      <c r="K368" s="59"/>
      <c r="L368" s="465" t="s">
        <v>265</v>
      </c>
      <c r="M368" s="54"/>
      <c r="N368" s="37"/>
      <c r="O368" s="161" t="s">
        <v>499</v>
      </c>
      <c r="P368" s="169">
        <v>1</v>
      </c>
      <c r="Q368" s="38" t="s">
        <v>495</v>
      </c>
      <c r="R368" s="37"/>
      <c r="S368" s="171" t="s">
        <v>86</v>
      </c>
      <c r="T368" s="170">
        <v>0.1</v>
      </c>
      <c r="U368" s="37"/>
      <c r="V368" s="37"/>
      <c r="W368" s="57"/>
      <c r="X368" s="455" t="s">
        <v>265</v>
      </c>
      <c r="Y368" s="462"/>
      <c r="Z368" s="330"/>
      <c r="AE368"/>
    </row>
    <row r="369" spans="1:31" ht="11.25" customHeight="1">
      <c r="A369" s="418">
        <v>39</v>
      </c>
      <c r="B369" s="90" t="s">
        <v>45</v>
      </c>
      <c r="C369" s="36">
        <f>IF(N234="","",N234)</f>
        <v>100</v>
      </c>
      <c r="D369" s="38" t="str">
        <f>N233</f>
        <v>cm</v>
      </c>
      <c r="E369" s="37"/>
      <c r="F369" s="37"/>
      <c r="G369" s="42" t="s">
        <v>45</v>
      </c>
      <c r="H369" s="36">
        <f>IF(N252="","",N252)</f>
        <v>100</v>
      </c>
      <c r="I369" s="38" t="str">
        <f>N251</f>
        <v>cm</v>
      </c>
      <c r="J369" s="37"/>
      <c r="K369" s="57"/>
      <c r="L369" s="465" t="s">
        <v>265</v>
      </c>
      <c r="M369" s="54"/>
      <c r="N369" s="37"/>
      <c r="O369" s="161" t="s">
        <v>496</v>
      </c>
      <c r="P369" s="169">
        <v>2</v>
      </c>
      <c r="Q369" s="38" t="s">
        <v>83</v>
      </c>
      <c r="R369" s="37"/>
      <c r="S369" s="161" t="s">
        <v>87</v>
      </c>
      <c r="T369" s="170">
        <v>0.05</v>
      </c>
      <c r="U369" s="37"/>
      <c r="V369" s="37"/>
      <c r="W369" s="57"/>
      <c r="X369" s="455" t="s">
        <v>265</v>
      </c>
      <c r="Y369" s="462"/>
      <c r="Z369" s="330"/>
      <c r="AE369"/>
    </row>
    <row r="370" spans="1:31" ht="11.25" customHeight="1">
      <c r="A370" s="418">
        <v>40</v>
      </c>
      <c r="B370" s="90" t="s">
        <v>360</v>
      </c>
      <c r="C370" s="49" t="str">
        <f>IF(R234="","",IF(LFMAS="mA",R234,""))</f>
        <v/>
      </c>
      <c r="D370" s="37"/>
      <c r="E370" s="37"/>
      <c r="F370" s="42"/>
      <c r="G370" s="42" t="s">
        <v>46</v>
      </c>
      <c r="H370" s="49" t="str">
        <f>IF(R252="","",IF(SFMAS="mA",R252,""))</f>
        <v/>
      </c>
      <c r="J370" s="37"/>
      <c r="K370" s="57"/>
      <c r="L370" s="465" t="s">
        <v>265</v>
      </c>
      <c r="M370" s="54"/>
      <c r="N370" s="36"/>
      <c r="O370" s="160" t="s">
        <v>497</v>
      </c>
      <c r="P370" s="159">
        <v>3</v>
      </c>
      <c r="Q370" s="38" t="s">
        <v>83</v>
      </c>
      <c r="R370" s="63" t="s">
        <v>88</v>
      </c>
      <c r="S370" s="173" t="s">
        <v>85</v>
      </c>
      <c r="T370" s="174">
        <v>0.2</v>
      </c>
      <c r="U370" s="37"/>
      <c r="V370" s="37"/>
      <c r="W370" s="57"/>
      <c r="X370" s="455" t="s">
        <v>265</v>
      </c>
      <c r="Y370" s="462"/>
      <c r="Z370" s="330"/>
      <c r="AE370"/>
    </row>
    <row r="371" spans="1:31" ht="11.25" customHeight="1">
      <c r="A371" s="418">
        <v>41</v>
      </c>
      <c r="B371" s="90" t="s">
        <v>361</v>
      </c>
      <c r="C371" s="49">
        <f>IF(R234="","",IF(LFMAS="mAs",R234,""))</f>
        <v>20</v>
      </c>
      <c r="D371" s="37"/>
      <c r="E371" s="37"/>
      <c r="F371" s="37"/>
      <c r="G371" s="42" t="s">
        <v>361</v>
      </c>
      <c r="H371" s="49">
        <f>IF(R252="","",IF(SFMAS="mAs",R252,""))</f>
        <v>10</v>
      </c>
      <c r="J371" s="37"/>
      <c r="K371" s="57"/>
      <c r="L371" s="465" t="s">
        <v>265</v>
      </c>
      <c r="M371" s="54"/>
      <c r="N371" s="37" t="s">
        <v>89</v>
      </c>
      <c r="O371" s="161" t="s">
        <v>85</v>
      </c>
      <c r="P371" s="170">
        <v>0.25</v>
      </c>
      <c r="Q371" s="37"/>
      <c r="R371" s="37"/>
      <c r="S371" s="171" t="s">
        <v>86</v>
      </c>
      <c r="T371" s="170">
        <v>0.15</v>
      </c>
      <c r="U371" s="37"/>
      <c r="V371" s="37"/>
      <c r="W371" s="57"/>
      <c r="X371" s="455" t="s">
        <v>265</v>
      </c>
      <c r="Y371" s="462"/>
      <c r="Z371" s="330"/>
      <c r="AE371"/>
    </row>
    <row r="372" spans="1:31" ht="11.25" customHeight="1">
      <c r="A372" s="418">
        <v>42</v>
      </c>
      <c r="B372" s="90" t="s">
        <v>47</v>
      </c>
      <c r="C372" s="129" t="str">
        <f>IF(S234="","",S234)</f>
        <v/>
      </c>
      <c r="D372" s="37"/>
      <c r="E372" s="37"/>
      <c r="F372" s="37"/>
      <c r="G372" s="42" t="s">
        <v>47</v>
      </c>
      <c r="H372" s="129" t="str">
        <f>IF(S252="","",S252)</f>
        <v/>
      </c>
      <c r="J372" s="37"/>
      <c r="K372" s="57"/>
      <c r="L372" s="465" t="s">
        <v>265</v>
      </c>
      <c r="M372" s="54"/>
      <c r="N372" s="37"/>
      <c r="O372" s="171" t="s">
        <v>90</v>
      </c>
      <c r="P372" s="170">
        <v>0.2</v>
      </c>
      <c r="Q372" s="37"/>
      <c r="R372" s="37"/>
      <c r="S372" s="171" t="s">
        <v>91</v>
      </c>
      <c r="T372" s="170">
        <v>0.1</v>
      </c>
      <c r="U372" s="37"/>
      <c r="V372" s="37"/>
      <c r="W372" s="57"/>
      <c r="X372" s="455" t="s">
        <v>265</v>
      </c>
      <c r="Y372" s="462"/>
      <c r="Z372" s="330"/>
      <c r="AE372"/>
    </row>
    <row r="373" spans="1:31" ht="11.25" customHeight="1">
      <c r="A373" s="418">
        <v>43</v>
      </c>
      <c r="B373" s="73" t="s">
        <v>48</v>
      </c>
      <c r="C373" s="37"/>
      <c r="D373" s="37"/>
      <c r="E373" s="37"/>
      <c r="F373" s="37"/>
      <c r="G373" s="38" t="s">
        <v>48</v>
      </c>
      <c r="H373" s="37"/>
      <c r="I373" s="37"/>
      <c r="J373" s="37"/>
      <c r="K373" s="57"/>
      <c r="L373" s="465" t="s">
        <v>265</v>
      </c>
      <c r="M373" s="54"/>
      <c r="N373" s="37"/>
      <c r="O373" s="171" t="s">
        <v>92</v>
      </c>
      <c r="P373" s="170">
        <v>0.15</v>
      </c>
      <c r="Q373" s="37"/>
      <c r="R373" s="37"/>
      <c r="S373" s="161" t="s">
        <v>93</v>
      </c>
      <c r="T373" s="170">
        <v>0.05</v>
      </c>
      <c r="U373" s="37"/>
      <c r="V373" s="37"/>
      <c r="W373" s="57"/>
      <c r="X373" s="455" t="s">
        <v>265</v>
      </c>
      <c r="Y373" s="462"/>
      <c r="Z373" s="330"/>
      <c r="AE373"/>
    </row>
    <row r="374" spans="1:31" ht="11.25" customHeight="1">
      <c r="A374" s="418">
        <v>44</v>
      </c>
      <c r="B374" s="110"/>
      <c r="K374" s="57"/>
      <c r="L374" s="465" t="s">
        <v>265</v>
      </c>
      <c r="M374" s="54"/>
      <c r="N374" s="37"/>
      <c r="O374" s="171" t="s">
        <v>94</v>
      </c>
      <c r="P374" s="170">
        <v>0.1</v>
      </c>
      <c r="Q374" s="37"/>
      <c r="R374" s="37"/>
      <c r="S374" s="37"/>
      <c r="T374" s="37"/>
      <c r="U374" s="37"/>
      <c r="V374" s="37"/>
      <c r="W374" s="57"/>
      <c r="X374" s="455" t="s">
        <v>265</v>
      </c>
      <c r="Y374" s="462"/>
      <c r="Z374" s="330"/>
      <c r="AE374"/>
    </row>
    <row r="375" spans="1:31" ht="11.25" customHeight="1">
      <c r="A375" s="418">
        <v>45</v>
      </c>
      <c r="B375" s="108" t="s">
        <v>350</v>
      </c>
      <c r="C375" s="111" t="s">
        <v>351</v>
      </c>
      <c r="D375" s="41"/>
      <c r="E375" s="103" t="s">
        <v>40</v>
      </c>
      <c r="G375" s="103" t="s">
        <v>350</v>
      </c>
      <c r="H375" s="111" t="s">
        <v>351</v>
      </c>
      <c r="I375" s="41"/>
      <c r="J375" s="103" t="s">
        <v>40</v>
      </c>
      <c r="K375" s="57"/>
      <c r="L375" s="465" t="s">
        <v>265</v>
      </c>
      <c r="M375" s="54"/>
      <c r="N375" s="36"/>
      <c r="O375" s="160" t="s">
        <v>93</v>
      </c>
      <c r="P375" s="172">
        <v>0.05</v>
      </c>
      <c r="Q375" s="37"/>
      <c r="R375" s="37"/>
      <c r="S375" s="37"/>
      <c r="T375" s="37"/>
      <c r="U375" s="37"/>
      <c r="V375" s="37"/>
      <c r="W375" s="57"/>
      <c r="X375" s="455" t="s">
        <v>265</v>
      </c>
      <c r="Y375" s="330"/>
      <c r="Z375" s="330"/>
      <c r="AE375"/>
    </row>
    <row r="376" spans="1:31" ht="11.25" customHeight="1" thickBot="1">
      <c r="A376" s="418">
        <v>46</v>
      </c>
      <c r="B376" s="193" t="s">
        <v>298</v>
      </c>
      <c r="C376" s="121" t="s">
        <v>40</v>
      </c>
      <c r="D376" s="121" t="s">
        <v>41</v>
      </c>
      <c r="E376" s="126" t="s">
        <v>49</v>
      </c>
      <c r="F376" s="37"/>
      <c r="G376" s="126" t="s">
        <v>298</v>
      </c>
      <c r="H376" s="121" t="s">
        <v>40</v>
      </c>
      <c r="I376" s="121" t="s">
        <v>41</v>
      </c>
      <c r="J376" s="126" t="s">
        <v>49</v>
      </c>
      <c r="K376" s="57"/>
      <c r="L376" s="465" t="s">
        <v>265</v>
      </c>
      <c r="M376" s="54"/>
      <c r="N376" s="37" t="s">
        <v>95</v>
      </c>
      <c r="O376" s="161" t="s">
        <v>96</v>
      </c>
      <c r="P376" s="373" t="s">
        <v>97</v>
      </c>
      <c r="Q376" s="38" t="s">
        <v>83</v>
      </c>
      <c r="R376" s="37"/>
      <c r="S376" s="37"/>
      <c r="T376" s="37"/>
      <c r="U376" s="37"/>
      <c r="V376" s="37"/>
      <c r="W376" s="57"/>
      <c r="X376" s="455" t="s">
        <v>265</v>
      </c>
      <c r="Y376" s="330"/>
      <c r="Z376" s="330"/>
      <c r="AE376"/>
    </row>
    <row r="377" spans="1:31" ht="11.25" customHeight="1">
      <c r="A377" s="418">
        <v>47</v>
      </c>
      <c r="B377" s="363">
        <f t="shared" ref="B377:B384" si="63">IF(Q234="","",Q234)</f>
        <v>60</v>
      </c>
      <c r="C377" s="269" t="str">
        <f t="shared" ref="C377:D384" si="64">IF(T234="","",T234)</f>
        <v/>
      </c>
      <c r="D377" s="165" t="str">
        <f t="shared" si="64"/>
        <v/>
      </c>
      <c r="E377" s="119" t="str">
        <f>IF(OR(B377="",D377=""),"",IF(AND(B377&gt;0,D377&gt;0),(D377-B377)/B377,""))</f>
        <v/>
      </c>
      <c r="F377" s="37"/>
      <c r="G377" s="159">
        <f t="shared" ref="G377:G382" si="65">IF(Q252="","",Q252)</f>
        <v>50</v>
      </c>
      <c r="H377" s="163" t="str">
        <f t="shared" ref="H377:I382" si="66">IF(T252="","",T252)</f>
        <v/>
      </c>
      <c r="I377" s="163" t="str">
        <f t="shared" si="66"/>
        <v/>
      </c>
      <c r="J377" s="119" t="str">
        <f>IF(OR(G377="",I377=""),"",IF(AND(G377&gt;0,I377&gt;0),(I377-G377)/G377,""))</f>
        <v/>
      </c>
      <c r="K377" s="57"/>
      <c r="L377" s="465" t="s">
        <v>265</v>
      </c>
      <c r="M377" s="54"/>
      <c r="N377" s="36"/>
      <c r="O377" s="160" t="s">
        <v>96</v>
      </c>
      <c r="P377" s="372" t="s">
        <v>99</v>
      </c>
      <c r="Q377" s="37"/>
      <c r="R377" s="37"/>
      <c r="S377" s="37"/>
      <c r="T377" s="37"/>
      <c r="U377" s="37"/>
      <c r="V377" s="37"/>
      <c r="W377" s="57"/>
      <c r="X377" s="455" t="s">
        <v>265</v>
      </c>
      <c r="Y377" s="330"/>
      <c r="Z377" s="330"/>
      <c r="AE377"/>
    </row>
    <row r="378" spans="1:31" ht="11.25" customHeight="1">
      <c r="A378" s="418">
        <v>48</v>
      </c>
      <c r="B378" s="363">
        <f t="shared" si="63"/>
        <v>80</v>
      </c>
      <c r="C378" s="269" t="str">
        <f t="shared" si="64"/>
        <v/>
      </c>
      <c r="D378" s="165" t="str">
        <f t="shared" si="64"/>
        <v/>
      </c>
      <c r="E378" s="119" t="str">
        <f t="shared" ref="E378:E384" si="67">IF(OR(B378="",D378=""),"",IF(AND(B378&gt;0,D378&gt;0),(D378-B378)/B378,""))</f>
        <v/>
      </c>
      <c r="F378" s="37"/>
      <c r="G378" s="159">
        <f t="shared" si="65"/>
        <v>70</v>
      </c>
      <c r="H378" s="163" t="str">
        <f t="shared" si="66"/>
        <v/>
      </c>
      <c r="I378" s="163" t="str">
        <f t="shared" si="66"/>
        <v/>
      </c>
      <c r="J378" s="119" t="str">
        <f t="shared" ref="J378:J382" si="68">IF(OR(G378="",I378=""),"",IF(AND(G378&gt;0,I378&gt;0),(I378-G378)/G378,""))</f>
        <v/>
      </c>
      <c r="K378" s="57"/>
      <c r="L378" s="465" t="s">
        <v>265</v>
      </c>
      <c r="M378" s="54"/>
      <c r="N378" s="37"/>
      <c r="O378" s="37"/>
      <c r="P378" s="37"/>
      <c r="Q378" s="37"/>
      <c r="R378" s="37"/>
      <c r="S378" s="37"/>
      <c r="T378" s="37"/>
      <c r="U378" s="37"/>
      <c r="V378" s="37"/>
      <c r="W378" s="57"/>
      <c r="X378" s="455" t="s">
        <v>265</v>
      </c>
      <c r="Y378" s="330"/>
      <c r="Z378" s="330"/>
      <c r="AE378"/>
    </row>
    <row r="379" spans="1:31" ht="11.25" customHeight="1" thickBot="1">
      <c r="A379" s="418">
        <v>49</v>
      </c>
      <c r="B379" s="363">
        <f t="shared" si="63"/>
        <v>100</v>
      </c>
      <c r="C379" s="269" t="str">
        <f t="shared" si="64"/>
        <v/>
      </c>
      <c r="D379" s="165" t="str">
        <f t="shared" si="64"/>
        <v/>
      </c>
      <c r="E379" s="119" t="str">
        <f t="shared" si="67"/>
        <v/>
      </c>
      <c r="F379" s="37"/>
      <c r="G379" s="159">
        <f t="shared" si="65"/>
        <v>90</v>
      </c>
      <c r="H379" s="163" t="str">
        <f t="shared" si="66"/>
        <v/>
      </c>
      <c r="I379" s="163" t="str">
        <f t="shared" si="66"/>
        <v/>
      </c>
      <c r="J379" s="119" t="str">
        <f t="shared" si="68"/>
        <v/>
      </c>
      <c r="K379" s="57"/>
      <c r="L379" s="465" t="s">
        <v>265</v>
      </c>
      <c r="M379" s="60"/>
      <c r="N379" s="61"/>
      <c r="O379" s="61"/>
      <c r="P379" s="61"/>
      <c r="Q379" s="61"/>
      <c r="R379" s="61"/>
      <c r="S379" s="61"/>
      <c r="T379" s="61"/>
      <c r="U379" s="61"/>
      <c r="V379" s="61"/>
      <c r="W379" s="62"/>
      <c r="X379" s="455" t="s">
        <v>265</v>
      </c>
      <c r="Y379" s="330"/>
      <c r="Z379" s="330"/>
      <c r="AE379"/>
    </row>
    <row r="380" spans="1:31" ht="11.25" customHeight="1" thickTop="1">
      <c r="A380" s="418">
        <v>50</v>
      </c>
      <c r="B380" s="363">
        <f t="shared" si="63"/>
        <v>120</v>
      </c>
      <c r="C380" s="269" t="str">
        <f t="shared" si="64"/>
        <v/>
      </c>
      <c r="D380" s="165" t="str">
        <f t="shared" si="64"/>
        <v/>
      </c>
      <c r="E380" s="119" t="str">
        <f t="shared" si="67"/>
        <v/>
      </c>
      <c r="F380" s="37"/>
      <c r="G380" s="159">
        <f t="shared" si="65"/>
        <v>110</v>
      </c>
      <c r="H380" s="163" t="str">
        <f t="shared" si="66"/>
        <v/>
      </c>
      <c r="I380" s="163" t="str">
        <f t="shared" si="66"/>
        <v/>
      </c>
      <c r="J380" s="119" t="str">
        <f t="shared" si="68"/>
        <v/>
      </c>
      <c r="K380" s="57"/>
      <c r="L380" s="465" t="s">
        <v>265</v>
      </c>
      <c r="M380" s="67"/>
      <c r="N380" s="50"/>
      <c r="O380" s="50"/>
      <c r="P380" s="50"/>
      <c r="Q380" s="50"/>
      <c r="R380" s="50"/>
      <c r="S380" s="50"/>
      <c r="T380" s="50"/>
      <c r="U380" s="50"/>
      <c r="V380" s="50"/>
      <c r="W380" s="68"/>
      <c r="X380" s="455" t="s">
        <v>265</v>
      </c>
      <c r="Y380" s="330"/>
      <c r="Z380" s="330"/>
      <c r="AE380"/>
    </row>
    <row r="381" spans="1:31" ht="11.25" customHeight="1">
      <c r="A381" s="418">
        <v>51</v>
      </c>
      <c r="B381" s="363">
        <f t="shared" si="63"/>
        <v>140</v>
      </c>
      <c r="C381" s="269" t="str">
        <f t="shared" si="64"/>
        <v/>
      </c>
      <c r="D381" s="165" t="str">
        <f t="shared" si="64"/>
        <v/>
      </c>
      <c r="E381" s="119" t="str">
        <f t="shared" si="67"/>
        <v/>
      </c>
      <c r="F381" s="37"/>
      <c r="G381" s="159">
        <f t="shared" si="65"/>
        <v>130</v>
      </c>
      <c r="H381" s="163" t="str">
        <f t="shared" si="66"/>
        <v/>
      </c>
      <c r="I381" s="163" t="str">
        <f t="shared" si="66"/>
        <v/>
      </c>
      <c r="J381" s="119" t="str">
        <f t="shared" si="68"/>
        <v/>
      </c>
      <c r="K381" s="57"/>
      <c r="L381" s="465" t="s">
        <v>265</v>
      </c>
      <c r="M381" s="132"/>
      <c r="N381" s="42" t="s">
        <v>21</v>
      </c>
      <c r="O381" s="47" t="str">
        <f>IF($O$227="","",$O$227)</f>
        <v>Piranha CB2-19020491</v>
      </c>
      <c r="P381" s="36"/>
      <c r="Q381" s="36"/>
      <c r="T381" s="1"/>
      <c r="U381" s="1"/>
      <c r="V381" s="1"/>
      <c r="W381" s="32"/>
      <c r="X381" s="455" t="s">
        <v>265</v>
      </c>
      <c r="Y381" s="330"/>
      <c r="Z381" s="330"/>
      <c r="AE381"/>
    </row>
    <row r="382" spans="1:31" ht="11.25" customHeight="1">
      <c r="A382" s="418">
        <v>52</v>
      </c>
      <c r="B382" s="363" t="str">
        <f t="shared" si="63"/>
        <v/>
      </c>
      <c r="C382" s="269" t="str">
        <f t="shared" si="64"/>
        <v/>
      </c>
      <c r="D382" s="165" t="str">
        <f t="shared" si="64"/>
        <v/>
      </c>
      <c r="E382" s="119" t="str">
        <f t="shared" si="67"/>
        <v/>
      </c>
      <c r="F382" s="37"/>
      <c r="G382" s="159" t="str">
        <f t="shared" si="65"/>
        <v/>
      </c>
      <c r="H382" s="163" t="str">
        <f t="shared" si="66"/>
        <v/>
      </c>
      <c r="I382" s="163" t="str">
        <f t="shared" si="66"/>
        <v/>
      </c>
      <c r="J382" s="119" t="str">
        <f t="shared" si="68"/>
        <v/>
      </c>
      <c r="K382" s="57"/>
      <c r="L382" s="465" t="s">
        <v>265</v>
      </c>
      <c r="M382" s="34"/>
      <c r="N382" s="1"/>
      <c r="O382" s="30"/>
      <c r="P382" s="1"/>
      <c r="Q382" s="1"/>
      <c r="R382" s="1"/>
      <c r="S382" s="1"/>
      <c r="T382" s="1"/>
      <c r="U382" s="1"/>
      <c r="V382" s="1"/>
      <c r="W382" s="32"/>
      <c r="X382" s="455" t="s">
        <v>265</v>
      </c>
      <c r="Y382" s="330"/>
      <c r="Z382" s="330"/>
      <c r="AE382"/>
    </row>
    <row r="383" spans="1:31" ht="11.25" customHeight="1">
      <c r="A383" s="418">
        <v>53</v>
      </c>
      <c r="B383" s="363" t="str">
        <f t="shared" si="63"/>
        <v/>
      </c>
      <c r="C383" s="269" t="str">
        <f t="shared" si="64"/>
        <v/>
      </c>
      <c r="D383" s="165" t="str">
        <f t="shared" si="64"/>
        <v/>
      </c>
      <c r="E383" s="119" t="str">
        <f t="shared" si="67"/>
        <v/>
      </c>
      <c r="F383" s="37"/>
      <c r="G383" s="37"/>
      <c r="H383" s="37"/>
      <c r="K383" s="57"/>
      <c r="L383" s="465" t="s">
        <v>265</v>
      </c>
      <c r="M383" s="223" t="s">
        <v>381</v>
      </c>
      <c r="N383" s="41"/>
      <c r="O383" s="41"/>
      <c r="W383" s="59"/>
      <c r="X383" s="455" t="s">
        <v>265</v>
      </c>
      <c r="Y383" s="330"/>
      <c r="Z383" s="330"/>
      <c r="AE383"/>
    </row>
    <row r="384" spans="1:31" ht="11.25" customHeight="1">
      <c r="A384" s="418">
        <v>54</v>
      </c>
      <c r="B384" s="364" t="str">
        <f t="shared" si="63"/>
        <v/>
      </c>
      <c r="C384" s="176" t="str">
        <f t="shared" si="64"/>
        <v/>
      </c>
      <c r="D384" s="165" t="str">
        <f t="shared" si="64"/>
        <v/>
      </c>
      <c r="E384" s="119" t="str">
        <f t="shared" si="67"/>
        <v/>
      </c>
      <c r="F384" s="37"/>
      <c r="G384" s="37"/>
      <c r="H384" s="37"/>
      <c r="I384" s="37"/>
      <c r="J384" s="37"/>
      <c r="K384" s="57"/>
      <c r="L384" s="465" t="s">
        <v>265</v>
      </c>
      <c r="M384" s="54"/>
      <c r="N384" s="37"/>
      <c r="O384" s="37"/>
      <c r="P384" s="37"/>
      <c r="Q384" s="37"/>
      <c r="R384" s="37"/>
      <c r="S384" s="37"/>
      <c r="T384" s="37"/>
      <c r="U384" s="37"/>
      <c r="V384" s="37"/>
      <c r="W384" s="57"/>
      <c r="X384" s="455" t="s">
        <v>265</v>
      </c>
      <c r="Y384" s="330"/>
      <c r="Z384" s="330"/>
      <c r="AE384"/>
    </row>
    <row r="385" spans="1:31" ht="11.25" customHeight="1" thickBot="1">
      <c r="A385" s="418">
        <v>55</v>
      </c>
      <c r="B385" s="54"/>
      <c r="C385" s="37"/>
      <c r="F385" s="37"/>
      <c r="G385" s="37"/>
      <c r="H385" s="37"/>
      <c r="I385" s="37"/>
      <c r="J385" s="37"/>
      <c r="K385" s="57"/>
      <c r="L385" s="465" t="s">
        <v>265</v>
      </c>
      <c r="M385" s="54"/>
      <c r="N385" s="37"/>
      <c r="O385" s="37"/>
      <c r="P385" s="37"/>
      <c r="Q385" s="37"/>
      <c r="R385" s="37"/>
      <c r="S385" s="37"/>
      <c r="T385" s="37"/>
      <c r="U385" s="37"/>
      <c r="V385" s="37"/>
      <c r="W385" s="57"/>
      <c r="X385" s="455" t="s">
        <v>265</v>
      </c>
      <c r="Y385" s="330"/>
      <c r="Z385" s="330"/>
      <c r="AE385"/>
    </row>
    <row r="386" spans="1:31" ht="11.25" customHeight="1" thickBot="1">
      <c r="A386" s="418">
        <v>56</v>
      </c>
      <c r="B386" s="54"/>
      <c r="C386" s="37"/>
      <c r="D386" s="123" t="s">
        <v>353</v>
      </c>
      <c r="E386" s="124" t="str">
        <f>IF(E377="","TBD",(IF(AND(ABS(MAX(E377:E384))&lt;=0.05,ABS(MIN(E377:E384))&lt;=0.05),"YES","NO")))</f>
        <v>TBD</v>
      </c>
      <c r="F386" s="37"/>
      <c r="G386" s="37"/>
      <c r="H386" s="37"/>
      <c r="I386" s="123" t="s">
        <v>353</v>
      </c>
      <c r="J386" s="124" t="str">
        <f>IF(J377="","TBD",(IF(AND(ABS(MAX(J377:J382))&lt;=0.05,ABS(MIN(J377:J382))&lt;=0.05),"YES","NO")))</f>
        <v>TBD</v>
      </c>
      <c r="K386" s="57"/>
      <c r="L386" s="465" t="s">
        <v>265</v>
      </c>
      <c r="M386" s="54" t="s">
        <v>321</v>
      </c>
      <c r="N386" s="161" t="s">
        <v>53</v>
      </c>
      <c r="O386" s="161" t="s">
        <v>31</v>
      </c>
      <c r="P386" s="161" t="s">
        <v>32</v>
      </c>
      <c r="Q386" s="37"/>
      <c r="R386" s="161"/>
      <c r="S386" s="107" t="s">
        <v>34</v>
      </c>
      <c r="T386" s="37"/>
      <c r="U386" s="38" t="s">
        <v>35</v>
      </c>
      <c r="V386" s="37"/>
      <c r="W386" s="57"/>
      <c r="X386" s="455" t="s">
        <v>265</v>
      </c>
      <c r="Y386" s="330"/>
      <c r="Z386" s="330"/>
      <c r="AE386"/>
    </row>
    <row r="387" spans="1:31" ht="11.25" customHeight="1" thickBot="1">
      <c r="A387" s="418">
        <v>57</v>
      </c>
      <c r="B387" s="110"/>
      <c r="K387" s="57"/>
      <c r="L387" s="465" t="s">
        <v>265</v>
      </c>
      <c r="M387" s="162" t="s">
        <v>36</v>
      </c>
      <c r="N387" s="121" t="str">
        <f>LFSDD</f>
        <v>cm</v>
      </c>
      <c r="O387" s="121" t="s">
        <v>37</v>
      </c>
      <c r="P387" s="121" t="s">
        <v>22</v>
      </c>
      <c r="Q387" s="121" t="s">
        <v>38</v>
      </c>
      <c r="R387" s="121" t="str">
        <f>IF(AND(LFMAS="",SFMAS=""),"mA/mAs",IF(O388="Large",LFMAS,SFMAS))</f>
        <v>mAs</v>
      </c>
      <c r="S387" s="166" t="s">
        <v>39</v>
      </c>
      <c r="T387" s="121" t="s">
        <v>40</v>
      </c>
      <c r="U387" s="121" t="s">
        <v>41</v>
      </c>
      <c r="V387" s="121" t="s">
        <v>39</v>
      </c>
      <c r="W387" s="166" t="s">
        <v>512</v>
      </c>
      <c r="X387" s="455" t="s">
        <v>265</v>
      </c>
      <c r="Y387" s="330"/>
      <c r="Z387" s="330"/>
      <c r="AE387"/>
    </row>
    <row r="388" spans="1:31" ht="11.25" customHeight="1">
      <c r="A388" s="418">
        <v>58</v>
      </c>
      <c r="B388" s="110"/>
      <c r="C388" s="115" t="s">
        <v>354</v>
      </c>
      <c r="D388" s="88" t="s">
        <v>299</v>
      </c>
      <c r="K388" s="59"/>
      <c r="L388" s="465" t="s">
        <v>265</v>
      </c>
      <c r="M388" s="214" t="s">
        <v>106</v>
      </c>
      <c r="N388" s="263">
        <f>$N$234</f>
        <v>100</v>
      </c>
      <c r="O388" s="160" t="str">
        <f>IF(Q388="","","Large")</f>
        <v>Large</v>
      </c>
      <c r="P388" s="797"/>
      <c r="Q388" s="159">
        <f>Sheet1!A5</f>
        <v>80</v>
      </c>
      <c r="R388" s="308" cm="1">
        <f t="array" ref="R388">_xlfn.SWITCH(LFMAS,"mA",Sheet1!B5,"mAs",Sheet1!C5)</f>
        <v>20</v>
      </c>
      <c r="S388" s="177" t="str" cm="1">
        <f t="array" ref="S388">_xlfn.SWITCH(LFMAS,"mA",Sheet1!D5,"mAs","")</f>
        <v/>
      </c>
      <c r="T388" s="820"/>
      <c r="U388" s="160" t="str">
        <f>IF(Sheet1!G5="","",Sheet1!G5)</f>
        <v/>
      </c>
      <c r="V388" s="164" t="str">
        <f>IF(Sheet1!H5="","",Sheet1!H5)</f>
        <v/>
      </c>
      <c r="W388" s="321" t="str">
        <f>IF(Sheet1!I5="","",Sheet1!I5)</f>
        <v/>
      </c>
      <c r="X388" s="455" t="s">
        <v>265</v>
      </c>
      <c r="Y388" s="330"/>
      <c r="Z388" s="330"/>
      <c r="AE388"/>
    </row>
    <row r="389" spans="1:31" ht="11.25" customHeight="1" thickBot="1">
      <c r="A389" s="418">
        <v>59</v>
      </c>
      <c r="B389" s="110"/>
      <c r="K389" s="59"/>
      <c r="L389" s="465" t="s">
        <v>265</v>
      </c>
      <c r="M389" s="162" t="s">
        <v>106</v>
      </c>
      <c r="N389" s="350">
        <f>IF(R389="","",$N$388)</f>
        <v>100</v>
      </c>
      <c r="O389" s="121" t="str">
        <f>IF(Q389="","",O388)</f>
        <v>Large</v>
      </c>
      <c r="P389" s="819"/>
      <c r="Q389" s="351">
        <f>Sheet1!A16</f>
        <v>80</v>
      </c>
      <c r="R389" s="352" cm="1">
        <f t="array" ref="R389">_xlfn.SWITCH(LFMAS,"mA",Sheet1!B16,"mAs",Sheet1!C16)</f>
        <v>25</v>
      </c>
      <c r="S389" s="180" t="str" cm="1">
        <f t="array" ref="S389">_xlfn.SWITCH(LFMAS,"mA",Sheet1!D16,"mAs","")</f>
        <v/>
      </c>
      <c r="T389" s="821"/>
      <c r="U389" s="121" t="str">
        <f>IF(Sheet1!G16="","",Sheet1!G16)</f>
        <v/>
      </c>
      <c r="V389" s="353" t="str">
        <f>IF(Sheet1!H16="","",Sheet1!H16)</f>
        <v/>
      </c>
      <c r="W389" s="354" t="str">
        <f>IF(Sheet1!I16="","",Sheet1!I16)</f>
        <v/>
      </c>
      <c r="X389" s="455" t="s">
        <v>265</v>
      </c>
      <c r="Y389" s="330"/>
      <c r="Z389" s="330"/>
      <c r="AE389"/>
    </row>
    <row r="390" spans="1:31" ht="11.25" customHeight="1">
      <c r="A390" s="418">
        <v>60</v>
      </c>
      <c r="B390" s="90"/>
      <c r="K390" s="59"/>
      <c r="L390" s="465" t="s">
        <v>265</v>
      </c>
      <c r="M390" s="93" t="s">
        <v>108</v>
      </c>
      <c r="N390" s="263">
        <f>IF(R390="","",$N$388)</f>
        <v>100</v>
      </c>
      <c r="O390" s="160" t="str">
        <f>IF(Q390="","",O389)</f>
        <v>Large</v>
      </c>
      <c r="P390" s="797"/>
      <c r="Q390" s="159">
        <f>Sheet1!A17</f>
        <v>80</v>
      </c>
      <c r="R390" s="308" cm="1">
        <f t="array" ref="R390">_xlfn.SWITCH(LFMAS,"mA",Sheet1!B17,"mAs",Sheet1!C17)</f>
        <v>2.5</v>
      </c>
      <c r="S390" s="177" t="str" cm="1">
        <f t="array" ref="S390">_xlfn.SWITCH(LFMAS,"mA",Sheet1!D17,"mAs","")</f>
        <v/>
      </c>
      <c r="T390" s="820"/>
      <c r="U390" s="160" t="str">
        <f>IF(Sheet1!G17="","",Sheet1!G17)</f>
        <v/>
      </c>
      <c r="V390" s="164" t="str">
        <f>IF(Sheet1!H17="","",Sheet1!H17)</f>
        <v/>
      </c>
      <c r="W390" s="321" t="str">
        <f>IF(Sheet1!I17="","",Sheet1!I17)</f>
        <v/>
      </c>
      <c r="X390" s="455" t="s">
        <v>265</v>
      </c>
      <c r="Y390" s="330"/>
      <c r="Z390" s="330"/>
      <c r="AE390"/>
    </row>
    <row r="391" spans="1:31" ht="11.25" customHeight="1">
      <c r="A391" s="418">
        <v>61</v>
      </c>
      <c r="B391" s="54" t="s">
        <v>346</v>
      </c>
      <c r="C391" s="560" t="str">
        <f>IF(O261="","",IF(LEN(O261)&lt;=135,O261,IF(LEN(O261)&lt;=260,LEFT(O261,SEARCH(" ",O261,125)),LEFT(O261,SEARCH(" ",O261,130)))))</f>
        <v/>
      </c>
      <c r="D391" s="36"/>
      <c r="E391" s="36"/>
      <c r="F391" s="36"/>
      <c r="G391" s="36"/>
      <c r="H391" s="36"/>
      <c r="I391" s="36"/>
      <c r="J391" s="36"/>
      <c r="K391" s="59"/>
      <c r="L391" s="465" t="s">
        <v>265</v>
      </c>
      <c r="M391" s="93" t="s">
        <v>108</v>
      </c>
      <c r="N391" s="263">
        <f>IF(R391="","",$N$388)</f>
        <v>100</v>
      </c>
      <c r="O391" s="160" t="str">
        <f>IF(Q391="","",O390)</f>
        <v>Large</v>
      </c>
      <c r="P391" s="797"/>
      <c r="Q391" s="159">
        <f>Sheet1!A18</f>
        <v>80</v>
      </c>
      <c r="R391" s="308" cm="1">
        <f t="array" ref="R391">_xlfn.SWITCH(LFMAS,"mA",Sheet1!B18,"mAs",Sheet1!C18)</f>
        <v>40</v>
      </c>
      <c r="S391" s="177" t="str" cm="1">
        <f t="array" ref="S391">_xlfn.SWITCH(LFMAS,"mA",Sheet1!D18,"mAs","")</f>
        <v/>
      </c>
      <c r="T391" s="820"/>
      <c r="U391" s="160" t="str">
        <f>IF(Sheet1!G18="","",Sheet1!G18)</f>
        <v/>
      </c>
      <c r="V391" s="164" t="str">
        <f>IF(Sheet1!H18="","",Sheet1!H18)</f>
        <v/>
      </c>
      <c r="W391" s="321" t="str">
        <f>IF(Sheet1!I18="","",Sheet1!I18)</f>
        <v/>
      </c>
      <c r="X391" s="455" t="s">
        <v>265</v>
      </c>
      <c r="Y391" s="330"/>
      <c r="Z391" s="330"/>
      <c r="AE391"/>
    </row>
    <row r="392" spans="1:31" ht="11.25" customHeight="1" thickBot="1">
      <c r="A392" s="418">
        <v>62</v>
      </c>
      <c r="B392" s="54"/>
      <c r="C392" s="561" t="str">
        <f>IF(LEN(O261)&lt;=135,"",IF(LEN(O261)&lt;=260,RIGHT(O261,LEN(O261)-SEARCH(" ",O261,125)),MID(O261,SEARCH(" ",O261,130),IF(LEN(O261)&lt;=265,LEN(O261),SEARCH(" ",O261,255)-SEARCH(" ",O261,130)))))</f>
        <v/>
      </c>
      <c r="D392" s="36"/>
      <c r="E392" s="36"/>
      <c r="F392" s="36"/>
      <c r="G392" s="36"/>
      <c r="H392" s="36"/>
      <c r="I392" s="36"/>
      <c r="J392" s="36"/>
      <c r="K392" s="59"/>
      <c r="L392" s="465" t="s">
        <v>265</v>
      </c>
      <c r="M392" s="162" t="s">
        <v>108</v>
      </c>
      <c r="N392" s="350">
        <f>IF(R392="","",$N$388)</f>
        <v>100</v>
      </c>
      <c r="O392" s="121" t="str">
        <f>IF(Q392="","",O391)</f>
        <v>Large</v>
      </c>
      <c r="P392" s="819"/>
      <c r="Q392" s="351">
        <f>Sheet1!A19</f>
        <v>80</v>
      </c>
      <c r="R392" s="352" cm="1">
        <f t="array" ref="R392">_xlfn.SWITCH(LFMAS,"mA",Sheet1!B19,"mAs",Sheet1!C19)</f>
        <v>12.5</v>
      </c>
      <c r="S392" s="180" t="str" cm="1">
        <f t="array" ref="S392">_xlfn.SWITCH(LFMAS,"mA",Sheet1!D19,"mAs","")</f>
        <v/>
      </c>
      <c r="T392" s="821"/>
      <c r="U392" s="121" t="str">
        <f>IF(Sheet1!G19="","",Sheet1!G19)</f>
        <v/>
      </c>
      <c r="V392" s="353" t="str">
        <f>IF(Sheet1!H19="","",Sheet1!H19)</f>
        <v/>
      </c>
      <c r="W392" s="354" t="str">
        <f>IF(Sheet1!I19="","",Sheet1!I19)</f>
        <v/>
      </c>
      <c r="X392" s="455" t="s">
        <v>265</v>
      </c>
      <c r="Y392" s="330"/>
      <c r="Z392" s="330"/>
      <c r="AE392"/>
    </row>
    <row r="393" spans="1:31" ht="11.25" customHeight="1" thickBot="1">
      <c r="A393" s="418">
        <v>63</v>
      </c>
      <c r="B393" s="110"/>
      <c r="C393" s="560" t="str">
        <f>IF(LEN(O261)&lt;=265,"",RIGHT(O261,LEN(O261)-SEARCH(" ",O261,255)))</f>
        <v/>
      </c>
      <c r="D393" s="36"/>
      <c r="E393" s="36"/>
      <c r="F393" s="36"/>
      <c r="G393" s="36"/>
      <c r="H393" s="36"/>
      <c r="I393" s="36"/>
      <c r="J393" s="36"/>
      <c r="K393" s="59"/>
      <c r="L393" s="465" t="s">
        <v>265</v>
      </c>
      <c r="M393" s="73" t="s">
        <v>109</v>
      </c>
      <c r="N393" s="37"/>
      <c r="O393" s="37"/>
      <c r="P393" s="37"/>
      <c r="Q393" s="37"/>
      <c r="R393" s="37"/>
      <c r="S393" s="37"/>
      <c r="T393" s="37"/>
      <c r="U393" s="37"/>
      <c r="V393" s="37"/>
      <c r="W393" s="57"/>
      <c r="X393" s="455" t="s">
        <v>265</v>
      </c>
      <c r="Y393" s="330"/>
      <c r="Z393" s="330"/>
      <c r="AE393"/>
    </row>
    <row r="394" spans="1:31" ht="11.25" customHeight="1" thickBot="1">
      <c r="A394" s="418">
        <v>64</v>
      </c>
      <c r="B394" s="86"/>
      <c r="C394" s="71"/>
      <c r="D394" s="71"/>
      <c r="E394" s="71"/>
      <c r="F394" s="71"/>
      <c r="G394" s="71"/>
      <c r="H394" s="71"/>
      <c r="I394" s="71"/>
      <c r="J394" s="71"/>
      <c r="K394" s="74"/>
      <c r="L394" s="465" t="s">
        <v>265</v>
      </c>
      <c r="M394" s="54"/>
      <c r="N394" s="37"/>
      <c r="O394" s="37"/>
      <c r="P394" s="37"/>
      <c r="Q394" s="37"/>
      <c r="R394" s="37"/>
      <c r="S394" s="37"/>
      <c r="T394" s="37"/>
      <c r="U394" s="37"/>
      <c r="V394" s="717" t="s">
        <v>373</v>
      </c>
      <c r="W394" s="58"/>
      <c r="X394" s="455" t="s">
        <v>265</v>
      </c>
      <c r="Y394" s="330"/>
      <c r="Z394" s="330"/>
      <c r="AE394"/>
    </row>
    <row r="395" spans="1:31" ht="11.25" customHeight="1" thickTop="1">
      <c r="A395" s="418">
        <v>65</v>
      </c>
      <c r="B395" s="40" t="str">
        <f t="array" ref="B395:C396">$B$65:$C$66</f>
        <v>Date:</v>
      </c>
      <c r="C395" s="674" t="str">
        <v/>
      </c>
      <c r="E395" s="39"/>
      <c r="F395" s="39"/>
      <c r="G395" s="39"/>
      <c r="H395" s="39"/>
      <c r="I395" s="40" t="str">
        <f t="array" ref="I395:J396">$I$65:$J$66</f>
        <v>Inspector:</v>
      </c>
      <c r="J395" s="303" t="str">
        <v>Eugene Mah</v>
      </c>
      <c r="L395" s="465" t="s">
        <v>265</v>
      </c>
      <c r="M395" s="110"/>
      <c r="N395" s="401" t="s">
        <v>346</v>
      </c>
      <c r="O395" s="488" t="str">
        <f>IF(O397&lt;&gt;"",O397,IF(OR(AB218=0,AB218=""),"",AB218))</f>
        <v/>
      </c>
      <c r="P395" s="36"/>
      <c r="Q395" s="36"/>
      <c r="R395" s="36"/>
      <c r="S395" s="36"/>
      <c r="T395" s="36"/>
      <c r="U395" s="36"/>
      <c r="V395" s="718" t="s">
        <v>107</v>
      </c>
      <c r="W395" s="58"/>
      <c r="X395" s="455" t="s">
        <v>265</v>
      </c>
      <c r="Y395" s="330"/>
      <c r="Z395" s="330"/>
      <c r="AE395"/>
    </row>
    <row r="396" spans="1:31" ht="11.25" customHeight="1" thickBot="1">
      <c r="A396" s="418">
        <v>66</v>
      </c>
      <c r="B396" s="40" t="str">
        <v>Room Number:</v>
      </c>
      <c r="C396" s="271" t="str">
        <v/>
      </c>
      <c r="E396" s="39"/>
      <c r="F396" s="39"/>
      <c r="G396" s="39"/>
      <c r="H396" s="39"/>
      <c r="I396" s="40" t="str">
        <v>Survey ID:</v>
      </c>
      <c r="J396" s="615" t="str">
        <v/>
      </c>
      <c r="L396" s="465" t="s">
        <v>265</v>
      </c>
      <c r="M396" s="73"/>
      <c r="N396" s="416" t="s">
        <v>188</v>
      </c>
      <c r="O396" s="47"/>
      <c r="P396" s="559">
        <f>LEN(O395)</f>
        <v>0</v>
      </c>
      <c r="Q396" s="36"/>
      <c r="R396" s="36"/>
      <c r="S396" s="36"/>
      <c r="T396" s="36"/>
      <c r="U396" s="36"/>
      <c r="V396" s="211" t="str">
        <f>IF(J540="","TBD",IF(J540&gt;0.1,"NO","YES"))</f>
        <v>TBD</v>
      </c>
      <c r="W396" s="58"/>
      <c r="X396" s="455" t="s">
        <v>265</v>
      </c>
      <c r="Y396" s="330"/>
      <c r="Z396" s="330"/>
      <c r="AE396"/>
    </row>
    <row r="397" spans="1:31" ht="11.25" customHeight="1">
      <c r="A397" s="418">
        <v>1</v>
      </c>
      <c r="B397" s="1"/>
      <c r="C397" s="1"/>
      <c r="D397" s="1"/>
      <c r="E397" s="1"/>
      <c r="F397" s="1"/>
      <c r="G397" s="1"/>
      <c r="H397" s="1"/>
      <c r="I397" s="1"/>
      <c r="J397" s="1"/>
      <c r="K397" s="114" t="str">
        <f>$F$2</f>
        <v>Medical University of South Carolina</v>
      </c>
      <c r="L397" s="465" t="s">
        <v>265</v>
      </c>
      <c r="M397" s="54"/>
      <c r="N397" s="605" t="s">
        <v>366</v>
      </c>
      <c r="O397" s="607"/>
      <c r="P397" s="47"/>
      <c r="Q397" s="47"/>
      <c r="R397" s="47"/>
      <c r="S397" s="47"/>
      <c r="T397" s="47"/>
      <c r="U397" s="47"/>
      <c r="V397" s="718" t="s">
        <v>108</v>
      </c>
      <c r="W397" s="58"/>
      <c r="X397" s="455" t="s">
        <v>265</v>
      </c>
      <c r="Y397" s="330"/>
      <c r="Z397" s="330"/>
      <c r="AE397"/>
    </row>
    <row r="398" spans="1:31" ht="11.25" customHeight="1" thickBot="1">
      <c r="A398" s="418">
        <v>2</v>
      </c>
      <c r="F398" s="70" t="str">
        <f>$F$332</f>
        <v>Measurement Data</v>
      </c>
      <c r="K398" s="115" t="str">
        <f>$F$5</f>
        <v>Radiation Oncology IGRT Compliance Inspection</v>
      </c>
      <c r="L398" s="465" t="s">
        <v>265</v>
      </c>
      <c r="M398" s="54"/>
      <c r="N398" s="37"/>
      <c r="O398" s="37"/>
      <c r="P398" s="37"/>
      <c r="Q398" s="37"/>
      <c r="R398" s="37"/>
      <c r="S398" s="37"/>
      <c r="T398" s="37"/>
      <c r="U398" s="37"/>
      <c r="V398" s="211" t="str">
        <f>IF(J542="","TBD",IF(J542&gt;0.1,"NO","YES"))</f>
        <v>TBD</v>
      </c>
      <c r="W398" s="58"/>
      <c r="X398" s="455" t="s">
        <v>265</v>
      </c>
      <c r="Y398" s="330"/>
      <c r="Z398" s="330"/>
      <c r="AE398"/>
    </row>
    <row r="399" spans="1:31" ht="11.25" customHeight="1" thickBot="1">
      <c r="A399" s="418">
        <v>3</v>
      </c>
      <c r="L399" s="465" t="s">
        <v>265</v>
      </c>
      <c r="M399" s="223" t="s">
        <v>382</v>
      </c>
      <c r="N399" s="111"/>
      <c r="O399" s="111"/>
      <c r="P399" s="37"/>
      <c r="Q399" s="37"/>
      <c r="R399" s="37"/>
      <c r="S399" s="37"/>
      <c r="T399" s="37"/>
      <c r="U399" s="37"/>
      <c r="V399" s="37"/>
      <c r="W399" s="58"/>
      <c r="X399" s="455" t="s">
        <v>265</v>
      </c>
      <c r="Y399" s="330"/>
      <c r="Z399" s="330"/>
      <c r="AE399"/>
    </row>
    <row r="400" spans="1:31" ht="11.25" customHeight="1" thickTop="1">
      <c r="A400" s="418">
        <v>4</v>
      </c>
      <c r="B400" s="67"/>
      <c r="C400" s="50"/>
      <c r="D400" s="50"/>
      <c r="E400" s="50"/>
      <c r="F400" s="50"/>
      <c r="G400" s="50"/>
      <c r="H400" s="50"/>
      <c r="I400" s="50"/>
      <c r="J400" s="50"/>
      <c r="K400" s="68"/>
      <c r="L400" s="465" t="s">
        <v>265</v>
      </c>
      <c r="M400" s="54"/>
      <c r="N400" s="38"/>
      <c r="O400" s="38"/>
      <c r="P400" s="38"/>
      <c r="Q400" s="38"/>
      <c r="R400" s="38"/>
      <c r="S400" s="38"/>
      <c r="T400" s="38"/>
      <c r="U400" s="38"/>
      <c r="V400" s="38"/>
      <c r="W400" s="58"/>
      <c r="X400" s="455" t="s">
        <v>265</v>
      </c>
      <c r="Y400" s="330"/>
      <c r="Z400" s="330"/>
      <c r="AE400"/>
    </row>
    <row r="401" spans="1:32" ht="11.25" customHeight="1">
      <c r="A401" s="418">
        <v>5</v>
      </c>
      <c r="B401" s="110"/>
      <c r="F401" s="191" t="s">
        <v>398</v>
      </c>
      <c r="K401" s="59"/>
      <c r="L401" s="465" t="s">
        <v>265</v>
      </c>
      <c r="M401" s="54" t="s">
        <v>321</v>
      </c>
      <c r="N401" s="161" t="s">
        <v>53</v>
      </c>
      <c r="O401" s="161" t="s">
        <v>31</v>
      </c>
      <c r="P401" s="161" t="s">
        <v>32</v>
      </c>
      <c r="Q401" s="37"/>
      <c r="R401" s="161"/>
      <c r="S401" s="107" t="s">
        <v>34</v>
      </c>
      <c r="T401" s="161"/>
      <c r="U401" s="38" t="s">
        <v>35</v>
      </c>
      <c r="V401" s="37"/>
      <c r="W401" s="57"/>
      <c r="X401" s="455" t="s">
        <v>265</v>
      </c>
      <c r="Y401" s="330"/>
      <c r="Z401" s="330"/>
      <c r="AE401"/>
    </row>
    <row r="402" spans="1:32" ht="11.25" customHeight="1" thickBot="1">
      <c r="A402" s="418">
        <v>6</v>
      </c>
      <c r="B402" s="110"/>
      <c r="K402" s="59"/>
      <c r="L402" s="465" t="s">
        <v>265</v>
      </c>
      <c r="M402" s="162" t="s">
        <v>36</v>
      </c>
      <c r="N402" s="121" t="str">
        <f>SFSDD</f>
        <v>cm</v>
      </c>
      <c r="O402" s="121" t="s">
        <v>37</v>
      </c>
      <c r="P402" s="121" t="s">
        <v>22</v>
      </c>
      <c r="Q402" s="121" t="s">
        <v>38</v>
      </c>
      <c r="R402" s="121" t="str">
        <f>IF(AND(LFMAS="",SFMAS=""),"mA/mAs",IF(O403="Large",LFMAS,SFMAS))</f>
        <v>mAs</v>
      </c>
      <c r="S402" s="166" t="s">
        <v>39</v>
      </c>
      <c r="T402" s="121" t="s">
        <v>40</v>
      </c>
      <c r="U402" s="121" t="s">
        <v>41</v>
      </c>
      <c r="V402" s="121" t="s">
        <v>39</v>
      </c>
      <c r="W402" s="166" t="s">
        <v>512</v>
      </c>
      <c r="X402" s="455" t="s">
        <v>265</v>
      </c>
      <c r="Y402" s="330"/>
      <c r="Z402" s="330"/>
      <c r="AE402"/>
    </row>
    <row r="403" spans="1:32" ht="11.25" customHeight="1">
      <c r="A403" s="418">
        <v>7</v>
      </c>
      <c r="B403" s="110"/>
      <c r="C403" s="42" t="s">
        <v>21</v>
      </c>
      <c r="D403" s="47" t="str">
        <f>IF($O$227="","",$O$227)</f>
        <v>Piranha CB2-19020491</v>
      </c>
      <c r="E403" s="47"/>
      <c r="F403" s="36"/>
      <c r="K403" s="59"/>
      <c r="L403" s="465" t="s">
        <v>265</v>
      </c>
      <c r="M403" s="214" t="s">
        <v>106</v>
      </c>
      <c r="N403" s="263">
        <f>$N$234</f>
        <v>100</v>
      </c>
      <c r="O403" s="160" t="str">
        <f>IF(Q403="","","Small")</f>
        <v>Small</v>
      </c>
      <c r="P403" s="797"/>
      <c r="Q403" s="159">
        <f>Sheet1!A30</f>
        <v>80</v>
      </c>
      <c r="R403" s="308" cm="1">
        <f t="array" ref="R403">_xlfn.SWITCH(SFMAS,"mA",Sheet1!B30,"mAs",Sheet1!C30)</f>
        <v>10</v>
      </c>
      <c r="S403" s="177" t="str" cm="1">
        <f t="array" ref="S403">_xlfn.SWITCH(SFMAS,"mA",Sheet1!D30,"mAs","")</f>
        <v/>
      </c>
      <c r="T403" s="820"/>
      <c r="U403" s="160" t="str">
        <f>IF(Sheet1!G30="","",Sheet1!G30)</f>
        <v/>
      </c>
      <c r="V403" s="164" t="str">
        <f>IF(Sheet1!H30="","",Sheet1!H30)</f>
        <v/>
      </c>
      <c r="W403" s="321" t="str">
        <f>IF(Sheet1!I30="","",Sheet1!I30)</f>
        <v/>
      </c>
      <c r="X403" s="455" t="s">
        <v>265</v>
      </c>
      <c r="Y403" s="330"/>
      <c r="Z403" s="330"/>
      <c r="AE403"/>
    </row>
    <row r="404" spans="1:32" ht="11.25" customHeight="1" thickBot="1">
      <c r="A404" s="418">
        <v>8</v>
      </c>
      <c r="B404" s="110"/>
      <c r="K404" s="59"/>
      <c r="L404" s="465" t="s">
        <v>265</v>
      </c>
      <c r="M404" s="162" t="s">
        <v>106</v>
      </c>
      <c r="N404" s="350">
        <f>IF(R404="","",$N$403)</f>
        <v>100</v>
      </c>
      <c r="O404" s="121" t="str">
        <f>IF(Q404="","",$O$403)</f>
        <v>Small</v>
      </c>
      <c r="P404" s="819"/>
      <c r="Q404" s="351">
        <f>Sheet1!A31</f>
        <v>80</v>
      </c>
      <c r="R404" s="352" cm="1">
        <f t="array" ref="R404">_xlfn.SWITCH(SFMAS,"mA",Sheet1!B31,"mAs",Sheet1!C31)</f>
        <v>11</v>
      </c>
      <c r="S404" s="180" t="str" cm="1">
        <f t="array" ref="S404">_xlfn.SWITCH(SFMAS,"mA",Sheet1!D31,"mAs","")</f>
        <v/>
      </c>
      <c r="T404" s="821"/>
      <c r="U404" s="121" t="str">
        <f>IF(Sheet1!G31="","",Sheet1!G31)</f>
        <v/>
      </c>
      <c r="V404" s="353" t="str">
        <f>IF(Sheet1!H31="","",Sheet1!H31)</f>
        <v/>
      </c>
      <c r="W404" s="354" t="str">
        <f>IF(Sheet1!I31="","",Sheet1!I31)</f>
        <v/>
      </c>
      <c r="X404" s="455" t="s">
        <v>265</v>
      </c>
      <c r="Y404" s="330"/>
      <c r="Z404" s="330"/>
      <c r="AE404"/>
    </row>
    <row r="405" spans="1:32" ht="11.25" customHeight="1">
      <c r="A405" s="418">
        <v>9</v>
      </c>
      <c r="B405" s="223" t="s">
        <v>524</v>
      </c>
      <c r="C405" s="111"/>
      <c r="D405" s="111"/>
      <c r="E405" s="111"/>
      <c r="G405" s="37"/>
      <c r="H405" s="37"/>
      <c r="I405" s="37"/>
      <c r="J405" s="37"/>
      <c r="K405" s="57"/>
      <c r="L405" s="465" t="s">
        <v>265</v>
      </c>
      <c r="M405" s="93" t="s">
        <v>108</v>
      </c>
      <c r="N405" s="263">
        <f>IF(R405="","",$N$403)</f>
        <v>100</v>
      </c>
      <c r="O405" s="160" t="str">
        <f>IF(Q405="","",$O$403)</f>
        <v>Small</v>
      </c>
      <c r="P405" s="797"/>
      <c r="Q405" s="159">
        <f>Sheet1!A32</f>
        <v>80</v>
      </c>
      <c r="R405" s="308" cm="1">
        <f t="array" ref="R405">_xlfn.SWITCH(SFMAS,"mA",Sheet1!B32,"mAs",Sheet1!C32)</f>
        <v>25</v>
      </c>
      <c r="S405" s="177" t="str" cm="1">
        <f t="array" ref="S405">_xlfn.SWITCH(SFMAS,"mA",Sheet1!D32,"mAs","")</f>
        <v/>
      </c>
      <c r="T405" s="820"/>
      <c r="U405" s="160" t="str">
        <f>IF(Sheet1!G32="","",Sheet1!G32)</f>
        <v/>
      </c>
      <c r="V405" s="164" t="str">
        <f>IF(Sheet1!H32="","",Sheet1!H32)</f>
        <v/>
      </c>
      <c r="W405" s="321" t="str">
        <f>IF(Sheet1!I32="","",Sheet1!I32)</f>
        <v/>
      </c>
      <c r="X405" s="455" t="s">
        <v>265</v>
      </c>
      <c r="Y405" s="330"/>
      <c r="Z405" s="330"/>
      <c r="AE405"/>
    </row>
    <row r="406" spans="1:32" ht="11.25" customHeight="1">
      <c r="A406" s="418">
        <v>10</v>
      </c>
      <c r="B406" s="54"/>
      <c r="C406" s="37"/>
      <c r="D406" s="37"/>
      <c r="E406" s="37"/>
      <c r="F406" s="37"/>
      <c r="G406" s="37"/>
      <c r="H406" s="37"/>
      <c r="I406" s="37"/>
      <c r="J406" s="37"/>
      <c r="K406" s="57"/>
      <c r="L406" s="465" t="s">
        <v>265</v>
      </c>
      <c r="M406" s="93" t="s">
        <v>108</v>
      </c>
      <c r="N406" s="263">
        <f>IF(R406="","",$N$403)</f>
        <v>100</v>
      </c>
      <c r="O406" s="160" t="str">
        <f>IF(Q406="","",$O$403)</f>
        <v>Small</v>
      </c>
      <c r="P406" s="797"/>
      <c r="Q406" s="159">
        <f>Sheet1!A33</f>
        <v>80</v>
      </c>
      <c r="R406" s="308" cm="1">
        <f t="array" ref="R406">_xlfn.SWITCH(SFMAS,"mA",Sheet1!B33,"mAs",Sheet1!C33)</f>
        <v>2.5</v>
      </c>
      <c r="S406" s="177" t="str" cm="1">
        <f t="array" ref="S406">_xlfn.SWITCH(SFMAS,"mA",Sheet1!D33,"mAs","")</f>
        <v/>
      </c>
      <c r="T406" s="820"/>
      <c r="U406" s="160" t="str">
        <f>IF(Sheet1!G33="","",Sheet1!G33)</f>
        <v/>
      </c>
      <c r="V406" s="164" t="str">
        <f>IF(Sheet1!H33="","",Sheet1!H33)</f>
        <v/>
      </c>
      <c r="W406" s="321" t="str">
        <f>IF(Sheet1!I33="","",Sheet1!I33)</f>
        <v/>
      </c>
      <c r="X406" s="455" t="s">
        <v>265</v>
      </c>
      <c r="Y406" s="330"/>
      <c r="Z406" s="330"/>
      <c r="AE406"/>
    </row>
    <row r="407" spans="1:32" ht="11.25" customHeight="1" thickBot="1">
      <c r="A407" s="418">
        <v>11</v>
      </c>
      <c r="B407" s="110"/>
      <c r="D407" s="196" t="s">
        <v>43</v>
      </c>
      <c r="E407" s="41"/>
      <c r="H407" s="196" t="s">
        <v>44</v>
      </c>
      <c r="I407" s="41"/>
      <c r="K407" s="57"/>
      <c r="L407" s="465" t="s">
        <v>265</v>
      </c>
      <c r="M407" s="162" t="s">
        <v>108</v>
      </c>
      <c r="N407" s="350">
        <f>IF(R407="","",$N$403)</f>
        <v>100</v>
      </c>
      <c r="O407" s="121" t="str">
        <f>IF(Q407="","",$O$403)</f>
        <v>Small</v>
      </c>
      <c r="P407" s="819"/>
      <c r="Q407" s="351">
        <f>Sheet1!A34</f>
        <v>80</v>
      </c>
      <c r="R407" s="352" cm="1">
        <f t="array" ref="R407">_xlfn.SWITCH(SFMAS,"mA",Sheet1!B34,"mAs",Sheet1!C34)</f>
        <v>16</v>
      </c>
      <c r="S407" s="180" t="str" cm="1">
        <f t="array" ref="S407">_xlfn.SWITCH(SFMAS,"mA",Sheet1!D34,"mAs","")</f>
        <v/>
      </c>
      <c r="T407" s="821"/>
      <c r="U407" s="121" t="str">
        <f>IF(Sheet1!G34="","",Sheet1!G34)</f>
        <v/>
      </c>
      <c r="V407" s="353" t="str">
        <f>IF(Sheet1!H34="","",Sheet1!H34)</f>
        <v/>
      </c>
      <c r="W407" s="354" t="str">
        <f>IF(Sheet1!I34="","",Sheet1!I34)</f>
        <v/>
      </c>
      <c r="X407" s="455" t="s">
        <v>265</v>
      </c>
      <c r="Y407" s="330"/>
      <c r="Z407" s="330"/>
      <c r="AE407"/>
    </row>
    <row r="408" spans="1:32" ht="11.25" customHeight="1" thickBot="1">
      <c r="A408" s="418">
        <v>12</v>
      </c>
      <c r="B408" s="110"/>
      <c r="D408" s="42" t="s">
        <v>54</v>
      </c>
      <c r="E408" s="36">
        <f>IF(N280="","",N280)</f>
        <v>100</v>
      </c>
      <c r="F408" s="38" t="str">
        <f>N279</f>
        <v>cm</v>
      </c>
      <c r="G408" s="37"/>
      <c r="H408" s="42" t="s">
        <v>54</v>
      </c>
      <c r="I408" s="36">
        <f>IF(N299="","",N299)</f>
        <v>100</v>
      </c>
      <c r="J408" s="38" t="str">
        <f>N298</f>
        <v>cm</v>
      </c>
      <c r="K408" s="57"/>
      <c r="L408" s="465" t="s">
        <v>265</v>
      </c>
      <c r="M408" s="73" t="s">
        <v>109</v>
      </c>
      <c r="N408" s="37"/>
      <c r="O408" s="37"/>
      <c r="P408" s="37"/>
      <c r="Q408" s="37"/>
      <c r="R408" s="37"/>
      <c r="S408" s="37"/>
      <c r="T408" s="37"/>
      <c r="U408" s="37"/>
      <c r="V408" s="37"/>
      <c r="W408" s="57"/>
      <c r="X408" s="455" t="s">
        <v>265</v>
      </c>
      <c r="Y408" s="330"/>
      <c r="Z408" s="330"/>
      <c r="AE408"/>
    </row>
    <row r="409" spans="1:32" ht="11.25" customHeight="1" thickBot="1">
      <c r="A409" s="418">
        <v>13</v>
      </c>
      <c r="B409" s="110"/>
      <c r="C409" s="42"/>
      <c r="D409" s="42" t="s">
        <v>360</v>
      </c>
      <c r="E409" s="49" t="str">
        <f>IF(R280="","",IF(LFMAS="mA",R280,""))</f>
        <v/>
      </c>
      <c r="F409" s="37"/>
      <c r="G409" s="42"/>
      <c r="H409" s="42" t="s">
        <v>360</v>
      </c>
      <c r="I409" s="49" t="str">
        <f>IF(R299="","",IF(SFMAS="mA",R299,""))</f>
        <v/>
      </c>
      <c r="K409" s="57"/>
      <c r="L409" s="465" t="s">
        <v>265</v>
      </c>
      <c r="M409" s="54"/>
      <c r="N409" s="37"/>
      <c r="O409" s="37"/>
      <c r="P409" s="37"/>
      <c r="Q409" s="37"/>
      <c r="R409" s="37"/>
      <c r="S409" s="37"/>
      <c r="T409" s="37"/>
      <c r="U409" s="37"/>
      <c r="V409" s="717" t="s">
        <v>373</v>
      </c>
      <c r="W409" s="57"/>
      <c r="X409" s="455" t="s">
        <v>265</v>
      </c>
      <c r="Y409" s="330"/>
      <c r="Z409" s="330"/>
      <c r="AE409"/>
    </row>
    <row r="410" spans="1:32" ht="11.25" customHeight="1">
      <c r="A410" s="418">
        <v>14</v>
      </c>
      <c r="B410" s="110"/>
      <c r="C410" s="37"/>
      <c r="D410" s="42" t="s">
        <v>361</v>
      </c>
      <c r="E410" s="49">
        <f>IF(R280="","",IF(LFMAS="mAs",R280,""))</f>
        <v>20</v>
      </c>
      <c r="F410" s="37"/>
      <c r="G410" s="37"/>
      <c r="H410" s="42" t="s">
        <v>361</v>
      </c>
      <c r="I410" s="49">
        <f>IF(R299="","",IF(SFMAS="mAs",R299,""))</f>
        <v>10</v>
      </c>
      <c r="K410" s="57"/>
      <c r="L410" s="465" t="s">
        <v>265</v>
      </c>
      <c r="M410" s="110"/>
      <c r="N410" s="401" t="s">
        <v>346</v>
      </c>
      <c r="O410" s="488" t="str">
        <f>IF(O412&lt;&gt;"",O412,IF(OR(AB219=0,AB219=""),"",AB219))</f>
        <v/>
      </c>
      <c r="P410" s="36"/>
      <c r="Q410" s="36"/>
      <c r="R410" s="36"/>
      <c r="S410" s="36"/>
      <c r="T410" s="36"/>
      <c r="U410" s="36"/>
      <c r="V410" s="718" t="s">
        <v>107</v>
      </c>
      <c r="W410" s="57"/>
      <c r="X410" s="455" t="s">
        <v>265</v>
      </c>
      <c r="Y410" s="330"/>
      <c r="Z410" s="330"/>
      <c r="AE410"/>
    </row>
    <row r="411" spans="1:32" ht="11.25" customHeight="1" thickBot="1">
      <c r="A411" s="418">
        <v>15</v>
      </c>
      <c r="B411" s="110"/>
      <c r="C411" s="37"/>
      <c r="D411" s="42" t="s">
        <v>47</v>
      </c>
      <c r="E411" s="129" t="str">
        <f>IF(S280="","",S280)</f>
        <v/>
      </c>
      <c r="F411" s="37"/>
      <c r="G411" s="37"/>
      <c r="H411" s="42" t="s">
        <v>47</v>
      </c>
      <c r="I411" s="129" t="str">
        <f>IF(S299="","",S299)</f>
        <v/>
      </c>
      <c r="K411" s="57"/>
      <c r="L411" s="465" t="s">
        <v>265</v>
      </c>
      <c r="M411" s="73"/>
      <c r="N411" s="416" t="s">
        <v>188</v>
      </c>
      <c r="O411" s="47"/>
      <c r="P411" s="559">
        <f>LEN(O410)</f>
        <v>0</v>
      </c>
      <c r="Q411" s="47"/>
      <c r="R411" s="47"/>
      <c r="S411" s="47"/>
      <c r="T411" s="47"/>
      <c r="U411" s="47"/>
      <c r="V411" s="211" t="str">
        <f>IF(J555="","TBD",IF(J555&gt;0.1,"NO","YES"))</f>
        <v>TBD</v>
      </c>
      <c r="W411" s="57"/>
      <c r="X411" s="455" t="s">
        <v>265</v>
      </c>
      <c r="Y411" s="330"/>
      <c r="Z411" s="330"/>
      <c r="AE411"/>
      <c r="AF411" s="330"/>
    </row>
    <row r="412" spans="1:32" ht="11.25" customHeight="1">
      <c r="A412" s="418">
        <v>16</v>
      </c>
      <c r="B412" s="110"/>
      <c r="C412" s="37"/>
      <c r="D412" s="37"/>
      <c r="E412" s="37"/>
      <c r="F412" s="37"/>
      <c r="G412" s="37"/>
      <c r="H412" s="37"/>
      <c r="I412" s="37"/>
      <c r="K412" s="57"/>
      <c r="L412" s="465" t="s">
        <v>265</v>
      </c>
      <c r="M412" s="54"/>
      <c r="N412" s="605" t="s">
        <v>366</v>
      </c>
      <c r="O412" s="607"/>
      <c r="P412" s="36"/>
      <c r="Q412" s="36"/>
      <c r="R412" s="36"/>
      <c r="S412" s="36"/>
      <c r="T412" s="36"/>
      <c r="U412" s="36"/>
      <c r="V412" s="718" t="s">
        <v>108</v>
      </c>
      <c r="W412" s="57"/>
      <c r="X412" s="455" t="s">
        <v>265</v>
      </c>
      <c r="Y412" s="330"/>
      <c r="Z412" s="330"/>
      <c r="AE412"/>
      <c r="AF412" s="330"/>
    </row>
    <row r="413" spans="1:32" ht="11.25" customHeight="1" thickBot="1">
      <c r="A413" s="418">
        <v>17</v>
      </c>
      <c r="B413" s="110"/>
      <c r="D413" s="37" t="s">
        <v>350</v>
      </c>
      <c r="E413" s="111" t="s">
        <v>351</v>
      </c>
      <c r="F413" s="111"/>
      <c r="G413" s="37"/>
      <c r="H413" s="37" t="s">
        <v>350</v>
      </c>
      <c r="I413" s="111" t="s">
        <v>351</v>
      </c>
      <c r="J413" s="111"/>
      <c r="K413" s="59"/>
      <c r="L413" s="465" t="s">
        <v>265</v>
      </c>
      <c r="M413" s="54"/>
      <c r="N413" s="37"/>
      <c r="O413" s="37"/>
      <c r="P413" s="37"/>
      <c r="Q413" s="37"/>
      <c r="R413" s="37"/>
      <c r="S413" s="37"/>
      <c r="T413" s="37"/>
      <c r="U413" s="37"/>
      <c r="V413" s="211" t="str">
        <f>IF(J557="","TBD",IF(J557&gt;0.1,"NO","YES"))</f>
        <v>TBD</v>
      </c>
      <c r="W413" s="57"/>
      <c r="X413" s="455" t="s">
        <v>265</v>
      </c>
      <c r="Y413" s="330"/>
      <c r="Z413" s="330"/>
      <c r="AE413"/>
      <c r="AF413" s="330"/>
    </row>
    <row r="414" spans="1:32" ht="11.25" customHeight="1" thickBot="1">
      <c r="A414" s="418">
        <v>18</v>
      </c>
      <c r="B414" s="110"/>
      <c r="C414" s="37"/>
      <c r="D414" s="126" t="s">
        <v>298</v>
      </c>
      <c r="E414" s="126" t="s">
        <v>298</v>
      </c>
      <c r="F414" s="126" t="s">
        <v>512</v>
      </c>
      <c r="G414" s="37"/>
      <c r="H414" s="126" t="s">
        <v>298</v>
      </c>
      <c r="I414" s="126" t="s">
        <v>298</v>
      </c>
      <c r="J414" s="126" t="s">
        <v>512</v>
      </c>
      <c r="K414" s="57"/>
      <c r="L414" s="465" t="s">
        <v>265</v>
      </c>
      <c r="M414" s="54"/>
      <c r="N414" s="37"/>
      <c r="O414" s="37"/>
      <c r="P414" s="37"/>
      <c r="Q414" s="37"/>
      <c r="R414" s="37"/>
      <c r="S414" s="37"/>
      <c r="T414" s="37"/>
      <c r="U414" s="37"/>
      <c r="V414" s="37"/>
      <c r="W414" s="57"/>
      <c r="X414" s="455" t="s">
        <v>265</v>
      </c>
      <c r="Y414" s="330"/>
      <c r="Z414" s="330"/>
      <c r="AE414"/>
      <c r="AF414" s="330"/>
    </row>
    <row r="415" spans="1:32" ht="11.25" customHeight="1">
      <c r="A415" s="418">
        <v>19</v>
      </c>
      <c r="B415" s="110"/>
      <c r="C415" s="37"/>
      <c r="D415" s="160">
        <f>IF(Q280="","",Q280)</f>
        <v>80</v>
      </c>
      <c r="E415" s="104" t="str">
        <f>IF(U280="","",U280)</f>
        <v/>
      </c>
      <c r="F415" s="305" t="str">
        <f t="shared" ref="F415:F424" si="69">IF(W280="","",W280)</f>
        <v/>
      </c>
      <c r="G415" s="37"/>
      <c r="H415" s="160">
        <f>IF(Q299="","",Q299)</f>
        <v>90</v>
      </c>
      <c r="I415" s="104" t="str">
        <f>IF(U299="","",U299)</f>
        <v/>
      </c>
      <c r="J415" s="305" t="str">
        <f t="shared" ref="J415:J424" si="70">IF(W299="","",W299)</f>
        <v/>
      </c>
      <c r="K415" s="57"/>
      <c r="L415" s="465" t="s">
        <v>265</v>
      </c>
      <c r="M415" s="54"/>
      <c r="N415" s="37"/>
      <c r="O415" s="37"/>
      <c r="P415" s="37"/>
      <c r="Q415" s="37"/>
      <c r="R415" s="37"/>
      <c r="S415" s="37"/>
      <c r="T415" s="37"/>
      <c r="U415" s="37"/>
      <c r="V415" s="37"/>
      <c r="W415" s="57"/>
      <c r="X415" s="455" t="s">
        <v>265</v>
      </c>
      <c r="Y415" s="330"/>
      <c r="Z415" s="330"/>
      <c r="AE415"/>
      <c r="AF415" s="330"/>
    </row>
    <row r="416" spans="1:32" ht="11.25" customHeight="1">
      <c r="A416" s="418">
        <v>20</v>
      </c>
      <c r="B416" s="110"/>
      <c r="C416" s="37"/>
      <c r="D416" s="37"/>
      <c r="E416" s="104" t="str">
        <f t="shared" ref="E416:E424" si="71">IF(U281="","",U281)</f>
        <v/>
      </c>
      <c r="F416" s="305" t="str">
        <f t="shared" si="69"/>
        <v/>
      </c>
      <c r="G416" s="37"/>
      <c r="H416" s="37"/>
      <c r="I416" s="104" t="str">
        <f t="shared" ref="I416:I424" si="72">IF(U300="","",U300)</f>
        <v/>
      </c>
      <c r="J416" s="305" t="str">
        <f t="shared" si="70"/>
        <v/>
      </c>
      <c r="K416" s="57"/>
      <c r="L416" s="465" t="s">
        <v>265</v>
      </c>
      <c r="M416" s="54"/>
      <c r="N416" s="37"/>
      <c r="O416" s="37"/>
      <c r="P416" s="37"/>
      <c r="Q416" s="37"/>
      <c r="R416" s="37"/>
      <c r="S416" s="37"/>
      <c r="T416" s="37"/>
      <c r="U416" s="37"/>
      <c r="V416" s="37"/>
      <c r="W416" s="57"/>
      <c r="X416" s="455" t="s">
        <v>265</v>
      </c>
      <c r="Y416" s="330"/>
      <c r="Z416" s="330"/>
      <c r="AE416"/>
      <c r="AF416" s="330"/>
    </row>
    <row r="417" spans="1:34" ht="11.25" customHeight="1">
      <c r="A417" s="418">
        <v>21</v>
      </c>
      <c r="B417" s="110"/>
      <c r="C417" s="37"/>
      <c r="D417" s="37"/>
      <c r="E417" s="104" t="str">
        <f t="shared" si="71"/>
        <v/>
      </c>
      <c r="F417" s="305" t="str">
        <f t="shared" si="69"/>
        <v/>
      </c>
      <c r="G417" s="37"/>
      <c r="H417" s="37"/>
      <c r="I417" s="104" t="str">
        <f t="shared" si="72"/>
        <v/>
      </c>
      <c r="J417" s="305" t="str">
        <f t="shared" si="70"/>
        <v/>
      </c>
      <c r="K417" s="57"/>
      <c r="L417" s="465" t="s">
        <v>265</v>
      </c>
      <c r="M417" s="54"/>
      <c r="N417" s="38" t="s">
        <v>113</v>
      </c>
      <c r="O417" s="37"/>
      <c r="P417" s="37"/>
      <c r="Q417" s="37"/>
      <c r="R417" s="37"/>
      <c r="S417" s="37"/>
      <c r="T417" s="37"/>
      <c r="U417" s="37"/>
      <c r="V417" s="584" t="s">
        <v>111</v>
      </c>
      <c r="W417" s="585"/>
      <c r="X417" s="455" t="s">
        <v>265</v>
      </c>
      <c r="Y417" s="330"/>
      <c r="Z417" s="330"/>
      <c r="AE417"/>
      <c r="AF417" s="330"/>
    </row>
    <row r="418" spans="1:34" ht="11.25" customHeight="1" thickBot="1">
      <c r="A418" s="418">
        <v>22</v>
      </c>
      <c r="B418" s="110"/>
      <c r="C418" s="37"/>
      <c r="D418" s="37"/>
      <c r="E418" s="104" t="str">
        <f t="shared" si="71"/>
        <v/>
      </c>
      <c r="F418" s="305" t="str">
        <f t="shared" si="69"/>
        <v/>
      </c>
      <c r="G418" s="37"/>
      <c r="H418" s="37"/>
      <c r="I418" s="104" t="str">
        <f t="shared" si="72"/>
        <v/>
      </c>
      <c r="J418" s="305" t="str">
        <f t="shared" si="70"/>
        <v/>
      </c>
      <c r="K418" s="57"/>
      <c r="L418" s="465" t="s">
        <v>265</v>
      </c>
      <c r="M418" s="54"/>
      <c r="N418" s="37"/>
      <c r="O418" s="42" t="s">
        <v>115</v>
      </c>
      <c r="P418" s="37"/>
      <c r="Q418" s="101" t="s">
        <v>516</v>
      </c>
      <c r="R418" s="37"/>
      <c r="S418" s="37"/>
      <c r="T418" s="37"/>
      <c r="U418" s="37"/>
      <c r="V418" s="37"/>
      <c r="W418" s="59"/>
      <c r="X418" s="455" t="s">
        <v>265</v>
      </c>
      <c r="Y418" s="330"/>
      <c r="Z418" s="330"/>
      <c r="AE418"/>
      <c r="AF418" s="330"/>
      <c r="AH418" s="397"/>
    </row>
    <row r="419" spans="1:34" ht="11.25" customHeight="1" thickBot="1">
      <c r="A419" s="418">
        <v>23</v>
      </c>
      <c r="B419" s="110"/>
      <c r="C419" s="37"/>
      <c r="D419" s="37"/>
      <c r="E419" s="104" t="str">
        <f t="shared" si="71"/>
        <v/>
      </c>
      <c r="F419" s="305" t="str">
        <f t="shared" si="69"/>
        <v/>
      </c>
      <c r="G419" s="37"/>
      <c r="H419" s="37"/>
      <c r="I419" s="104" t="str">
        <f t="shared" si="72"/>
        <v/>
      </c>
      <c r="J419" s="305" t="str">
        <f t="shared" si="70"/>
        <v/>
      </c>
      <c r="K419" s="59"/>
      <c r="L419" s="465" t="s">
        <v>265</v>
      </c>
      <c r="M419" s="54"/>
      <c r="N419" s="37"/>
      <c r="O419" s="37"/>
      <c r="P419" s="37"/>
      <c r="Q419" s="37" t="s">
        <v>517</v>
      </c>
      <c r="R419" s="37"/>
      <c r="S419" s="37"/>
      <c r="T419" s="37"/>
      <c r="U419" s="37"/>
      <c r="V419" s="717" t="s">
        <v>373</v>
      </c>
      <c r="W419" s="59"/>
      <c r="X419" s="455" t="s">
        <v>265</v>
      </c>
      <c r="Y419" s="330"/>
      <c r="Z419" s="330"/>
      <c r="AE419"/>
      <c r="AF419" s="330"/>
    </row>
    <row r="420" spans="1:34" ht="11.25" customHeight="1">
      <c r="A420" s="418">
        <v>24</v>
      </c>
      <c r="B420" s="110"/>
      <c r="D420" s="37"/>
      <c r="E420" s="104" t="str">
        <f t="shared" si="71"/>
        <v/>
      </c>
      <c r="F420" s="305" t="str">
        <f t="shared" si="69"/>
        <v/>
      </c>
      <c r="G420" s="37"/>
      <c r="H420" s="37"/>
      <c r="I420" s="104" t="str">
        <f t="shared" si="72"/>
        <v/>
      </c>
      <c r="J420" s="305" t="str">
        <f t="shared" si="70"/>
        <v/>
      </c>
      <c r="K420" s="59"/>
      <c r="L420" s="465" t="s">
        <v>265</v>
      </c>
      <c r="M420" s="110"/>
      <c r="N420" s="37"/>
      <c r="O420" s="37"/>
      <c r="P420" s="37"/>
      <c r="Q420" s="37"/>
      <c r="R420" s="37"/>
      <c r="S420" s="37"/>
      <c r="T420" s="37"/>
      <c r="V420" s="718" t="s">
        <v>108</v>
      </c>
      <c r="W420" s="59"/>
      <c r="X420" s="455" t="s">
        <v>265</v>
      </c>
      <c r="Y420" s="330"/>
      <c r="Z420" s="330"/>
      <c r="AE420"/>
      <c r="AF420" s="330"/>
    </row>
    <row r="421" spans="1:34" ht="11.25" customHeight="1" thickBot="1">
      <c r="A421" s="418">
        <v>25</v>
      </c>
      <c r="B421" s="110"/>
      <c r="D421" s="37"/>
      <c r="E421" s="104" t="str">
        <f t="shared" si="71"/>
        <v/>
      </c>
      <c r="F421" s="305" t="str">
        <f t="shared" si="69"/>
        <v/>
      </c>
      <c r="G421" s="37"/>
      <c r="H421" s="37"/>
      <c r="I421" s="104" t="str">
        <f t="shared" si="72"/>
        <v/>
      </c>
      <c r="J421" s="305" t="str">
        <f t="shared" si="70"/>
        <v/>
      </c>
      <c r="K421" s="59"/>
      <c r="L421" s="465" t="s">
        <v>265</v>
      </c>
      <c r="M421" s="110"/>
      <c r="N421" s="37"/>
      <c r="O421" s="42" t="s">
        <v>117</v>
      </c>
      <c r="P421" s="37"/>
      <c r="Q421" s="101" t="s">
        <v>518</v>
      </c>
      <c r="R421" s="37"/>
      <c r="S421" s="37"/>
      <c r="T421" s="37"/>
      <c r="V421" s="211" t="str">
        <f>IF(OR(E571="NA",$Q$388&lt;&gt;$Q$403),"NA",IF(E571&gt;0.1,"NO","YES"))</f>
        <v>NA</v>
      </c>
      <c r="W421" s="59"/>
      <c r="X421" s="455" t="s">
        <v>265</v>
      </c>
      <c r="Y421" s="330"/>
      <c r="Z421" s="330"/>
      <c r="AE421"/>
      <c r="AF421" s="330"/>
    </row>
    <row r="422" spans="1:34" ht="11.25" customHeight="1">
      <c r="A422" s="418">
        <v>26</v>
      </c>
      <c r="B422" s="110"/>
      <c r="D422" s="37"/>
      <c r="E422" s="104" t="str">
        <f t="shared" si="71"/>
        <v/>
      </c>
      <c r="F422" s="305" t="str">
        <f t="shared" si="69"/>
        <v/>
      </c>
      <c r="G422" s="37"/>
      <c r="H422" s="37"/>
      <c r="I422" s="104" t="str">
        <f t="shared" si="72"/>
        <v/>
      </c>
      <c r="J422" s="305" t="str">
        <f t="shared" si="70"/>
        <v/>
      </c>
      <c r="K422" s="59"/>
      <c r="L422" s="465" t="s">
        <v>265</v>
      </c>
      <c r="M422" s="110"/>
      <c r="N422" s="37"/>
      <c r="O422" s="37"/>
      <c r="P422" s="37"/>
      <c r="Q422" s="37" t="s">
        <v>519</v>
      </c>
      <c r="R422" s="37"/>
      <c r="S422" s="37"/>
      <c r="T422" s="37"/>
      <c r="W422" s="59"/>
      <c r="X422" s="455" t="s">
        <v>265</v>
      </c>
      <c r="Y422" s="330"/>
      <c r="Z422" s="330"/>
      <c r="AE422"/>
      <c r="AF422" s="330"/>
    </row>
    <row r="423" spans="1:34" ht="11.25" customHeight="1">
      <c r="A423" s="418">
        <v>27</v>
      </c>
      <c r="B423" s="110"/>
      <c r="D423" s="37"/>
      <c r="E423" s="104" t="str">
        <f t="shared" si="71"/>
        <v/>
      </c>
      <c r="F423" s="305" t="str">
        <f t="shared" si="69"/>
        <v/>
      </c>
      <c r="G423" s="37"/>
      <c r="H423" s="37"/>
      <c r="I423" s="104" t="str">
        <f t="shared" si="72"/>
        <v/>
      </c>
      <c r="J423" s="305" t="str">
        <f t="shared" si="70"/>
        <v/>
      </c>
      <c r="K423" s="59"/>
      <c r="L423" s="465" t="s">
        <v>265</v>
      </c>
      <c r="M423" s="54"/>
      <c r="Q423" s="37"/>
      <c r="R423" s="37"/>
      <c r="S423" s="37"/>
      <c r="T423" s="37"/>
      <c r="U423" s="37"/>
      <c r="V423" s="37"/>
      <c r="W423" s="57"/>
      <c r="X423" s="455" t="s">
        <v>265</v>
      </c>
      <c r="Y423" s="330"/>
      <c r="Z423" s="330"/>
      <c r="AE423"/>
      <c r="AF423" s="330"/>
    </row>
    <row r="424" spans="1:34" ht="11.25" customHeight="1">
      <c r="A424" s="418">
        <v>28</v>
      </c>
      <c r="B424" s="110"/>
      <c r="D424" s="37"/>
      <c r="E424" s="104" t="str">
        <f t="shared" si="71"/>
        <v/>
      </c>
      <c r="F424" s="305" t="str">
        <f t="shared" si="69"/>
        <v/>
      </c>
      <c r="G424" s="37"/>
      <c r="H424" s="37"/>
      <c r="I424" s="104" t="str">
        <f t="shared" si="72"/>
        <v/>
      </c>
      <c r="J424" s="305" t="str">
        <f t="shared" si="70"/>
        <v/>
      </c>
      <c r="K424" s="57"/>
      <c r="L424" s="465" t="s">
        <v>265</v>
      </c>
      <c r="M424" s="54"/>
      <c r="N424" s="115" t="s">
        <v>354</v>
      </c>
      <c r="O424" s="88" t="s">
        <v>118</v>
      </c>
      <c r="P424" s="37"/>
      <c r="Q424" s="37"/>
      <c r="R424" s="37"/>
      <c r="S424" s="37"/>
      <c r="T424" s="37"/>
      <c r="U424" s="37"/>
      <c r="V424" s="37"/>
      <c r="W424" s="57"/>
      <c r="X424" s="455" t="s">
        <v>265</v>
      </c>
      <c r="Y424" s="330"/>
      <c r="Z424" s="330"/>
      <c r="AE424"/>
      <c r="AF424" s="330"/>
    </row>
    <row r="425" spans="1:34" ht="11.25" customHeight="1">
      <c r="A425" s="418">
        <v>29</v>
      </c>
      <c r="B425" s="110"/>
      <c r="D425" s="37"/>
      <c r="E425" s="37"/>
      <c r="F425" s="306"/>
      <c r="G425" s="37"/>
      <c r="H425" s="37"/>
      <c r="I425" s="37"/>
      <c r="J425" s="306"/>
      <c r="K425" s="57"/>
      <c r="L425" s="465" t="s">
        <v>265</v>
      </c>
      <c r="M425" s="54"/>
      <c r="N425" s="37"/>
      <c r="O425" s="37"/>
      <c r="P425" s="37"/>
      <c r="Q425" s="37"/>
      <c r="R425" s="37"/>
      <c r="S425" s="37"/>
      <c r="T425" s="37"/>
      <c r="U425" s="37"/>
      <c r="V425" s="37"/>
      <c r="W425" s="57"/>
      <c r="X425" s="455" t="s">
        <v>265</v>
      </c>
      <c r="Y425" s="330"/>
      <c r="Z425" s="330"/>
      <c r="AE425"/>
      <c r="AF425" s="330"/>
    </row>
    <row r="426" spans="1:34" ht="11.25" customHeight="1">
      <c r="A426" s="418">
        <v>30</v>
      </c>
      <c r="B426" s="110"/>
      <c r="C426" s="37"/>
      <c r="D426" s="37" t="s">
        <v>57</v>
      </c>
      <c r="E426" s="105" t="str">
        <f>IF(AND(E415&gt;0,MIN(E416:E424)&gt;0),AVERAGE(E415:E424),"")</f>
        <v/>
      </c>
      <c r="F426" s="307" t="str">
        <f>IF(AND(F415&gt;0,MIN(F416:F424)&gt;0),AVERAGE(F415:F424),"")</f>
        <v/>
      </c>
      <c r="G426" s="37"/>
      <c r="H426" s="37" t="s">
        <v>57</v>
      </c>
      <c r="I426" s="105" t="str">
        <f>IF(AND(I415&gt;0,MIN(I416:I424)&gt;0),AVERAGE(I415:I424),"")</f>
        <v/>
      </c>
      <c r="J426" s="307" t="str">
        <f>IF(AND(J415&gt;0,MIN(J416:J424)&gt;0),AVERAGE(J415:J424),"")</f>
        <v/>
      </c>
      <c r="K426" s="57"/>
      <c r="L426" s="465" t="s">
        <v>265</v>
      </c>
      <c r="M426" s="54"/>
      <c r="N426" s="37"/>
      <c r="O426" s="37"/>
      <c r="P426" s="37"/>
      <c r="Q426" s="37"/>
      <c r="R426" s="37"/>
      <c r="S426" s="37"/>
      <c r="T426" s="37"/>
      <c r="U426" s="37"/>
      <c r="V426" s="37"/>
      <c r="W426" s="57"/>
      <c r="X426" s="455" t="s">
        <v>265</v>
      </c>
      <c r="Y426" s="330"/>
      <c r="Z426" s="330"/>
      <c r="AE426"/>
      <c r="AF426" s="330"/>
    </row>
    <row r="427" spans="1:34" ht="11.25" customHeight="1">
      <c r="A427" s="418">
        <v>31</v>
      </c>
      <c r="B427" s="110"/>
      <c r="C427" s="37"/>
      <c r="D427" s="37" t="s">
        <v>58</v>
      </c>
      <c r="E427" s="104" t="str">
        <f>IF(AND(E415&gt;0,MIN(E416:E424)&gt;0),STDEV(E415:E424),"")</f>
        <v/>
      </c>
      <c r="F427" s="104" t="str">
        <f>IF(AND(F415&gt;0,MIN(F416:F424)&gt;0),STDEV(F415:F424),"")</f>
        <v/>
      </c>
      <c r="G427" s="37"/>
      <c r="H427" s="37" t="s">
        <v>58</v>
      </c>
      <c r="I427" s="104" t="str">
        <f>IF(AND(I415&gt;0,MIN(I416:I424)&gt;0),STDEV(I415:I424),"")</f>
        <v/>
      </c>
      <c r="J427" s="104" t="str">
        <f>IF(AND(J415&gt;0,MIN(J416:J424)&gt;0),STDEV(J415:J424),"")</f>
        <v/>
      </c>
      <c r="K427" s="57"/>
      <c r="L427" s="465" t="s">
        <v>265</v>
      </c>
      <c r="M427" s="54"/>
      <c r="N427" s="37"/>
      <c r="O427" s="37"/>
      <c r="P427" s="37"/>
      <c r="Q427" s="37"/>
      <c r="R427" s="37"/>
      <c r="S427" s="37"/>
      <c r="T427" s="37"/>
      <c r="U427" s="37"/>
      <c r="V427" s="37"/>
      <c r="W427" s="57"/>
      <c r="X427" s="455" t="s">
        <v>265</v>
      </c>
      <c r="Y427" s="330"/>
      <c r="Z427" s="330"/>
      <c r="AA427" s="330"/>
      <c r="AB427" s="335"/>
      <c r="AC427" s="377" t="str">
        <f t="shared" ref="AC427" si="73">IF(AND(OR(AB427="",AB427=0),OR(AD427="",AD427=0)),"",IF(AB427&lt;&gt;AD427,"Change",""))</f>
        <v/>
      </c>
      <c r="AD427" s="398"/>
      <c r="AE427" s="400"/>
      <c r="AF427" s="330"/>
    </row>
    <row r="428" spans="1:34" ht="11.25" customHeight="1">
      <c r="A428" s="418">
        <v>32</v>
      </c>
      <c r="B428" s="110"/>
      <c r="C428" s="37"/>
      <c r="D428" s="37" t="s">
        <v>59</v>
      </c>
      <c r="E428" s="119" t="str">
        <f>IF(E426="","TBD",IF(E426&gt;0,E427/E426,"TBD"))</f>
        <v>TBD</v>
      </c>
      <c r="F428" s="119" t="str">
        <f>IF(F426="","TBD",IF(F426&gt;0,F427/F426,"TBD"))</f>
        <v>TBD</v>
      </c>
      <c r="G428" s="37"/>
      <c r="H428" s="37" t="s">
        <v>59</v>
      </c>
      <c r="I428" s="119" t="str">
        <f>IF(I426="","TBD",IF(I426&gt;0,I427/I426,"TBD"))</f>
        <v>TBD</v>
      </c>
      <c r="J428" s="119" t="str">
        <f>IF(J426="","TBD",IF(J426&gt;0,J427/J426,"TBD"))</f>
        <v>TBD</v>
      </c>
      <c r="K428" s="57"/>
      <c r="L428" s="465" t="s">
        <v>265</v>
      </c>
      <c r="M428" s="54"/>
      <c r="N428" s="37"/>
      <c r="O428" s="37"/>
      <c r="P428" s="37"/>
      <c r="Q428" s="37"/>
      <c r="R428" s="37"/>
      <c r="S428" s="37"/>
      <c r="T428" s="37"/>
      <c r="U428" s="37"/>
      <c r="V428" s="37"/>
      <c r="W428" s="57"/>
      <c r="X428" s="455" t="s">
        <v>265</v>
      </c>
      <c r="Y428" s="330"/>
      <c r="Z428" s="330"/>
      <c r="AF428" s="330"/>
    </row>
    <row r="429" spans="1:34" ht="11.25" customHeight="1" thickBot="1">
      <c r="A429" s="418">
        <v>33</v>
      </c>
      <c r="B429" s="110"/>
      <c r="D429" s="37"/>
      <c r="E429" s="37"/>
      <c r="F429" s="37"/>
      <c r="G429" s="37"/>
      <c r="H429" s="37"/>
      <c r="I429" s="37"/>
      <c r="J429" s="37"/>
      <c r="K429" s="57"/>
      <c r="L429" s="465" t="s">
        <v>265</v>
      </c>
      <c r="M429" s="154" t="s">
        <v>270</v>
      </c>
      <c r="N429" s="37"/>
      <c r="O429" s="37"/>
      <c r="P429" s="37"/>
      <c r="Q429" s="37"/>
      <c r="R429" s="37"/>
      <c r="S429" s="37"/>
      <c r="T429" s="37"/>
      <c r="U429" s="37"/>
      <c r="V429" s="37"/>
      <c r="W429" s="57"/>
      <c r="X429" s="455" t="s">
        <v>265</v>
      </c>
      <c r="Y429" s="330"/>
      <c r="Z429" s="330"/>
      <c r="AF429" s="330"/>
    </row>
    <row r="430" spans="1:34" ht="11.25" customHeight="1" thickBot="1">
      <c r="A430" s="418">
        <v>34</v>
      </c>
      <c r="B430" s="54"/>
      <c r="C430" s="37"/>
      <c r="D430" s="192" t="s">
        <v>353</v>
      </c>
      <c r="E430" s="195" t="str">
        <f>IF(U280="","NA",IF(E428="TBD","TBD",IF(E428&gt;0.05,"NO","YES")))</f>
        <v>NA</v>
      </c>
      <c r="F430" s="124" t="str">
        <f>IF(W280="","NA",IF(F428="TBD","TBD",IF(F428&gt;0.05,"NO","YES")))</f>
        <v>NA</v>
      </c>
      <c r="G430" s="37"/>
      <c r="H430" s="192" t="s">
        <v>353</v>
      </c>
      <c r="I430" s="195" t="str">
        <f>IF(U299="","NA",IF(I428="TBD","TBD",IF(I428&gt;0.05,"NO","YES")))</f>
        <v>NA</v>
      </c>
      <c r="J430" s="124" t="str">
        <f>IF(W299="","NA",IF(J428="TBD","TBD",IF(J428&gt;0.05,"NO","YES")))</f>
        <v>NA</v>
      </c>
      <c r="K430" s="57"/>
      <c r="L430" s="465" t="s">
        <v>265</v>
      </c>
      <c r="M430" s="54"/>
      <c r="Q430" s="87" t="s">
        <v>119</v>
      </c>
      <c r="W430" s="59"/>
      <c r="X430" s="455" t="s">
        <v>265</v>
      </c>
      <c r="Y430" s="330"/>
      <c r="Z430" s="330"/>
      <c r="AF430" s="330"/>
    </row>
    <row r="431" spans="1:34" ht="11.25" customHeight="1">
      <c r="A431" s="418">
        <v>35</v>
      </c>
      <c r="B431" s="110"/>
      <c r="K431" s="57"/>
      <c r="L431" s="465" t="s">
        <v>265</v>
      </c>
      <c r="M431" s="423"/>
      <c r="N431" s="38"/>
      <c r="O431" s="38" t="str">
        <f>IF(M53=1,"","Means provided to indicate technique factors prior to exposure.")</f>
        <v>Means provided to indicate technique factors prior to exposure.</v>
      </c>
      <c r="P431" s="37"/>
      <c r="Q431" s="37"/>
      <c r="R431" s="37"/>
      <c r="S431" s="37"/>
      <c r="T431" s="37"/>
      <c r="U431" s="37"/>
      <c r="V431" s="37"/>
      <c r="W431" s="57"/>
      <c r="X431" s="455" t="s">
        <v>265</v>
      </c>
      <c r="Y431" s="330"/>
      <c r="Z431" s="330"/>
      <c r="AF431" s="330"/>
    </row>
    <row r="432" spans="1:34" ht="11.25" customHeight="1">
      <c r="A432" s="418">
        <v>36</v>
      </c>
      <c r="B432" s="110"/>
      <c r="C432" s="38" t="s">
        <v>60</v>
      </c>
      <c r="K432" s="57"/>
      <c r="L432" s="465" t="s">
        <v>265</v>
      </c>
      <c r="M432" s="423"/>
      <c r="O432" s="38" t="str">
        <f>IF(M53=1,"","All technique indicators functional and are free of excessive wear.")</f>
        <v>All technique indicators functional and are free of excessive wear.</v>
      </c>
      <c r="W432" s="59"/>
      <c r="X432" s="455" t="s">
        <v>265</v>
      </c>
      <c r="Y432" s="330"/>
      <c r="Z432" s="330"/>
      <c r="AF432" s="330"/>
    </row>
    <row r="433" spans="1:32" ht="11.25" customHeight="1">
      <c r="A433" s="418">
        <v>37</v>
      </c>
      <c r="B433" s="110"/>
      <c r="K433" s="57"/>
      <c r="L433" s="465" t="s">
        <v>265</v>
      </c>
      <c r="M433" s="423"/>
      <c r="O433" s="38" t="s">
        <v>123</v>
      </c>
      <c r="W433" s="59"/>
      <c r="X433" s="455" t="s">
        <v>265</v>
      </c>
      <c r="Y433" s="330"/>
      <c r="Z433" s="330"/>
      <c r="AF433" s="330"/>
    </row>
    <row r="434" spans="1:32" ht="11.25" customHeight="1">
      <c r="A434" s="418">
        <v>38</v>
      </c>
      <c r="B434" s="110"/>
      <c r="C434" s="37"/>
      <c r="D434" s="115" t="s">
        <v>354</v>
      </c>
      <c r="E434" s="88" t="s">
        <v>61</v>
      </c>
      <c r="F434" s="37"/>
      <c r="G434" s="37"/>
      <c r="H434" s="37"/>
      <c r="I434" s="37"/>
      <c r="J434" s="37"/>
      <c r="K434" s="57"/>
      <c r="L434" s="465" t="s">
        <v>265</v>
      </c>
      <c r="M434" s="423">
        <v>3</v>
      </c>
      <c r="O434" s="38" t="s">
        <v>125</v>
      </c>
      <c r="W434" s="59"/>
      <c r="X434" s="455" t="s">
        <v>265</v>
      </c>
      <c r="Y434" s="330"/>
      <c r="Z434" s="330"/>
      <c r="AF434" s="330"/>
    </row>
    <row r="435" spans="1:32" ht="11.25" customHeight="1">
      <c r="A435" s="418">
        <v>39</v>
      </c>
      <c r="B435" s="110"/>
      <c r="K435" s="59"/>
      <c r="L435" s="465" t="s">
        <v>265</v>
      </c>
      <c r="M435" s="423"/>
      <c r="N435" s="38"/>
      <c r="O435" s="38" t="s">
        <v>127</v>
      </c>
      <c r="P435" s="37"/>
      <c r="Q435" s="37"/>
      <c r="R435" s="37"/>
      <c r="S435" s="37"/>
      <c r="T435" s="37"/>
      <c r="U435" s="37"/>
      <c r="V435" s="37"/>
      <c r="W435" s="57"/>
      <c r="X435" s="455" t="s">
        <v>265</v>
      </c>
      <c r="Y435" s="330"/>
      <c r="Z435" s="330"/>
      <c r="AF435" s="330"/>
    </row>
    <row r="436" spans="1:32" ht="11.25" customHeight="1">
      <c r="A436" s="418">
        <v>40</v>
      </c>
      <c r="B436" s="110"/>
      <c r="K436" s="59"/>
      <c r="L436" s="465" t="s">
        <v>265</v>
      </c>
      <c r="M436" s="423"/>
      <c r="N436" s="38"/>
      <c r="O436" s="38" t="s">
        <v>129</v>
      </c>
      <c r="P436" s="37"/>
      <c r="Q436" s="37"/>
      <c r="R436" s="37"/>
      <c r="S436" s="37"/>
      <c r="T436" s="37"/>
      <c r="U436" s="37"/>
      <c r="V436" s="37"/>
      <c r="W436" s="57"/>
      <c r="X436" s="455" t="s">
        <v>265</v>
      </c>
      <c r="Y436" s="330"/>
      <c r="Z436" s="330"/>
      <c r="AF436" s="330"/>
    </row>
    <row r="437" spans="1:32" ht="11.25" customHeight="1">
      <c r="A437" s="418">
        <v>41</v>
      </c>
      <c r="B437" s="110"/>
      <c r="K437" s="59"/>
      <c r="L437" s="465" t="s">
        <v>265</v>
      </c>
      <c r="M437" s="423"/>
      <c r="N437" s="38"/>
      <c r="O437" s="38" t="s">
        <v>131</v>
      </c>
      <c r="P437" s="37"/>
      <c r="Q437" s="37"/>
      <c r="R437" s="37"/>
      <c r="S437" s="37"/>
      <c r="T437" s="37"/>
      <c r="U437" s="37"/>
      <c r="V437" s="37"/>
      <c r="W437" s="57"/>
      <c r="X437" s="455" t="s">
        <v>265</v>
      </c>
      <c r="Y437" s="330"/>
      <c r="Z437" s="330"/>
      <c r="AF437" s="330"/>
    </row>
    <row r="438" spans="1:32" ht="11.25" customHeight="1">
      <c r="A438" s="418">
        <v>42</v>
      </c>
      <c r="B438" s="110"/>
      <c r="K438" s="59"/>
      <c r="L438" s="465" t="s">
        <v>265</v>
      </c>
      <c r="M438" s="423"/>
      <c r="N438" s="37"/>
      <c r="O438" s="38" t="s">
        <v>132</v>
      </c>
      <c r="P438" s="37"/>
      <c r="Q438" s="37"/>
      <c r="R438" s="37"/>
      <c r="S438" s="37"/>
      <c r="T438" s="37"/>
      <c r="U438" s="37"/>
      <c r="V438" s="37"/>
      <c r="W438" s="57"/>
      <c r="X438" s="455" t="s">
        <v>265</v>
      </c>
      <c r="Y438" s="330"/>
      <c r="Z438" s="330"/>
      <c r="AF438" s="330"/>
    </row>
    <row r="439" spans="1:32" ht="11.25" customHeight="1" thickBot="1">
      <c r="A439" s="418">
        <v>43</v>
      </c>
      <c r="B439" s="90" t="s">
        <v>346</v>
      </c>
      <c r="C439" s="560" t="str">
        <f>IF(O320="","",IF(LEN(O320)&lt;=135,O320,IF(LEN(O320)&lt;=260,LEFT(O320,SEARCH(" ",O320,125)),LEFT(O320,SEARCH(" ",O320,130)))))</f>
        <v/>
      </c>
      <c r="D439" s="36"/>
      <c r="E439" s="36"/>
      <c r="F439" s="36"/>
      <c r="G439" s="36"/>
      <c r="H439" s="36"/>
      <c r="I439" s="36"/>
      <c r="J439" s="36"/>
      <c r="K439" s="59"/>
      <c r="L439" s="465" t="s">
        <v>265</v>
      </c>
      <c r="M439" s="60"/>
      <c r="N439" s="61"/>
      <c r="O439" s="61"/>
      <c r="P439" s="61"/>
      <c r="Q439" s="61"/>
      <c r="R439" s="61"/>
      <c r="S439" s="61"/>
      <c r="T439" s="61"/>
      <c r="U439" s="61"/>
      <c r="V439" s="61"/>
      <c r="W439" s="62"/>
      <c r="X439" s="455" t="s">
        <v>265</v>
      </c>
      <c r="Y439" s="330"/>
      <c r="Z439" s="330"/>
      <c r="AF439" s="330"/>
    </row>
    <row r="440" spans="1:32" ht="11.25" customHeight="1" thickTop="1">
      <c r="A440" s="418">
        <v>44</v>
      </c>
      <c r="B440" s="54"/>
      <c r="C440" s="561" t="str">
        <f>IF(LEN(O320)&lt;=135,"",IF(LEN(O320)&lt;=260,RIGHT(O320,LEN(O320)-SEARCH(" ",O320,125)),MID(O320,SEARCH(" ",O320,130),IF(LEN(O320)&lt;=265,LEN(O320),SEARCH(" ",O320,255)-SEARCH(" ",O320,130)))))</f>
        <v/>
      </c>
      <c r="D440" s="36"/>
      <c r="E440" s="36"/>
      <c r="F440" s="36"/>
      <c r="G440" s="36"/>
      <c r="H440" s="36"/>
      <c r="I440" s="36"/>
      <c r="J440" s="36"/>
      <c r="K440" s="59"/>
      <c r="L440" s="465" t="s">
        <v>265</v>
      </c>
      <c r="X440" s="455" t="s">
        <v>265</v>
      </c>
      <c r="Y440" s="330"/>
      <c r="Z440" s="330"/>
      <c r="AF440" s="330"/>
    </row>
    <row r="441" spans="1:32" ht="11.25" customHeight="1">
      <c r="A441" s="418">
        <v>45</v>
      </c>
      <c r="B441" s="90"/>
      <c r="C441" s="560" t="str">
        <f>IF(LEN(O320)&lt;=265,"",RIGHT(O320,LEN(O320)-SEARCH(" ",O320,255)))</f>
        <v/>
      </c>
      <c r="D441" s="36"/>
      <c r="E441" s="36"/>
      <c r="F441" s="36"/>
      <c r="G441" s="36"/>
      <c r="H441" s="36"/>
      <c r="I441" s="36"/>
      <c r="J441" s="36"/>
      <c r="K441" s="59"/>
      <c r="L441" s="465" t="s">
        <v>265</v>
      </c>
      <c r="M441" s="422">
        <v>2</v>
      </c>
      <c r="N441" s="88" t="s">
        <v>712</v>
      </c>
      <c r="X441" s="455" t="s">
        <v>265</v>
      </c>
      <c r="Y441" s="330"/>
      <c r="Z441" s="330"/>
      <c r="AF441" s="330"/>
    </row>
    <row r="442" spans="1:32" ht="11.25" customHeight="1" thickBot="1">
      <c r="A442" s="418">
        <v>46</v>
      </c>
      <c r="B442" s="54"/>
      <c r="C442" s="560" t="str">
        <f>IF(O322="","",IF(LEN(O322)&lt;=135,O322,IF(LEN(O322)&lt;=260,LEFT(O322,SEARCH(" ",O322,125)),LEFT(O322,SEARCH(" ",O322,130)))))</f>
        <v/>
      </c>
      <c r="D442" s="36"/>
      <c r="E442" s="36"/>
      <c r="F442" s="36"/>
      <c r="G442" s="36"/>
      <c r="H442" s="36"/>
      <c r="I442" s="36"/>
      <c r="J442" s="36"/>
      <c r="K442" s="59"/>
      <c r="L442" s="465" t="s">
        <v>265</v>
      </c>
      <c r="M442" s="368" t="s">
        <v>713</v>
      </c>
      <c r="N442" s="314"/>
      <c r="X442" s="455" t="s">
        <v>265</v>
      </c>
      <c r="Y442" s="330"/>
      <c r="Z442" s="330"/>
      <c r="AF442" s="330"/>
    </row>
    <row r="443" spans="1:32" ht="11.25" customHeight="1" thickTop="1">
      <c r="A443" s="418">
        <v>47</v>
      </c>
      <c r="B443" s="54"/>
      <c r="C443" s="561" t="str">
        <f>IF(LEN(O322)&lt;=135,"",IF(LEN(O322)&lt;=260,RIGHT(O322,LEN(O322)-SEARCH(" ",O322,125)),MID(O322,SEARCH(" ",O322,130),IF(LEN(O322)&lt;=265,LEN(O322),SEARCH(" ",O322,255)-SEARCH(" ",O322,130)))))</f>
        <v/>
      </c>
      <c r="D443" s="36"/>
      <c r="E443" s="36"/>
      <c r="F443" s="36"/>
      <c r="G443" s="36"/>
      <c r="H443" s="36"/>
      <c r="I443" s="36"/>
      <c r="J443" s="36"/>
      <c r="K443" s="59"/>
      <c r="L443" s="465" t="s">
        <v>265</v>
      </c>
      <c r="M443" s="67"/>
      <c r="N443" s="50"/>
      <c r="O443" s="50"/>
      <c r="P443" s="50"/>
      <c r="Q443" s="50"/>
      <c r="R443" s="50"/>
      <c r="S443" s="50"/>
      <c r="T443" s="311" t="s">
        <v>134</v>
      </c>
      <c r="U443" s="316"/>
      <c r="V443" s="50"/>
      <c r="W443" s="68"/>
      <c r="X443" s="455" t="s">
        <v>265</v>
      </c>
      <c r="Y443" s="330"/>
      <c r="Z443" s="330"/>
      <c r="AF443" s="330"/>
    </row>
    <row r="444" spans="1:32" ht="11.25" customHeight="1">
      <c r="A444" s="418">
        <v>48</v>
      </c>
      <c r="B444" s="110"/>
      <c r="C444" s="560" t="str">
        <f>IF(LEN(O322)&lt;=265,"",RIGHT(O322,LEN(O322)-SEARCH(" ",O322,255)))</f>
        <v/>
      </c>
      <c r="D444" s="36"/>
      <c r="E444" s="36"/>
      <c r="F444" s="36"/>
      <c r="G444" s="36"/>
      <c r="H444" s="36"/>
      <c r="I444" s="36"/>
      <c r="J444" s="36"/>
      <c r="K444" s="59"/>
      <c r="L444" s="465" t="s">
        <v>265</v>
      </c>
      <c r="M444" s="223" t="s">
        <v>135</v>
      </c>
      <c r="N444" s="41"/>
      <c r="O444" s="41"/>
      <c r="P444" s="96"/>
      <c r="Q444" s="3"/>
      <c r="R444" s="1"/>
      <c r="S444" s="1"/>
      <c r="T444" s="1"/>
      <c r="U444" s="438" t="s">
        <v>726</v>
      </c>
      <c r="V444" s="1"/>
      <c r="W444" s="32"/>
      <c r="X444" s="455" t="s">
        <v>265</v>
      </c>
      <c r="Y444" s="330"/>
      <c r="Z444" s="330"/>
      <c r="AF444" s="330"/>
    </row>
    <row r="445" spans="1:32" ht="11.25" customHeight="1">
      <c r="A445" s="418">
        <v>49</v>
      </c>
      <c r="B445" s="110"/>
      <c r="K445" s="59"/>
      <c r="L445" s="465" t="s">
        <v>265</v>
      </c>
      <c r="M445" s="34"/>
      <c r="N445" s="1"/>
      <c r="O445" s="1"/>
      <c r="P445" s="1"/>
      <c r="Q445" s="3"/>
      <c r="R445" s="1"/>
      <c r="S445" s="1"/>
      <c r="T445" s="1"/>
      <c r="U445" s="1"/>
      <c r="V445" s="1"/>
      <c r="W445" s="32"/>
      <c r="X445" s="455" t="s">
        <v>265</v>
      </c>
      <c r="Y445" s="330"/>
      <c r="Z445" s="330"/>
      <c r="AF445" s="330"/>
    </row>
    <row r="446" spans="1:32" ht="11.25" customHeight="1">
      <c r="A446" s="418">
        <v>50</v>
      </c>
      <c r="B446" s="110"/>
      <c r="K446" s="59"/>
      <c r="L446" s="465" t="s">
        <v>265</v>
      </c>
      <c r="M446" s="34"/>
      <c r="N446" s="4" t="s">
        <v>53</v>
      </c>
      <c r="O446" s="4" t="s">
        <v>31</v>
      </c>
      <c r="P446" s="347" t="s">
        <v>32</v>
      </c>
      <c r="Q446" s="1"/>
      <c r="R446" s="4"/>
      <c r="S446" s="4" t="s">
        <v>34</v>
      </c>
      <c r="T446" s="24"/>
      <c r="U446" s="3" t="s">
        <v>35</v>
      </c>
      <c r="V446" s="1"/>
      <c r="W446" s="32"/>
      <c r="X446" s="455" t="s">
        <v>265</v>
      </c>
      <c r="Y446" s="330"/>
      <c r="Z446" s="330"/>
      <c r="AF446" s="330"/>
    </row>
    <row r="447" spans="1:32" ht="11.25" customHeight="1" thickBot="1">
      <c r="A447" s="418">
        <v>51</v>
      </c>
      <c r="B447" s="86"/>
      <c r="C447" s="71"/>
      <c r="D447" s="71"/>
      <c r="E447" s="71"/>
      <c r="F447" s="71"/>
      <c r="G447" s="71"/>
      <c r="H447" s="71"/>
      <c r="I447" s="71"/>
      <c r="J447" s="71"/>
      <c r="K447" s="74"/>
      <c r="L447" s="465" t="s">
        <v>265</v>
      </c>
      <c r="M447" s="7" t="s">
        <v>136</v>
      </c>
      <c r="N447" s="6" t="str">
        <f>LFSDD</f>
        <v>cm</v>
      </c>
      <c r="O447" s="6" t="s">
        <v>37</v>
      </c>
      <c r="P447" s="348" t="s">
        <v>22</v>
      </c>
      <c r="Q447" s="6" t="s">
        <v>38</v>
      </c>
      <c r="R447" s="6" t="str">
        <f>IF(MIN($T$234:$T$241)&gt;0,LFMAS,IF(MIN($T$252:$T$257)&gt;0,SFMAS,"mA/mAs"))</f>
        <v>mA/mAs</v>
      </c>
      <c r="S447" s="6" t="s">
        <v>39</v>
      </c>
      <c r="T447" s="225" t="s">
        <v>40</v>
      </c>
      <c r="U447" s="6" t="s">
        <v>41</v>
      </c>
      <c r="V447" s="6" t="s">
        <v>39</v>
      </c>
      <c r="W447" s="22" t="s">
        <v>512</v>
      </c>
      <c r="X447" s="455" t="s">
        <v>265</v>
      </c>
      <c r="Y447" s="330"/>
      <c r="Z447" s="330"/>
      <c r="AF447" s="330"/>
    </row>
    <row r="448" spans="1:32" ht="11.25" customHeight="1" thickTop="1">
      <c r="A448" s="418">
        <v>52</v>
      </c>
      <c r="L448" s="465" t="s">
        <v>265</v>
      </c>
      <c r="M448" s="355">
        <v>0</v>
      </c>
      <c r="N448" s="266">
        <f>$N$234</f>
        <v>100</v>
      </c>
      <c r="O448" s="8" t="s">
        <v>25</v>
      </c>
      <c r="P448" s="822"/>
      <c r="Q448" s="10">
        <f>$Q$235</f>
        <v>80</v>
      </c>
      <c r="R448" s="310">
        <f>IF(R234="","",R234)</f>
        <v>20</v>
      </c>
      <c r="S448" s="9" t="str">
        <f>IF(S234="","",S234)</f>
        <v/>
      </c>
      <c r="T448" s="824"/>
      <c r="U448" s="8" t="str">
        <f t="shared" ref="U448:W449" si="74">IF(U283="","",U283)</f>
        <v/>
      </c>
      <c r="V448" s="9" t="str">
        <f t="shared" si="74"/>
        <v/>
      </c>
      <c r="W448" s="322" t="str">
        <f t="shared" si="74"/>
        <v/>
      </c>
      <c r="X448" s="455" t="s">
        <v>265</v>
      </c>
    </row>
    <row r="449" spans="1:26" ht="11.25" customHeight="1" thickBot="1">
      <c r="A449" s="418">
        <v>53</v>
      </c>
      <c r="B449" s="37"/>
      <c r="C449" s="37"/>
      <c r="D449" s="37"/>
      <c r="E449" s="37"/>
      <c r="F449" s="37"/>
      <c r="G449" s="37"/>
      <c r="H449" s="37"/>
      <c r="I449" s="37"/>
      <c r="J449" s="37"/>
      <c r="K449" s="37"/>
      <c r="L449" s="465" t="s">
        <v>265</v>
      </c>
      <c r="M449" s="7">
        <v>0</v>
      </c>
      <c r="N449" s="265">
        <f>IF(N448="","",N448)</f>
        <v>100</v>
      </c>
      <c r="O449" s="6" t="str">
        <f t="shared" ref="O449:O459" si="75">IF(Q449="","",O448)</f>
        <v>Large</v>
      </c>
      <c r="P449" s="823"/>
      <c r="Q449" s="252">
        <f>IF(Q448="","",Q448)</f>
        <v>80</v>
      </c>
      <c r="R449" s="309">
        <f>IF(R448="","",R448)</f>
        <v>20</v>
      </c>
      <c r="S449" s="253" t="str">
        <f>IF(S448="","",S448)</f>
        <v/>
      </c>
      <c r="T449" s="825"/>
      <c r="U449" s="6" t="str">
        <f t="shared" si="74"/>
        <v/>
      </c>
      <c r="V449" s="253" t="str">
        <f t="shared" si="74"/>
        <v/>
      </c>
      <c r="W449" s="323" t="str">
        <f t="shared" si="74"/>
        <v/>
      </c>
      <c r="X449" s="455" t="s">
        <v>265</v>
      </c>
      <c r="Y449" s="330"/>
      <c r="Z449" s="330"/>
    </row>
    <row r="450" spans="1:26" ht="11.25" customHeight="1">
      <c r="A450" s="418">
        <v>54</v>
      </c>
      <c r="B450" s="37"/>
      <c r="C450" s="37"/>
      <c r="D450" s="37"/>
      <c r="E450" s="37"/>
      <c r="F450" s="37"/>
      <c r="G450" s="37"/>
      <c r="H450" s="37"/>
      <c r="I450" s="37"/>
      <c r="J450" s="37"/>
      <c r="K450" s="37"/>
      <c r="L450" s="465" t="s">
        <v>265</v>
      </c>
      <c r="M450" s="355">
        <f>Tables!G56</f>
        <v>0</v>
      </c>
      <c r="N450" s="266">
        <f>IF(M450="","",$N$448)</f>
        <v>100</v>
      </c>
      <c r="O450" s="8" t="str">
        <f t="shared" si="75"/>
        <v>Large</v>
      </c>
      <c r="P450" s="822"/>
      <c r="Q450" s="10">
        <f>IF(M450="","",Q449)</f>
        <v>80</v>
      </c>
      <c r="R450" s="310">
        <f>IF(M450="","",R449)</f>
        <v>20</v>
      </c>
      <c r="S450" s="9" t="str">
        <f>IF(M450="","",S449)</f>
        <v/>
      </c>
      <c r="T450" s="824"/>
      <c r="U450" s="8" t="str">
        <f>IF(Sheet1!G10="","",Sheet1!G10)</f>
        <v/>
      </c>
      <c r="V450" s="9" t="str">
        <f>IF(Sheet1!H10="","",Sheet1!H10)</f>
        <v/>
      </c>
      <c r="W450" s="322" t="str">
        <f>IF(Sheet1!I10="","",Sheet1!I10)</f>
        <v/>
      </c>
      <c r="X450" s="455" t="s">
        <v>265</v>
      </c>
      <c r="Y450" s="330"/>
      <c r="Z450" s="330"/>
    </row>
    <row r="451" spans="1:26" ht="11.25" customHeight="1" thickBot="1">
      <c r="A451" s="418">
        <v>55</v>
      </c>
      <c r="B451" s="37"/>
      <c r="C451" s="37"/>
      <c r="D451" s="37"/>
      <c r="E451" s="37"/>
      <c r="F451" s="37"/>
      <c r="G451" s="37"/>
      <c r="H451" s="37"/>
      <c r="I451" s="37"/>
      <c r="J451" s="37"/>
      <c r="K451" s="37"/>
      <c r="L451" s="465" t="s">
        <v>265</v>
      </c>
      <c r="M451" s="7">
        <f>IF(M450="","",M450)</f>
        <v>0</v>
      </c>
      <c r="N451" s="265">
        <f>IF(N450="","",N450)</f>
        <v>100</v>
      </c>
      <c r="O451" s="6" t="str">
        <f t="shared" si="75"/>
        <v>Large</v>
      </c>
      <c r="P451" s="823"/>
      <c r="Q451" s="252">
        <f>IF(Q450="","",Q450)</f>
        <v>80</v>
      </c>
      <c r="R451" s="309">
        <f>IF(R450="","",R450)</f>
        <v>20</v>
      </c>
      <c r="S451" s="253" t="str">
        <f>IF(S450="","",S450)</f>
        <v/>
      </c>
      <c r="T451" s="825"/>
      <c r="U451" s="6" t="str">
        <f>IF(Sheet1!G11="","",Sheet1!G11)</f>
        <v/>
      </c>
      <c r="V451" s="253" t="str">
        <f>IF(Sheet1!H11="","",Sheet1!H11)</f>
        <v/>
      </c>
      <c r="W451" s="323" t="str">
        <f>IF(Sheet1!I11="","",Sheet1!I11)</f>
        <v/>
      </c>
      <c r="X451" s="455" t="s">
        <v>265</v>
      </c>
      <c r="Y451" s="330"/>
      <c r="Z451" s="330"/>
    </row>
    <row r="452" spans="1:26" ht="11.25" customHeight="1">
      <c r="A452" s="418">
        <v>56</v>
      </c>
      <c r="B452" s="37"/>
      <c r="C452" s="37"/>
      <c r="D452" s="37"/>
      <c r="E452" s="37"/>
      <c r="F452" s="37"/>
      <c r="G452" s="37"/>
      <c r="H452" s="37"/>
      <c r="I452" s="37"/>
      <c r="J452" s="37"/>
      <c r="K452" s="37"/>
      <c r="L452" s="465" t="s">
        <v>265</v>
      </c>
      <c r="M452" s="355" t="str">
        <f>IF(AND(Tables!AA58="",Tables!AA60=""),"",IF(Tables!AA58&lt;&gt;"",Tables!G58,Tables!G60))</f>
        <v/>
      </c>
      <c r="N452" s="266" t="str">
        <f>IF(M452="","",$N$448)</f>
        <v/>
      </c>
      <c r="O452" s="8" t="str">
        <f t="shared" si="75"/>
        <v/>
      </c>
      <c r="P452" s="822"/>
      <c r="Q452" s="10" t="str">
        <f>IF(M452="","",Q451)</f>
        <v/>
      </c>
      <c r="R452" s="310" t="str">
        <f>IF(M452="","",R451)</f>
        <v/>
      </c>
      <c r="S452" s="9" t="str">
        <f>IF(M452="","",S451)</f>
        <v/>
      </c>
      <c r="T452" s="824"/>
      <c r="U452" s="8" t="str">
        <f>IF(Sheet1!G12="","",Sheet1!G12)</f>
        <v/>
      </c>
      <c r="V452" s="9" t="str">
        <f>IF(Sheet1!H12="","",Sheet1!H12)</f>
        <v/>
      </c>
      <c r="W452" s="322" t="str">
        <f>IF(Sheet1!I12="","",Sheet1!I12)</f>
        <v/>
      </c>
      <c r="X452" s="455" t="s">
        <v>265</v>
      </c>
      <c r="Y452" s="330"/>
      <c r="Z452" s="330"/>
    </row>
    <row r="453" spans="1:26" ht="11.25" customHeight="1" thickBot="1">
      <c r="A453" s="418">
        <v>57</v>
      </c>
      <c r="B453" s="37"/>
      <c r="C453" s="37"/>
      <c r="D453" s="37"/>
      <c r="E453" s="37"/>
      <c r="F453" s="37"/>
      <c r="G453" s="37"/>
      <c r="H453" s="37"/>
      <c r="I453" s="37"/>
      <c r="J453" s="37"/>
      <c r="K453" s="37"/>
      <c r="L453" s="465" t="s">
        <v>265</v>
      </c>
      <c r="M453" s="7" t="str">
        <f>IF(M452="","",M452)</f>
        <v/>
      </c>
      <c r="N453" s="265" t="str">
        <f>IF(N452="","",N452)</f>
        <v/>
      </c>
      <c r="O453" s="6" t="str">
        <f t="shared" si="75"/>
        <v/>
      </c>
      <c r="P453" s="823"/>
      <c r="Q453" s="252" t="str">
        <f>IF(Q452="","",Q452)</f>
        <v/>
      </c>
      <c r="R453" s="309" t="str">
        <f>IF(R452="","",R452)</f>
        <v/>
      </c>
      <c r="S453" s="253" t="str">
        <f>IF(S452="","",S452)</f>
        <v/>
      </c>
      <c r="T453" s="825"/>
      <c r="U453" s="6" t="str">
        <f>IF(Sheet1!G13="","",Sheet1!G13)</f>
        <v/>
      </c>
      <c r="V453" s="253" t="str">
        <f>IF(Sheet1!H13="","",Sheet1!H13)</f>
        <v/>
      </c>
      <c r="W453" s="323" t="str">
        <f>IF(Sheet1!I13="","",Sheet1!I13)</f>
        <v/>
      </c>
      <c r="X453" s="455" t="s">
        <v>265</v>
      </c>
      <c r="Y453" s="330"/>
      <c r="Z453" s="330"/>
    </row>
    <row r="454" spans="1:26" ht="11.25" customHeight="1">
      <c r="A454" s="418">
        <v>58</v>
      </c>
      <c r="B454" s="37"/>
      <c r="C454" s="37"/>
      <c r="D454" s="37"/>
      <c r="E454" s="37"/>
      <c r="F454" s="37"/>
      <c r="G454" s="37"/>
      <c r="H454" s="37"/>
      <c r="I454" s="37"/>
      <c r="J454" s="37"/>
      <c r="K454" s="37"/>
      <c r="L454" s="465" t="s">
        <v>265</v>
      </c>
      <c r="M454" s="355" t="str">
        <f>IF(OR(Tables!AA60="",AND(Tables!AA58="",Tables!AA60&lt;&gt;"")),"",Tables!G60)</f>
        <v/>
      </c>
      <c r="N454" s="266" t="str">
        <f>IF(M454="","",$N$448)</f>
        <v/>
      </c>
      <c r="O454" s="8" t="str">
        <f t="shared" si="75"/>
        <v/>
      </c>
      <c r="P454" s="822"/>
      <c r="Q454" s="10" t="str">
        <f>IF(M454="","",Q453)</f>
        <v/>
      </c>
      <c r="R454" s="310" t="str">
        <f>IF(M454="","",R453)</f>
        <v/>
      </c>
      <c r="S454" s="9" t="str">
        <f>IF(M454="","",S453)</f>
        <v/>
      </c>
      <c r="T454" s="824"/>
      <c r="U454" s="8" t="str">
        <f>IF(Sheet1!G14="","",Sheet1!G14)</f>
        <v/>
      </c>
      <c r="V454" s="9" t="str">
        <f>IF(Sheet1!H14="","",Sheet1!H14)</f>
        <v/>
      </c>
      <c r="W454" s="322" t="str">
        <f>IF(Sheet1!I14="","",Sheet1!I14)</f>
        <v/>
      </c>
      <c r="X454" s="455" t="s">
        <v>265</v>
      </c>
      <c r="Y454" s="330"/>
      <c r="Z454" s="330"/>
    </row>
    <row r="455" spans="1:26" ht="11.25" customHeight="1" thickBot="1">
      <c r="A455" s="418">
        <v>59</v>
      </c>
      <c r="B455" s="37"/>
      <c r="C455" s="37"/>
      <c r="D455" s="37"/>
      <c r="E455" s="37"/>
      <c r="F455" s="37"/>
      <c r="G455" s="37"/>
      <c r="H455" s="37"/>
      <c r="I455" s="37"/>
      <c r="J455" s="37"/>
      <c r="K455" s="37"/>
      <c r="L455" s="465" t="s">
        <v>265</v>
      </c>
      <c r="M455" s="7" t="str">
        <f>IF(M454="","",M454)</f>
        <v/>
      </c>
      <c r="N455" s="265" t="str">
        <f>IF(N454="","",N454)</f>
        <v/>
      </c>
      <c r="O455" s="6" t="str">
        <f t="shared" si="75"/>
        <v/>
      </c>
      <c r="P455" s="823"/>
      <c r="Q455" s="252" t="str">
        <f>IF(Q454="","",Q454)</f>
        <v/>
      </c>
      <c r="R455" s="309" t="str">
        <f>IF(R454="","",R454)</f>
        <v/>
      </c>
      <c r="S455" s="253" t="str">
        <f>IF(S454="","",S454)</f>
        <v/>
      </c>
      <c r="T455" s="825"/>
      <c r="U455" s="6" t="str">
        <f>IF(Sheet1!G15="","",Sheet1!G15)</f>
        <v/>
      </c>
      <c r="V455" s="253" t="str">
        <f>IF(Sheet1!H15="","",Sheet1!H15)</f>
        <v/>
      </c>
      <c r="W455" s="323" t="str">
        <f>IF(Sheet1!I15="","",Sheet1!I15)</f>
        <v/>
      </c>
      <c r="X455" s="455" t="s">
        <v>265</v>
      </c>
      <c r="Y455" s="330"/>
      <c r="Z455" s="330"/>
    </row>
    <row r="456" spans="1:26" ht="11.25" customHeight="1">
      <c r="A456" s="418">
        <v>60</v>
      </c>
      <c r="B456" s="37"/>
      <c r="C456" s="37"/>
      <c r="D456" s="37"/>
      <c r="E456" s="37"/>
      <c r="F456" s="37"/>
      <c r="G456" s="37"/>
      <c r="H456" s="37"/>
      <c r="I456" s="37"/>
      <c r="J456" s="37"/>
      <c r="K456" s="37"/>
      <c r="L456" s="465" t="s">
        <v>265</v>
      </c>
      <c r="M456" s="439"/>
      <c r="N456" s="266" t="str">
        <f>IF(M456="","",$N$448)</f>
        <v/>
      </c>
      <c r="O456" s="8" t="str">
        <f t="shared" si="75"/>
        <v/>
      </c>
      <c r="P456" s="822"/>
      <c r="Q456" s="10" t="str">
        <f>IF(M456="","",Q455)</f>
        <v/>
      </c>
      <c r="R456" s="310" t="str">
        <f>IF(M456="","",R455)</f>
        <v/>
      </c>
      <c r="S456" s="9" t="str">
        <f>IF(M456="","",S455)</f>
        <v/>
      </c>
      <c r="T456" s="826"/>
      <c r="U456" s="440"/>
      <c r="V456" s="441"/>
      <c r="W456" s="442"/>
      <c r="X456" s="455" t="s">
        <v>265</v>
      </c>
      <c r="Y456" s="330"/>
      <c r="Z456" s="330"/>
    </row>
    <row r="457" spans="1:26" ht="11.25" customHeight="1" thickBot="1">
      <c r="A457" s="418">
        <v>61</v>
      </c>
      <c r="B457" s="37"/>
      <c r="C457" s="37"/>
      <c r="D457" s="37"/>
      <c r="E457" s="37"/>
      <c r="F457" s="37"/>
      <c r="G457" s="37"/>
      <c r="H457" s="37"/>
      <c r="I457" s="37"/>
      <c r="J457" s="37"/>
      <c r="K457" s="37"/>
      <c r="L457" s="465" t="s">
        <v>265</v>
      </c>
      <c r="M457" s="7" t="str">
        <f>IF(M456="","",M456)</f>
        <v/>
      </c>
      <c r="N457" s="265" t="str">
        <f>IF(N456="","",N456)</f>
        <v/>
      </c>
      <c r="O457" s="6" t="str">
        <f t="shared" si="75"/>
        <v/>
      </c>
      <c r="P457" s="823"/>
      <c r="Q457" s="252" t="str">
        <f>IF(Q456="","",Q456)</f>
        <v/>
      </c>
      <c r="R457" s="309" t="str">
        <f>IF(R456="","",R456)</f>
        <v/>
      </c>
      <c r="S457" s="253" t="str">
        <f>IF(S456="","",S456)</f>
        <v/>
      </c>
      <c r="T457" s="827"/>
      <c r="U457" s="443"/>
      <c r="V457" s="444"/>
      <c r="W457" s="445"/>
      <c r="X457" s="455" t="s">
        <v>265</v>
      </c>
      <c r="Y457" s="330"/>
      <c r="Z457" s="330"/>
    </row>
    <row r="458" spans="1:26" ht="11.25" customHeight="1">
      <c r="A458" s="418">
        <v>62</v>
      </c>
      <c r="B458" s="37"/>
      <c r="C458" s="37"/>
      <c r="D458" s="37"/>
      <c r="E458" s="37"/>
      <c r="F458" s="37"/>
      <c r="G458" s="37"/>
      <c r="H458" s="37"/>
      <c r="I458" s="37"/>
      <c r="J458" s="37"/>
      <c r="K458" s="37"/>
      <c r="L458" s="465" t="s">
        <v>265</v>
      </c>
      <c r="M458" s="439"/>
      <c r="N458" s="266" t="str">
        <f>IF(M458="","",$N$448)</f>
        <v/>
      </c>
      <c r="O458" s="8" t="str">
        <f t="shared" si="75"/>
        <v/>
      </c>
      <c r="P458" s="822"/>
      <c r="Q458" s="10" t="str">
        <f>IF(M458="","",Q457)</f>
        <v/>
      </c>
      <c r="R458" s="310" t="str">
        <f>IF(M458="","",R457)</f>
        <v/>
      </c>
      <c r="S458" s="9" t="str">
        <f>IF(M458="","",S457)</f>
        <v/>
      </c>
      <c r="T458" s="826"/>
      <c r="U458" s="440"/>
      <c r="V458" s="441"/>
      <c r="W458" s="442"/>
      <c r="X458" s="455" t="s">
        <v>265</v>
      </c>
      <c r="Y458" s="330"/>
      <c r="Z458" s="330"/>
    </row>
    <row r="459" spans="1:26" ht="11.25" customHeight="1" thickBot="1">
      <c r="A459" s="418">
        <v>63</v>
      </c>
      <c r="B459" s="37"/>
      <c r="C459" s="37"/>
      <c r="D459" s="37"/>
      <c r="E459" s="37"/>
      <c r="F459" s="37"/>
      <c r="G459" s="37"/>
      <c r="H459" s="37"/>
      <c r="I459" s="37"/>
      <c r="J459" s="37"/>
      <c r="K459" s="37"/>
      <c r="L459" s="465" t="s">
        <v>265</v>
      </c>
      <c r="M459" s="7" t="str">
        <f>IF(M458="","",M458)</f>
        <v/>
      </c>
      <c r="N459" s="265" t="str">
        <f>IF(N458="","",N458)</f>
        <v/>
      </c>
      <c r="O459" s="6" t="str">
        <f t="shared" si="75"/>
        <v/>
      </c>
      <c r="P459" s="823"/>
      <c r="Q459" s="252" t="str">
        <f>IF(Q458="","",Q458)</f>
        <v/>
      </c>
      <c r="R459" s="309" t="str">
        <f>IF(R458="","",R458)</f>
        <v/>
      </c>
      <c r="S459" s="253" t="str">
        <f>IF(S458="","",S458)</f>
        <v/>
      </c>
      <c r="T459" s="827"/>
      <c r="U459" s="443"/>
      <c r="V459" s="444"/>
      <c r="W459" s="445"/>
      <c r="X459" s="455" t="s">
        <v>265</v>
      </c>
      <c r="Y459" s="330"/>
      <c r="Z459" s="330"/>
    </row>
    <row r="460" spans="1:26" ht="11.25" customHeight="1">
      <c r="A460" s="418">
        <v>64</v>
      </c>
      <c r="B460" s="37"/>
      <c r="C460" s="37"/>
      <c r="D460" s="37"/>
      <c r="E460" s="37"/>
      <c r="F460" s="37"/>
      <c r="G460" s="37"/>
      <c r="H460" s="37"/>
      <c r="I460" s="37"/>
      <c r="J460" s="37"/>
      <c r="K460" s="37"/>
      <c r="L460" s="465" t="s">
        <v>265</v>
      </c>
      <c r="M460" s="110"/>
      <c r="N460" s="42" t="s">
        <v>346</v>
      </c>
      <c r="O460" s="488" t="str">
        <f>IF(O462&lt;&gt;"",O462,IF(OR(AB220=0,AB220=""),"",AB220))</f>
        <v/>
      </c>
      <c r="P460" s="2"/>
      <c r="Q460" s="2"/>
      <c r="R460" s="2"/>
      <c r="S460" s="2"/>
      <c r="T460" s="2"/>
      <c r="U460" s="2"/>
      <c r="V460" s="2"/>
      <c r="W460" s="25"/>
      <c r="X460" s="455" t="s">
        <v>265</v>
      </c>
      <c r="Y460" s="330"/>
      <c r="Z460" s="330"/>
    </row>
    <row r="461" spans="1:26" ht="11.25" customHeight="1">
      <c r="A461" s="418">
        <v>65</v>
      </c>
      <c r="B461" s="40" t="str">
        <f t="array" ref="B461:C462">$B$65:$C$66</f>
        <v>Date:</v>
      </c>
      <c r="C461" s="674" t="str">
        <v/>
      </c>
      <c r="E461" s="39"/>
      <c r="F461" s="39"/>
      <c r="G461" s="39"/>
      <c r="H461" s="39"/>
      <c r="I461" s="40" t="str">
        <f t="array" ref="I461:J462">$I$65:$J$66</f>
        <v>Inspector:</v>
      </c>
      <c r="J461" s="303" t="str">
        <v>Eugene Mah</v>
      </c>
      <c r="L461" s="465" t="s">
        <v>265</v>
      </c>
      <c r="M461" s="73"/>
      <c r="N461" s="416" t="s">
        <v>188</v>
      </c>
      <c r="O461" s="47"/>
      <c r="P461" s="559">
        <f>LEN(O460)</f>
        <v>0</v>
      </c>
      <c r="Q461" s="2"/>
      <c r="R461" s="2"/>
      <c r="S461" s="2"/>
      <c r="T461" s="2"/>
      <c r="U461" s="2"/>
      <c r="V461" s="2"/>
      <c r="W461" s="25"/>
      <c r="X461" s="455" t="s">
        <v>265</v>
      </c>
      <c r="Y461" s="330"/>
      <c r="Z461" s="330"/>
    </row>
    <row r="462" spans="1:26" ht="11.25" customHeight="1">
      <c r="A462" s="418">
        <v>66</v>
      </c>
      <c r="B462" s="40" t="str">
        <v>Room Number:</v>
      </c>
      <c r="C462" s="271" t="str">
        <v/>
      </c>
      <c r="E462" s="39"/>
      <c r="F462" s="39"/>
      <c r="G462" s="39"/>
      <c r="H462" s="39"/>
      <c r="I462" s="40" t="str">
        <v>Survey ID:</v>
      </c>
      <c r="J462" s="615" t="str">
        <v/>
      </c>
      <c r="L462" s="465" t="s">
        <v>265</v>
      </c>
      <c r="M462" s="34"/>
      <c r="N462" s="605" t="s">
        <v>366</v>
      </c>
      <c r="O462" s="607"/>
      <c r="P462" s="2"/>
      <c r="Q462" s="2"/>
      <c r="R462" s="2"/>
      <c r="S462" s="2"/>
      <c r="T462" s="2"/>
      <c r="U462" s="2"/>
      <c r="V462" s="2"/>
      <c r="W462" s="25"/>
      <c r="X462" s="455" t="s">
        <v>265</v>
      </c>
      <c r="Y462" s="330"/>
      <c r="Z462" s="330"/>
    </row>
    <row r="463" spans="1:26" ht="11.25" customHeight="1">
      <c r="A463" s="418">
        <v>1</v>
      </c>
      <c r="K463" s="114" t="str">
        <f>$F$2</f>
        <v>Medical University of South Carolina</v>
      </c>
      <c r="L463" s="465" t="s">
        <v>265</v>
      </c>
      <c r="M463" s="220" t="s">
        <v>146</v>
      </c>
      <c r="N463" s="1"/>
      <c r="O463" s="1"/>
      <c r="P463" s="1"/>
      <c r="Q463" s="1" t="str">
        <f>IF(AND(U444="",T448&lt;&gt;""),"Meas.",IF(MAXAVG="","Set",MAXAVG))</f>
        <v>Avg kV</v>
      </c>
      <c r="R463" s="1"/>
      <c r="S463" s="3"/>
      <c r="T463" s="1"/>
      <c r="V463" s="1"/>
      <c r="W463" s="32"/>
      <c r="X463" s="455" t="s">
        <v>265</v>
      </c>
    </row>
    <row r="464" spans="1:26" ht="11.25" customHeight="1" thickBot="1">
      <c r="A464" s="418">
        <v>2</v>
      </c>
      <c r="F464" s="70" t="str">
        <f>$F$332</f>
        <v>Measurement Data</v>
      </c>
      <c r="K464" s="115" t="str">
        <f>$F$5</f>
        <v>Radiation Oncology IGRT Compliance Inspection</v>
      </c>
      <c r="L464" s="465" t="s">
        <v>265</v>
      </c>
      <c r="M464" s="7" t="s">
        <v>147</v>
      </c>
      <c r="N464" s="5" t="s">
        <v>148</v>
      </c>
      <c r="O464" s="5" t="s">
        <v>149</v>
      </c>
      <c r="P464" s="5" t="s">
        <v>150</v>
      </c>
      <c r="Q464" s="5" t="s">
        <v>298</v>
      </c>
      <c r="R464" s="1"/>
      <c r="S464" s="5" t="str">
        <f>"HVL @"&amp;ROUND(avgkvp,2)&amp;" kVp ("&amp;IF(AND(U444="",T448&lt;&gt;""),"Meas.",IF(MAXAVG="","Set",MAXAVG))&amp;")"</f>
        <v>HVL @80 kVp (Avg kV)</v>
      </c>
      <c r="T464" s="1"/>
      <c r="U464" s="315" t="str">
        <f>"Criteria:  "&amp;IF(M441=1,"MDPH STANDARD","MUSC STANDARD")</f>
        <v>Criteria:  MUSC STANDARD</v>
      </c>
      <c r="W464" s="59"/>
      <c r="X464" s="455" t="s">
        <v>265</v>
      </c>
      <c r="Y464" s="487" t="s">
        <v>230</v>
      </c>
      <c r="Z464" s="488" t="str">
        <f>IF(OR(AB238=0,AB238=""),"",AB238)</f>
        <v/>
      </c>
    </row>
    <row r="465" spans="1:35" ht="11.25" customHeight="1" thickTop="1" thickBot="1">
      <c r="A465" s="418">
        <v>3</v>
      </c>
      <c r="B465" s="37"/>
      <c r="C465" s="37"/>
      <c r="D465" s="37"/>
      <c r="E465" s="37"/>
      <c r="F465" s="37"/>
      <c r="G465" s="37"/>
      <c r="H465" s="37"/>
      <c r="I465" s="37"/>
      <c r="J465" s="37"/>
      <c r="K465" s="37"/>
      <c r="L465" s="465" t="s">
        <v>265</v>
      </c>
      <c r="M465" s="35">
        <f>M448</f>
        <v>0</v>
      </c>
      <c r="N465" s="14" t="str">
        <f>IF(MIN(W448:W449)=0,"",AVERAGE(W448:W449))</f>
        <v/>
      </c>
      <c r="O465" s="14" t="str">
        <f>IF(EXP_0="","",ABS(EXP_0-EXP_0/2))</f>
        <v/>
      </c>
      <c r="P465" s="15" t="str">
        <f>IF(OR(EXP_0="",EXP_1=""),"",IF(ABS(EXP_0-EXP_0/2)=SMALL(DHALF,1),ALUM_0,IF(ABS(EXP_1-EXP_0/2)=SMALL(DHALF,1),ALUM_1,IF(ABS(EXP_2-EXP_0/2)=SMALL(DHALF,1),ALUM_2,IF(ABS(EXP_3-EXP_0/2)=SMALL(DHALF,1),ALUM_3,IF(ABS(EXP_4-EXP_0/2)=SMALL(DHALF,1),ALUM_4,IF(ABS(EXP_5-EXP_0/2)=SMALL(DHALF,1),ALUM_5,"")))))))</f>
        <v/>
      </c>
      <c r="Q465" s="16">
        <f>IF(AND(Q448="",T448=""),"TBD",IF(AND(U448&lt;&gt;"",MAXAVG="Avg kV"),AVERAGE(U448:U449),IF(AND(T448&lt;&gt;"",MAXAVG="Max kV"),AVERAGE(T448:T449),IF(T448&lt;&gt;"",AVERAGE(T448:T449),Q448))))</f>
        <v>80</v>
      </c>
      <c r="R465" s="1"/>
      <c r="S465" s="511" t="e">
        <f>IF(OR(MIN(ALUMLOW:ALUMHIGH)=0,MIN(EXPLOW:EXPHIGH)=0),AVERAGE(Sheet1!L5:L9),TREND(ALUM,LN_EXP,LN(EXP_0/2)))</f>
        <v>#DIV/0!</v>
      </c>
      <c r="T465" s="1"/>
      <c r="U465" s="241" t="s">
        <v>140</v>
      </c>
      <c r="V465" s="241" t="s">
        <v>141</v>
      </c>
      <c r="W465" s="246" t="s">
        <v>142</v>
      </c>
      <c r="X465" s="455" t="s">
        <v>265</v>
      </c>
      <c r="Z465" s="493" t="str">
        <f>IF(OR(AB239=0,AB239=""),"",AB239)</f>
        <v/>
      </c>
    </row>
    <row r="466" spans="1:35" ht="11.25" customHeight="1" thickTop="1" thickBot="1">
      <c r="A466" s="418">
        <v>4</v>
      </c>
      <c r="B466" s="67"/>
      <c r="C466" s="50"/>
      <c r="D466" s="50"/>
      <c r="E466" s="50"/>
      <c r="F466" s="50"/>
      <c r="G466" s="50"/>
      <c r="H466" s="50"/>
      <c r="I466" s="50"/>
      <c r="J466" s="50"/>
      <c r="K466" s="68"/>
      <c r="L466" s="465" t="s">
        <v>265</v>
      </c>
      <c r="M466" s="35">
        <f>IF(M450="","",M450)</f>
        <v>0</v>
      </c>
      <c r="N466" s="14" t="str">
        <f>IF(MIN(W450:W451)=0,"",AVERAGE(W450:W451))</f>
        <v/>
      </c>
      <c r="O466" s="14" t="str">
        <f>IF(EXP_1="","",ABS(EXP_1-EXP_0/2))</f>
        <v/>
      </c>
      <c r="P466" s="14" t="str">
        <f>IF(OR(EXP_0="",EXP_1=""),"",IF(ABS(EXP_0-EXP_0/2)=SMALL(DHALF,2),ALUM_0,IF(ABS(EXP_1-EXP_0/2)=SMALL(DHALF,2),ALUM_1,IF(ABS(EXP_2-EXP_0/2)=SMALL(DHALF,2),ALUM_2,IF(ABS(EXP_3-EXP_0/2)=SMALL(DHALF,2),ALUM_3,IF(ABS(EXP_4-EXP_0/2)=SMALL(DHALF,2),ALUM_4,IF(ABS(EXP_5-EXP_0/2)=SMALL(DHALF,2),ALUM_5,"")))))))</f>
        <v/>
      </c>
      <c r="Q466" s="17"/>
      <c r="R466" s="1"/>
      <c r="S466" s="1"/>
      <c r="T466" s="247" t="s">
        <v>298</v>
      </c>
      <c r="U466" s="243" t="s">
        <v>144</v>
      </c>
      <c r="V466" s="243" t="s">
        <v>144</v>
      </c>
      <c r="W466" s="248" t="s">
        <v>144</v>
      </c>
      <c r="X466" s="455" t="s">
        <v>265</v>
      </c>
    </row>
    <row r="467" spans="1:35" ht="11.25" customHeight="1">
      <c r="A467" s="418">
        <v>5</v>
      </c>
      <c r="B467" s="54"/>
      <c r="C467" s="42" t="s">
        <v>21</v>
      </c>
      <c r="D467" s="47" t="str">
        <f>IF($O$227="","",$O$227)</f>
        <v>Piranha CB2-19020491</v>
      </c>
      <c r="E467" s="47"/>
      <c r="F467" s="36"/>
      <c r="G467" s="37"/>
      <c r="H467" s="37"/>
      <c r="I467" s="37"/>
      <c r="J467" s="37"/>
      <c r="K467" s="57"/>
      <c r="L467" s="465" t="s">
        <v>265</v>
      </c>
      <c r="M467" s="35" t="str">
        <f>IF(M452="","",M452)</f>
        <v/>
      </c>
      <c r="N467" s="14" t="str">
        <f>IF(MIN(W452:W453)=0,"",AVERAGE(W452:W453))</f>
        <v/>
      </c>
      <c r="O467" s="14" t="str">
        <f>IF(EXP_2="","",ABS(EXP_2-EXP_0/2))</f>
        <v/>
      </c>
      <c r="P467" s="1"/>
      <c r="Q467" s="1"/>
      <c r="R467" s="336" t="s">
        <v>151</v>
      </c>
      <c r="S467" s="293"/>
      <c r="T467" s="249">
        <f>IF($M$441=1,Tables!I5,Tables!D5)</f>
        <v>60</v>
      </c>
      <c r="U467" s="259">
        <f>IF($M$441=1,Tables!J5,Tables!E5)</f>
        <v>2.1854545454545447</v>
      </c>
      <c r="V467" s="244">
        <f>IF($M$441=1,Tables!K5,Tables!F5)</f>
        <v>1.9</v>
      </c>
      <c r="W467" s="250">
        <f>IF($M$441=1,Tables!L5,Tables!G5)</f>
        <v>2.4</v>
      </c>
      <c r="X467" s="455" t="s">
        <v>265</v>
      </c>
    </row>
    <row r="468" spans="1:35" ht="11.25" customHeight="1" thickBot="1">
      <c r="A468" s="418">
        <v>6</v>
      </c>
      <c r="B468" s="54"/>
      <c r="C468" s="37"/>
      <c r="D468" s="37"/>
      <c r="E468" s="37"/>
      <c r="F468" s="37"/>
      <c r="G468" s="37"/>
      <c r="H468" s="37"/>
      <c r="I468" s="37"/>
      <c r="J468" s="37"/>
      <c r="K468" s="57"/>
      <c r="L468" s="465" t="s">
        <v>265</v>
      </c>
      <c r="M468" s="35" t="str">
        <f>IF(M454="","",M454)</f>
        <v/>
      </c>
      <c r="N468" s="14" t="str">
        <f>IF(MIN(W454:W455)=0,"",AVERAGE(W454:W455))</f>
        <v/>
      </c>
      <c r="O468" s="14" t="str">
        <f>IF(EXP_3="","",ABS(EXP_3-EXP_0/2))</f>
        <v/>
      </c>
      <c r="P468" s="5" t="s">
        <v>152</v>
      </c>
      <c r="Q468" s="5" t="s">
        <v>153</v>
      </c>
      <c r="R468" s="294" t="s">
        <v>154</v>
      </c>
      <c r="S468" s="337">
        <f>IF($M$441=1,IF(avgkvp&lt;=75,MIN(ROUND(TREND(V467:V469,T467:T469,avgkvp),1),TRUNC(TREND(V467:V469,T467:T469,avgkvp),2)),MIN(ROUND(TREND(V470:V474,T470:T474,avgkvp),1),TRUNC(TREND(V470:V474,T470:T474,avgkvp),2))),MIN(ROUND(TREND(V467:V474,T467:T474,avgkvp),1),TRUNC(TREND(V467:V474,T467:T474,avgkvp),2)))</f>
        <v>2.6</v>
      </c>
      <c r="T468" s="249">
        <f>IF($M$441=1,Tables!I6,Tables!D6)</f>
        <v>70</v>
      </c>
      <c r="U468" s="259">
        <f>IF($M$441=1,Tables!J6,Tables!E6)</f>
        <v>2.6109090909090904</v>
      </c>
      <c r="V468" s="244">
        <f>IF($M$441=1,Tables!K6,Tables!F6)</f>
        <v>2.2999999999999998</v>
      </c>
      <c r="W468" s="250">
        <f>IF($M$441=1,Tables!L6,Tables!G6)</f>
        <v>2.9</v>
      </c>
      <c r="X468" s="455" t="s">
        <v>265</v>
      </c>
    </row>
    <row r="469" spans="1:35" ht="11.25" customHeight="1">
      <c r="A469" s="418">
        <v>7</v>
      </c>
      <c r="B469" s="110"/>
      <c r="K469" s="59"/>
      <c r="L469" s="465" t="s">
        <v>265</v>
      </c>
      <c r="M469" s="35" t="str">
        <f>IF(M456="","",M456)</f>
        <v/>
      </c>
      <c r="N469" s="14" t="str">
        <f>IF(MIN(W456:W457)=0,"",AVERAGE(W456:W457))</f>
        <v/>
      </c>
      <c r="O469" s="14" t="str">
        <f>IF(EXP_4="","",ABS(EXP_4-EXP_0/2))</f>
        <v/>
      </c>
      <c r="P469" s="15" t="str">
        <f>IF(OR(EXP_0="",EXP_1=""),"",IF(ALUM_0=ALUMLOW,EXP_0,IF(ALUM_1=ALUMLOW,EXP_1,IF(ALUM_2=ALUMLOW,EXP_2,IF(ALUM_3=ALUMLOW,EXP_3,IF(ALUM_4=ALUMLOW,EXP_4,IF(ALUM_5=ALUMLOW,EXP_5,"")))))))</f>
        <v/>
      </c>
      <c r="Q469" s="18" t="str">
        <f>IF(EXPLOW="","",LN(EXPLOW))</f>
        <v/>
      </c>
      <c r="R469" s="338" t="s">
        <v>155</v>
      </c>
      <c r="S469" s="301">
        <f>IF($M$441=1,IF(avgkvp&lt;=75,ROUND(AVERAGE(ROUND(TREND(U467:U469,T467:T469,avgkvp),2),TRUNC(TREND(U467:U469,T467:T469,avgkvp),2)),1),ROUND(AVERAGE(ROUND(TREND(U470:U474,T470:T474,avgkvp),2),TRUNC(TREND(U470:U474,T470:T474,avgkvp),2)),1)),ROUND(AVERAGE(ROUND(TREND(U467:U474,T467:T474,avgkvp),2),TRUNC(TREND(U467:U474,T467:T474,avgkvp),2)),1))</f>
        <v>3</v>
      </c>
      <c r="T469" s="249">
        <f>IF($M$441=1,Tables!I7,Tables!D7)</f>
        <v>80</v>
      </c>
      <c r="U469" s="259">
        <f>IF($M$441=1,Tables!J7,Tables!E7)</f>
        <v>3.0363636363636357</v>
      </c>
      <c r="V469" s="244">
        <f>IF($M$441=1,Tables!K7,Tables!F7)</f>
        <v>2.6</v>
      </c>
      <c r="W469" s="250">
        <f>IF($M$441=1,Tables!L7,Tables!G7)</f>
        <v>3.4</v>
      </c>
      <c r="X469" s="455" t="s">
        <v>265</v>
      </c>
    </row>
    <row r="470" spans="1:35" ht="11.25" customHeight="1" thickBot="1">
      <c r="A470" s="418">
        <v>8</v>
      </c>
      <c r="B470" s="110"/>
      <c r="G470" s="151" t="str">
        <f>"Timer performance ("&amp;O335&amp;" Focal Spot)"</f>
        <v>Timer performance (Large Focal Spot)</v>
      </c>
      <c r="K470" s="59"/>
      <c r="L470" s="465" t="s">
        <v>265</v>
      </c>
      <c r="M470" s="35" t="str">
        <f>IF(M458="","",M458)</f>
        <v/>
      </c>
      <c r="N470" s="14" t="str">
        <f>IF(MIN(W458:W459)=0,"",AVERAGE(W458:W459))</f>
        <v/>
      </c>
      <c r="O470" s="14" t="str">
        <f>IF(EXP_5="","",ABS(EXP_5-EXP_0/2))</f>
        <v/>
      </c>
      <c r="P470" s="14" t="str">
        <f>IF(OR(EXP_0="",EXP_1=""),"",IF(ALUM_0=ALUMHIGH,EXP_0,IF(ALUM_1=ALUMHIGH,EXP_1,IF(ALUM_2=ALUMHIGH,EXP_2,IF(ALUM_3=ALUMHIGH,EXP_3,IF(ALUM_4=ALUMHIGH,EXP_4,IF(ALUM_5=ALUMHIGH,EXP_5,"")))))))</f>
        <v/>
      </c>
      <c r="Q470" s="19" t="str">
        <f>IF(EXPHIGH="","",LN(EXPHIGH))</f>
        <v/>
      </c>
      <c r="R470" s="295" t="s">
        <v>156</v>
      </c>
      <c r="S470" s="302">
        <f>IF($M$441=1,IF(avgkvp&lt;=75,MAX(ROUND(TREND(W467:W469,T467:T469,avgkvp),1),TRUNC(TREND(W467:W469,T467:T469,avgkvp),2)),MAX(ROUND(TREND(W470:W474,T470:T474,avgkvp),1),TRUNC(TREND(W470:W474,T470:T474,avgkvp),2))),MAX(ROUND(TREND(W467:W474,T467:T474,avgkvp),1),TRUNC(TREND(W467:W474,T467:T474,avgkvp),2)))</f>
        <v>3.4</v>
      </c>
      <c r="T470" s="249">
        <f>IF($M$441=1,Tables!I8,Tables!D8)</f>
        <v>90</v>
      </c>
      <c r="U470" s="259">
        <f>IF($M$441=1,Tables!J8,Tables!E8)</f>
        <v>3.4618181818181815</v>
      </c>
      <c r="V470" s="244">
        <f>IF($M$441=1,Tables!K8,Tables!F8)</f>
        <v>3</v>
      </c>
      <c r="W470" s="250">
        <f>IF($M$441=1,Tables!L8,Tables!G8)</f>
        <v>3.8</v>
      </c>
      <c r="X470" s="455" t="s">
        <v>265</v>
      </c>
    </row>
    <row r="471" spans="1:35" ht="11.25" customHeight="1" thickBot="1">
      <c r="A471" s="418">
        <v>9</v>
      </c>
      <c r="B471" s="110"/>
      <c r="K471" s="59"/>
      <c r="L471" s="465" t="s">
        <v>265</v>
      </c>
      <c r="M471" s="549" t="e">
        <f>HVL</f>
        <v>#DIV/0!</v>
      </c>
      <c r="N471" s="525" t="e">
        <f>IF(HVL="TBD","TBD",EXP(TREND(LN_EXP,ALUM,M471)))</f>
        <v>#DIV/0!</v>
      </c>
      <c r="O471" s="1"/>
      <c r="P471" s="1"/>
      <c r="Q471" s="1"/>
      <c r="R471" s="1"/>
      <c r="S471" s="1"/>
      <c r="T471" s="249">
        <f>IF($M$441=1,Tables!I9,Tables!D9)</f>
        <v>100</v>
      </c>
      <c r="U471" s="259">
        <f>IF($M$441=1,Tables!J9,Tables!E9)</f>
        <v>3.8872727272727272</v>
      </c>
      <c r="V471" s="244">
        <f>IF($M$441=1,Tables!K9,Tables!F9)</f>
        <v>3.4</v>
      </c>
      <c r="W471" s="250">
        <f>IF($M$441=1,Tables!L9,Tables!G9)</f>
        <v>4.3</v>
      </c>
      <c r="X471" s="455" t="s">
        <v>265</v>
      </c>
    </row>
    <row r="472" spans="1:35" ht="11.25" customHeight="1" thickBot="1">
      <c r="A472" s="418">
        <v>10</v>
      </c>
      <c r="B472" s="110"/>
      <c r="K472" s="59"/>
      <c r="L472" s="465" t="s">
        <v>265</v>
      </c>
      <c r="M472" s="34"/>
      <c r="N472" s="1"/>
      <c r="P472" s="1"/>
      <c r="Q472" s="1"/>
      <c r="R472" s="33" t="s">
        <v>353</v>
      </c>
      <c r="S472" s="124" t="str">
        <f>IF(OR($W$448="",$W$448=0),"TBD",IF(AND(ROUND(HVL,2)&gt;=$S$468,TRUNC(100*HVL)/100&lt;=S470),"YES","NO"))</f>
        <v>TBD</v>
      </c>
      <c r="T472" s="249">
        <f>IF($M$441=1,Tables!I10,Tables!D10)</f>
        <v>110</v>
      </c>
      <c r="U472" s="259">
        <f>IF($M$441=1,Tables!J10,Tables!E10)</f>
        <v>4.3127272727272734</v>
      </c>
      <c r="V472" s="244">
        <f>IF($M$441=1,Tables!K10,Tables!F10)</f>
        <v>3.8</v>
      </c>
      <c r="W472" s="250">
        <f>IF($M$441=1,Tables!L10,Tables!G10)</f>
        <v>4.8</v>
      </c>
      <c r="X472" s="455" t="s">
        <v>265</v>
      </c>
    </row>
    <row r="473" spans="1:35" ht="11.25" customHeight="1" thickBot="1">
      <c r="A473" s="418">
        <v>11</v>
      </c>
      <c r="B473" s="54"/>
      <c r="D473" s="205" t="s">
        <v>64</v>
      </c>
      <c r="E473" s="206" t="str">
        <f>IF($O$331="","",$O$331)</f>
        <v>HF</v>
      </c>
      <c r="F473" s="207" t="str">
        <f>$Q$331</f>
        <v xml:space="preserve"> (High Frequency)</v>
      </c>
      <c r="K473" s="59"/>
      <c r="L473" s="465" t="s">
        <v>265</v>
      </c>
      <c r="M473" s="34"/>
      <c r="N473" s="1"/>
      <c r="O473" s="1"/>
      <c r="P473" s="1"/>
      <c r="Q473" s="1"/>
      <c r="R473" s="33" t="s">
        <v>510</v>
      </c>
      <c r="S473" s="124" t="str">
        <f>IF(OR($W$448="",$W$448=0),"TBD",IF(ROUND(HVL,2)&gt;=$S$468,"YES","NO"))</f>
        <v>TBD</v>
      </c>
      <c r="T473" s="249">
        <f>IF($M$441=1,Tables!I11,Tables!D11)</f>
        <v>120</v>
      </c>
      <c r="U473" s="259">
        <f>IF($M$441=1,Tables!J11,Tables!E11)</f>
        <v>4.7381818181818192</v>
      </c>
      <c r="V473" s="244">
        <f>IF($M$441=1,Tables!K11,Tables!F11)</f>
        <v>4.2</v>
      </c>
      <c r="W473" s="250">
        <f>IF($M$441=1,Tables!L11,Tables!G11)</f>
        <v>5.2</v>
      </c>
      <c r="X473" s="455" t="s">
        <v>265</v>
      </c>
    </row>
    <row r="474" spans="1:35" ht="11.25" customHeight="1" thickBot="1">
      <c r="A474" s="418">
        <v>12</v>
      </c>
      <c r="B474" s="110"/>
      <c r="D474" s="37"/>
      <c r="E474" s="37"/>
      <c r="F474" s="37"/>
      <c r="G474" s="37"/>
      <c r="H474" s="37"/>
      <c r="I474" s="37"/>
      <c r="J474" s="37"/>
      <c r="K474" s="57"/>
      <c r="L474" s="465" t="s">
        <v>265</v>
      </c>
      <c r="M474" s="27"/>
      <c r="N474" s="71"/>
      <c r="O474" s="71"/>
      <c r="P474" s="71"/>
      <c r="Q474" s="71"/>
      <c r="R474" s="71"/>
      <c r="S474" s="71"/>
      <c r="T474" s="285">
        <f>IF($M$441=1,Tables!I12,Tables!D12)</f>
        <v>130</v>
      </c>
      <c r="U474" s="339">
        <f>IF($M$441=1,Tables!J12,Tables!E12)</f>
        <v>5.1636363636363649</v>
      </c>
      <c r="V474" s="286">
        <f>IF($M$441=1,Tables!K12,Tables!F12)</f>
        <v>4.5999999999999996</v>
      </c>
      <c r="W474" s="287">
        <f>IF($M$441=1,Tables!L12,Tables!G12)</f>
        <v>5.7</v>
      </c>
      <c r="X474" s="455" t="s">
        <v>265</v>
      </c>
    </row>
    <row r="475" spans="1:35" ht="11.25" customHeight="1" thickTop="1">
      <c r="A475" s="418">
        <v>13</v>
      </c>
      <c r="B475" s="200"/>
      <c r="F475" s="208" t="s">
        <v>349</v>
      </c>
      <c r="G475" s="42"/>
      <c r="H475" s="37"/>
      <c r="I475" s="37"/>
      <c r="J475" s="209" t="s">
        <v>66</v>
      </c>
      <c r="K475" s="340"/>
      <c r="L475" s="465" t="s">
        <v>265</v>
      </c>
      <c r="M475" s="1"/>
      <c r="N475" s="1"/>
      <c r="O475" s="1"/>
      <c r="P475" s="1"/>
      <c r="Q475" s="1"/>
      <c r="R475" s="1"/>
      <c r="S475" s="1"/>
      <c r="T475" s="1"/>
      <c r="U475" s="1"/>
      <c r="V475" s="1"/>
      <c r="W475" s="114"/>
      <c r="X475" s="455" t="s">
        <v>265</v>
      </c>
    </row>
    <row r="476" spans="1:35" ht="11.25" customHeight="1">
      <c r="A476" s="418">
        <v>14</v>
      </c>
      <c r="B476" s="110"/>
      <c r="K476" s="59"/>
      <c r="L476" s="465" t="s">
        <v>265</v>
      </c>
      <c r="M476" s="1"/>
      <c r="N476" s="1"/>
      <c r="O476" s="1"/>
      <c r="P476" s="1"/>
      <c r="Q476" s="70"/>
      <c r="R476" s="1"/>
      <c r="S476" s="1"/>
      <c r="T476" s="1"/>
      <c r="U476" s="1"/>
      <c r="V476" s="1"/>
      <c r="W476" s="115"/>
      <c r="X476" s="455" t="s">
        <v>265</v>
      </c>
    </row>
    <row r="477" spans="1:35" ht="11.25" customHeight="1" thickBot="1">
      <c r="A477" s="418">
        <v>15</v>
      </c>
      <c r="B477" s="110"/>
      <c r="C477" s="42" t="s">
        <v>45</v>
      </c>
      <c r="D477" s="36">
        <f>IF(N335="","",N335)</f>
        <v>100</v>
      </c>
      <c r="E477" s="38" t="str">
        <f>IF(N334="","",N334)</f>
        <v>cm</v>
      </c>
      <c r="G477" s="37"/>
      <c r="H477" s="37"/>
      <c r="I477" s="42" t="s">
        <v>45</v>
      </c>
      <c r="J477" s="36">
        <f>IF(N280="","",N280)</f>
        <v>100</v>
      </c>
      <c r="K477" s="58" t="str">
        <f>IF(N279="","",N279)</f>
        <v>cm</v>
      </c>
      <c r="L477" s="465" t="s">
        <v>265</v>
      </c>
      <c r="M477" s="1"/>
      <c r="N477" s="1"/>
      <c r="O477" s="1"/>
      <c r="P477" s="1"/>
      <c r="Q477" s="1"/>
      <c r="R477" s="1"/>
      <c r="S477" s="1"/>
      <c r="T477" s="1"/>
      <c r="U477" s="1"/>
      <c r="V477" s="1"/>
      <c r="W477" s="1"/>
      <c r="X477" s="455" t="s">
        <v>265</v>
      </c>
    </row>
    <row r="478" spans="1:35" ht="11.25" customHeight="1" thickTop="1">
      <c r="A478" s="418">
        <v>16</v>
      </c>
      <c r="B478" s="110"/>
      <c r="C478" s="42" t="s">
        <v>359</v>
      </c>
      <c r="D478" s="36">
        <f>IF(Q335="","",Q335)</f>
        <v>80</v>
      </c>
      <c r="E478" s="37"/>
      <c r="G478" s="37"/>
      <c r="H478" s="37"/>
      <c r="I478" s="42" t="s">
        <v>359</v>
      </c>
      <c r="J478" s="36">
        <f>IF(Q280="","",Q280)</f>
        <v>80</v>
      </c>
      <c r="K478" s="57"/>
      <c r="L478" s="465" t="s">
        <v>265</v>
      </c>
      <c r="M478" s="67"/>
      <c r="N478" s="50"/>
      <c r="O478" s="50"/>
      <c r="P478" s="50"/>
      <c r="Q478" s="50"/>
      <c r="R478" s="50"/>
      <c r="S478" s="50"/>
      <c r="T478" s="50"/>
      <c r="U478" s="50"/>
      <c r="V478" s="50"/>
      <c r="W478" s="68"/>
      <c r="X478" s="455" t="s">
        <v>265</v>
      </c>
    </row>
    <row r="479" spans="1:35" ht="11.25" customHeight="1">
      <c r="A479" s="418">
        <v>17</v>
      </c>
      <c r="B479" s="90"/>
      <c r="D479" s="259"/>
      <c r="E479" s="37"/>
      <c r="G479" s="37"/>
      <c r="H479" s="37"/>
      <c r="I479" s="42" t="s">
        <v>360</v>
      </c>
      <c r="J479" s="49" t="str">
        <f>IF(R280="","",IF(R279="mA",R280,""))</f>
        <v/>
      </c>
      <c r="K479" s="57"/>
      <c r="L479" s="465" t="s">
        <v>265</v>
      </c>
      <c r="M479" s="223" t="s">
        <v>157</v>
      </c>
      <c r="N479" s="96"/>
      <c r="O479" s="96"/>
      <c r="Q479" s="39"/>
      <c r="S479" s="39" t="s">
        <v>158</v>
      </c>
      <c r="U479" s="39" t="s">
        <v>159</v>
      </c>
      <c r="W479" s="237"/>
      <c r="X479" s="455" t="s">
        <v>265</v>
      </c>
      <c r="Y479" s="524" t="s">
        <v>202</v>
      </c>
      <c r="AI479" s="524" t="s">
        <v>202</v>
      </c>
    </row>
    <row r="480" spans="1:35" ht="11.25" customHeight="1">
      <c r="A480" s="418">
        <v>18</v>
      </c>
      <c r="B480" s="90"/>
      <c r="F480" s="37"/>
      <c r="G480" s="37"/>
      <c r="H480" s="37"/>
      <c r="I480" s="42" t="s">
        <v>361</v>
      </c>
      <c r="J480" s="165">
        <f>IF(R280="","",IF(R279="mAs",R280,""))</f>
        <v>20</v>
      </c>
      <c r="K480" s="57"/>
      <c r="L480" s="465" t="s">
        <v>265</v>
      </c>
      <c r="M480" s="110"/>
      <c r="R480" s="1" t="s">
        <v>160</v>
      </c>
      <c r="S480" s="230" t="s">
        <v>386</v>
      </c>
      <c r="U480" s="230" t="s">
        <v>386</v>
      </c>
      <c r="V480" s="230" t="s">
        <v>159</v>
      </c>
      <c r="W480" s="238" t="s">
        <v>159</v>
      </c>
      <c r="X480" s="455" t="s">
        <v>265</v>
      </c>
      <c r="Y480" s="230" t="s">
        <v>160</v>
      </c>
      <c r="AH480" s="238" t="s">
        <v>159</v>
      </c>
      <c r="AI480" s="230" t="s">
        <v>160</v>
      </c>
    </row>
    <row r="481" spans="1:35" ht="11.25" customHeight="1">
      <c r="A481" s="418">
        <v>19</v>
      </c>
      <c r="B481" s="54"/>
      <c r="D481" s="37"/>
      <c r="E481" s="37"/>
      <c r="F481" s="37"/>
      <c r="G481" s="37"/>
      <c r="H481" s="37"/>
      <c r="I481" s="37"/>
      <c r="J481" s="37"/>
      <c r="K481" s="57"/>
      <c r="L481" s="465" t="s">
        <v>265</v>
      </c>
      <c r="M481" s="97" t="s">
        <v>161</v>
      </c>
      <c r="N481" s="111"/>
      <c r="O481" s="236"/>
      <c r="P481" s="137" t="s">
        <v>162</v>
      </c>
      <c r="Q481" s="111"/>
      <c r="R481" s="13" t="s">
        <v>513</v>
      </c>
      <c r="S481" s="230" t="s">
        <v>513</v>
      </c>
      <c r="U481" s="230" t="s">
        <v>513</v>
      </c>
      <c r="V481" s="230" t="s">
        <v>163</v>
      </c>
      <c r="W481" s="238" t="s">
        <v>160</v>
      </c>
      <c r="X481" s="455" t="s">
        <v>265</v>
      </c>
      <c r="Y481" s="230" t="s">
        <v>513</v>
      </c>
      <c r="AH481" s="238" t="s">
        <v>160</v>
      </c>
      <c r="AI481" s="230" t="s">
        <v>513</v>
      </c>
    </row>
    <row r="482" spans="1:35" ht="11.25" customHeight="1">
      <c r="A482" s="418">
        <v>20</v>
      </c>
      <c r="B482" s="346" t="s">
        <v>69</v>
      </c>
      <c r="C482" s="451"/>
      <c r="D482" s="37"/>
      <c r="E482" s="127" t="str">
        <f>"Time"&amp;IF($O$331=1," (Pulses)"," (sec)")</f>
        <v>Time (sec)</v>
      </c>
      <c r="F482" s="128"/>
      <c r="G482" s="37" t="s">
        <v>352</v>
      </c>
      <c r="H482" s="37"/>
      <c r="I482" s="37"/>
      <c r="J482" s="127" t="str">
        <f>"Time"&amp;IF($O$331=1," (Pulses)"," (sec)")</f>
        <v>Time (sec)</v>
      </c>
      <c r="K482" s="150"/>
      <c r="L482" s="465" t="s">
        <v>265</v>
      </c>
      <c r="M482" s="156" t="s">
        <v>165</v>
      </c>
      <c r="N482" s="532" t="str">
        <f>IF(OR(AB109=0,AB109=""),"",AB109)</f>
        <v/>
      </c>
      <c r="O482" s="234"/>
      <c r="P482" s="42" t="str">
        <f>"SDD ("&amp;LFSDD&amp;"):"</f>
        <v>SDD (cm):</v>
      </c>
      <c r="Q482" s="262">
        <f>IF($N$234="","",$N$234)</f>
        <v>100</v>
      </c>
      <c r="R482" s="227" t="s">
        <v>164</v>
      </c>
      <c r="S482" s="231" t="s">
        <v>164</v>
      </c>
      <c r="U482" s="230" t="s">
        <v>166</v>
      </c>
      <c r="V482" s="230" t="s">
        <v>386</v>
      </c>
      <c r="W482" s="238" t="s">
        <v>351</v>
      </c>
      <c r="X482" s="455" t="s">
        <v>265</v>
      </c>
      <c r="Y482" s="230" t="s">
        <v>164</v>
      </c>
      <c r="AH482" s="238" t="s">
        <v>351</v>
      </c>
      <c r="AI482" s="230" t="s">
        <v>164</v>
      </c>
    </row>
    <row r="483" spans="1:35" ht="11.25" customHeight="1" thickBot="1">
      <c r="A483" s="418">
        <v>21</v>
      </c>
      <c r="B483" s="162" t="s">
        <v>40</v>
      </c>
      <c r="C483" s="121" t="s">
        <v>41</v>
      </c>
      <c r="D483" s="121" t="str">
        <f t="shared" ref="D483:D493" si="76">IF(R334="","",R334)</f>
        <v>mA/mAs</v>
      </c>
      <c r="E483" s="126" t="s">
        <v>350</v>
      </c>
      <c r="F483" s="120" t="s">
        <v>351</v>
      </c>
      <c r="G483" s="126" t="str">
        <f>IF($O$331=1," (Pulses)"," (Percent)")</f>
        <v xml:space="preserve"> (Percent)</v>
      </c>
      <c r="H483" s="126" t="s">
        <v>373</v>
      </c>
      <c r="I483" s="37"/>
      <c r="J483" s="126" t="s">
        <v>350</v>
      </c>
      <c r="K483" s="166" t="s">
        <v>351</v>
      </c>
      <c r="L483" s="465" t="s">
        <v>265</v>
      </c>
      <c r="M483" s="110"/>
      <c r="N483" s="1" t="s">
        <v>513</v>
      </c>
      <c r="O483" s="234" t="s">
        <v>513</v>
      </c>
      <c r="P483" s="24"/>
      <c r="Q483" s="12" t="s">
        <v>513</v>
      </c>
      <c r="R483" s="13" t="s">
        <v>298</v>
      </c>
      <c r="S483" s="230" t="s">
        <v>168</v>
      </c>
      <c r="U483" s="230" t="s">
        <v>169</v>
      </c>
      <c r="V483" s="230" t="s">
        <v>170</v>
      </c>
      <c r="W483" s="238" t="s">
        <v>170</v>
      </c>
      <c r="X483" s="455" t="s">
        <v>265</v>
      </c>
      <c r="Y483" s="230" t="s">
        <v>298</v>
      </c>
      <c r="AH483" s="238" t="s">
        <v>170</v>
      </c>
      <c r="AI483" s="230" t="s">
        <v>298</v>
      </c>
    </row>
    <row r="484" spans="1:35" ht="11.25" customHeight="1" thickBot="1">
      <c r="A484" s="418">
        <v>22</v>
      </c>
      <c r="B484" s="343" t="str">
        <f t="shared" ref="B484:B493" si="77">IF(T335="","",T335)</f>
        <v/>
      </c>
      <c r="C484" s="345" t="str">
        <f t="shared" ref="C484:C493" si="78">IF(U335="","",U335)</f>
        <v/>
      </c>
      <c r="D484" s="160">
        <f t="shared" si="76"/>
        <v>2</v>
      </c>
      <c r="E484" s="106">
        <f t="shared" ref="E484:E493" si="79">IF(S335="","",S335)</f>
        <v>0.01</v>
      </c>
      <c r="F484" s="197" t="str">
        <f t="shared" ref="F484:F493" si="80">IF(V335="","",V335)</f>
        <v/>
      </c>
      <c r="G484" s="176" t="str">
        <f>IF(OR(E484="",F484="",AND(LFMAS="",SFMAS=""),AND(Tables!$P$83="Large",LFMAS="mAs"),AND(Tables!$P$83="Small",SFMAS="mAs")),"",IF($O$331=1,(F484-E484),IF(AND(E484&gt;0,F484&gt;0),(ROUND(100*(F484-E484)/E484,1)),"")))</f>
        <v/>
      </c>
      <c r="H484" s="104" t="str">
        <f t="shared" ref="H484:H493" si="81">IF(AND($D$483&lt;&gt;"mAs",E484&lt;&gt;"",F484=""),"TBD",IF(G484="",IF(E484="","","NA"),IF($O$331="Dent",W354,IF($O$331=1,V354,U354))))</f>
        <v>TBD</v>
      </c>
      <c r="I484" s="37"/>
      <c r="J484" s="199" t="str">
        <f>IF(S280="","",S280)</f>
        <v/>
      </c>
      <c r="K484" s="177" t="str">
        <f t="shared" ref="K484:K493" si="82">IF(V280="","",V280)</f>
        <v/>
      </c>
      <c r="L484" s="465" t="s">
        <v>265</v>
      </c>
      <c r="M484" s="134" t="s">
        <v>298</v>
      </c>
      <c r="N484" s="26" t="s">
        <v>173</v>
      </c>
      <c r="O484" s="235" t="s">
        <v>171</v>
      </c>
      <c r="P484" s="225" t="s">
        <v>41</v>
      </c>
      <c r="Q484" s="26" t="s">
        <v>173</v>
      </c>
      <c r="R484" s="26" t="s">
        <v>171</v>
      </c>
      <c r="S484" s="232" t="s">
        <v>171</v>
      </c>
      <c r="U484" s="190" t="s">
        <v>514</v>
      </c>
      <c r="V484" s="190" t="s">
        <v>174</v>
      </c>
      <c r="W484" s="239" t="s">
        <v>174</v>
      </c>
      <c r="X484" s="455" t="s">
        <v>265</v>
      </c>
      <c r="Y484" s="190" t="s">
        <v>171</v>
      </c>
      <c r="AH484" s="238" t="s">
        <v>174</v>
      </c>
      <c r="AI484" s="230" t="s">
        <v>171</v>
      </c>
    </row>
    <row r="485" spans="1:35" ht="11.25" customHeight="1">
      <c r="A485" s="418">
        <v>23</v>
      </c>
      <c r="B485" s="343" t="str">
        <f t="shared" si="77"/>
        <v/>
      </c>
      <c r="C485" s="345" t="str">
        <f t="shared" si="78"/>
        <v/>
      </c>
      <c r="D485" s="160">
        <f t="shared" si="76"/>
        <v>4</v>
      </c>
      <c r="E485" s="106">
        <f t="shared" si="79"/>
        <v>0.02</v>
      </c>
      <c r="F485" s="197" t="str">
        <f t="shared" si="80"/>
        <v/>
      </c>
      <c r="G485" s="176" t="str">
        <f>IF(OR(E485="",F485="",AND(LFMAS="",SFMAS=""),AND(Tables!$P$83="Large",LFMAS="mAs"),AND(Tables!$P$83="Small",SFMAS="mAs")),"",IF($O$331=1,(F485-E485),IF(AND(E485&gt;0,F485&gt;0),(ROUND(100*(F485-E485)/E485,1)),"")))</f>
        <v/>
      </c>
      <c r="H485" s="104" t="str">
        <f t="shared" si="81"/>
        <v>TBD</v>
      </c>
      <c r="I485" s="37"/>
      <c r="J485" s="198"/>
      <c r="K485" s="177" t="str">
        <f t="shared" si="82"/>
        <v/>
      </c>
      <c r="L485" s="465" t="s">
        <v>265</v>
      </c>
      <c r="M485" s="533" t="str">
        <f t="shared" ref="M485:M492" si="83">IF(OR(AB111=0,AB111=""),"",AB111)</f>
        <v/>
      </c>
      <c r="N485" s="657" t="str">
        <f t="shared" ref="N485:N492" si="84">IF(OR(AB120=0,AB120=""),"",AB120)</f>
        <v/>
      </c>
      <c r="O485" s="658" t="str">
        <f>IF(OR(M485=0,M485="",N485=0,N485="",$N$482=0,$N$482=""),"",N485*($N$482/40)^2)</f>
        <v/>
      </c>
      <c r="P485" s="515" t="str">
        <f>IF(U234="","",U234)</f>
        <v/>
      </c>
      <c r="Q485" s="516" t="str">
        <f>IF(OR(AND(LFMAS="",SFMAS=""),R234="",R234=0,W234=""),"",IF(LFMAS="mAs",W234/R234,IF(OR(S234="",S234=0),"",W234/(R234*S234))))</f>
        <v/>
      </c>
      <c r="R485" s="517" t="str">
        <f t="shared" ref="R485:R492" si="85">IF(Q485="","",IF(LFSDD="in.",Q485*($Q$482/40)^2,Q485*(($Q$482/2.54)/40)^2))</f>
        <v/>
      </c>
      <c r="S485" s="518" t="str">
        <f t="array" ref="S485:S492">IF(OR(M485="",M486="",N485="",N486="",P485="",P486="",$N$482=""),"",EXP(TREND(U485:U492,V485:V492,W485:W492)))</f>
        <v/>
      </c>
      <c r="T485" s="37"/>
      <c r="U485" s="520" t="str">
        <f>IF(O485="","",LN(O485))</f>
        <v/>
      </c>
      <c r="V485" s="521" t="str">
        <f>IF(M485="","",LN(M485))</f>
        <v/>
      </c>
      <c r="W485" s="522" t="str">
        <f>IF(P485="","",LN(P485))</f>
        <v/>
      </c>
      <c r="X485" s="455" t="s">
        <v>265</v>
      </c>
      <c r="Y485" s="520" t="str">
        <f t="shared" ref="Y485:Y492" si="86">IF(R485="","",LN(R485))</f>
        <v/>
      </c>
      <c r="AH485" s="452" t="str">
        <f t="shared" ref="AH485:AH492" si="87">W485</f>
        <v/>
      </c>
      <c r="AI485" s="452" t="str">
        <f>Y485</f>
        <v/>
      </c>
    </row>
    <row r="486" spans="1:35" ht="11.25" customHeight="1">
      <c r="A486" s="418">
        <v>24</v>
      </c>
      <c r="B486" s="343" t="str">
        <f t="shared" si="77"/>
        <v/>
      </c>
      <c r="C486" s="345" t="str">
        <f t="shared" si="78"/>
        <v/>
      </c>
      <c r="D486" s="160">
        <f t="shared" si="76"/>
        <v>8</v>
      </c>
      <c r="E486" s="106">
        <f t="shared" si="79"/>
        <v>0.04</v>
      </c>
      <c r="F486" s="197" t="str">
        <f t="shared" si="80"/>
        <v/>
      </c>
      <c r="G486" s="176" t="str">
        <f>IF(OR(E486="",F486="",AND(LFMAS="",SFMAS=""),AND(Tables!$P$83="Large",LFMAS="mAs"),AND(Tables!$P$83="Small",SFMAS="mAs")),"",IF($O$331=1,(F486-E486),IF(AND(E486&gt;0,F486&gt;0),(ROUND(100*(F486-E486)/E486,1)),"")))</f>
        <v/>
      </c>
      <c r="H486" s="104" t="str">
        <f t="shared" si="81"/>
        <v>TBD</v>
      </c>
      <c r="I486" s="37"/>
      <c r="J486" s="198"/>
      <c r="K486" s="177" t="str">
        <f t="shared" si="82"/>
        <v/>
      </c>
      <c r="L486" s="465" t="s">
        <v>265</v>
      </c>
      <c r="M486" s="533" t="str">
        <f t="shared" si="83"/>
        <v/>
      </c>
      <c r="N486" s="657" t="str">
        <f t="shared" si="84"/>
        <v/>
      </c>
      <c r="O486" s="659" t="str">
        <f t="shared" ref="O486:O492" si="88">IF(OR(M486=0,M486="",N486=0,N486="",$N$482=0,$N$482=""),O485,N486*($N$482/40)^2)</f>
        <v/>
      </c>
      <c r="P486" s="519" t="str">
        <f>IF(U235="",P485,U235)</f>
        <v/>
      </c>
      <c r="Q486" s="516" t="str">
        <f t="shared" ref="Q486:Q492" si="89">IF(OR(AND(LFMAS="",SFMAS=""),R235="",R235=0,W235=""),Q485,IF(LFMAS="mAs",W235/R235,IF(OR(S235="",S235=0),"",W235/(R235*S235))))</f>
        <v/>
      </c>
      <c r="R486" s="517" t="str">
        <f t="shared" si="85"/>
        <v/>
      </c>
      <c r="S486" s="518" t="str">
        <v/>
      </c>
      <c r="T486" s="37"/>
      <c r="U486" s="520" t="str">
        <f t="shared" ref="U486:U492" si="90">IF(O486="",U485,LN(O486))</f>
        <v/>
      </c>
      <c r="V486" s="521" t="str">
        <f t="shared" ref="V486:V492" si="91">IF(M486="",V485,LN(M486))</f>
        <v/>
      </c>
      <c r="W486" s="522" t="str">
        <f t="shared" ref="W486:W492" si="92">IF(P486="",W485,LN(P486))</f>
        <v/>
      </c>
      <c r="X486" s="455" t="s">
        <v>265</v>
      </c>
      <c r="Y486" s="520" t="str">
        <f t="shared" si="86"/>
        <v/>
      </c>
      <c r="AH486" s="452" t="str">
        <f t="shared" si="87"/>
        <v/>
      </c>
      <c r="AI486" s="452" t="str">
        <f t="shared" ref="AI486:AI492" si="93">Y486</f>
        <v/>
      </c>
    </row>
    <row r="487" spans="1:35" ht="11.25" customHeight="1">
      <c r="A487" s="418">
        <v>25</v>
      </c>
      <c r="B487" s="343" t="str">
        <f t="shared" si="77"/>
        <v/>
      </c>
      <c r="C487" s="345" t="str">
        <f t="shared" si="78"/>
        <v/>
      </c>
      <c r="D487" s="160">
        <f t="shared" si="76"/>
        <v>20</v>
      </c>
      <c r="E487" s="106">
        <f t="shared" si="79"/>
        <v>0.1</v>
      </c>
      <c r="F487" s="197" t="str">
        <f t="shared" si="80"/>
        <v/>
      </c>
      <c r="G487" s="176" t="str">
        <f>IF(OR(E487="",F487="",AND(LFMAS="",SFMAS=""),AND(Tables!$P$83="Large",LFMAS="mAs"),AND(Tables!$P$83="Small",SFMAS="mAs")),"",IF($O$331=1,(F487-E487),IF(AND(E487&gt;0,F487&gt;0),(ROUND(100*(F487-E487)/E487,1)),"")))</f>
        <v/>
      </c>
      <c r="H487" s="104" t="str">
        <f t="shared" si="81"/>
        <v>TBD</v>
      </c>
      <c r="I487" s="37"/>
      <c r="J487" s="198"/>
      <c r="K487" s="177" t="str">
        <f t="shared" si="82"/>
        <v/>
      </c>
      <c r="L487" s="465" t="s">
        <v>265</v>
      </c>
      <c r="M487" s="533" t="str">
        <f t="shared" si="83"/>
        <v/>
      </c>
      <c r="N487" s="657" t="str">
        <f t="shared" si="84"/>
        <v/>
      </c>
      <c r="O487" s="659" t="str">
        <f t="shared" si="88"/>
        <v/>
      </c>
      <c r="P487" s="519" t="str">
        <f t="shared" ref="P487:P492" si="94">IF(U236="",P486,U236)</f>
        <v/>
      </c>
      <c r="Q487" s="516" t="str">
        <f t="shared" si="89"/>
        <v/>
      </c>
      <c r="R487" s="517" t="str">
        <f t="shared" si="85"/>
        <v/>
      </c>
      <c r="S487" s="518" t="str">
        <v/>
      </c>
      <c r="T487" s="37"/>
      <c r="U487" s="520" t="str">
        <f t="shared" si="90"/>
        <v/>
      </c>
      <c r="V487" s="521" t="str">
        <f t="shared" si="91"/>
        <v/>
      </c>
      <c r="W487" s="522" t="str">
        <f t="shared" si="92"/>
        <v/>
      </c>
      <c r="X487" s="455" t="s">
        <v>265</v>
      </c>
      <c r="Y487" s="520" t="str">
        <f t="shared" si="86"/>
        <v/>
      </c>
      <c r="AH487" s="452" t="str">
        <f t="shared" si="87"/>
        <v/>
      </c>
      <c r="AI487" s="452" t="str">
        <f t="shared" si="93"/>
        <v/>
      </c>
    </row>
    <row r="488" spans="1:35" ht="11.25" customHeight="1">
      <c r="A488" s="418">
        <v>26</v>
      </c>
      <c r="B488" s="343" t="str">
        <f t="shared" si="77"/>
        <v/>
      </c>
      <c r="C488" s="345" t="str">
        <f t="shared" si="78"/>
        <v/>
      </c>
      <c r="D488" s="160">
        <f t="shared" si="76"/>
        <v>50</v>
      </c>
      <c r="E488" s="106">
        <f t="shared" si="79"/>
        <v>0.25</v>
      </c>
      <c r="F488" s="197" t="str">
        <f t="shared" si="80"/>
        <v/>
      </c>
      <c r="G488" s="176" t="str">
        <f>IF(OR(E488="",F488="",AND(LFMAS="",SFMAS=""),AND(Tables!$P$83="Large",LFMAS="mAs"),AND(Tables!$P$83="Small",SFMAS="mAs")),"",IF($O$331=1,(F488-E488),IF(AND(E488&gt;0,F488&gt;0),(ROUND(100*(F488-E488)/E488,1)),"")))</f>
        <v/>
      </c>
      <c r="H488" s="104" t="str">
        <f t="shared" si="81"/>
        <v>TBD</v>
      </c>
      <c r="I488" s="37"/>
      <c r="J488" s="198"/>
      <c r="K488" s="177" t="str">
        <f t="shared" si="82"/>
        <v/>
      </c>
      <c r="L488" s="465" t="s">
        <v>265</v>
      </c>
      <c r="M488" s="533" t="str">
        <f t="shared" si="83"/>
        <v/>
      </c>
      <c r="N488" s="657" t="str">
        <f t="shared" si="84"/>
        <v/>
      </c>
      <c r="O488" s="659" t="str">
        <f t="shared" si="88"/>
        <v/>
      </c>
      <c r="P488" s="519" t="str">
        <f t="shared" si="94"/>
        <v/>
      </c>
      <c r="Q488" s="516" t="str">
        <f t="shared" si="89"/>
        <v/>
      </c>
      <c r="R488" s="517" t="str">
        <f t="shared" si="85"/>
        <v/>
      </c>
      <c r="S488" s="518" t="str">
        <v/>
      </c>
      <c r="T488" s="37"/>
      <c r="U488" s="520" t="str">
        <f t="shared" si="90"/>
        <v/>
      </c>
      <c r="V488" s="521" t="str">
        <f t="shared" si="91"/>
        <v/>
      </c>
      <c r="W488" s="522" t="str">
        <f t="shared" si="92"/>
        <v/>
      </c>
      <c r="X488" s="455" t="s">
        <v>265</v>
      </c>
      <c r="Y488" s="520" t="str">
        <f t="shared" si="86"/>
        <v/>
      </c>
      <c r="AH488" s="452" t="str">
        <f t="shared" si="87"/>
        <v/>
      </c>
      <c r="AI488" s="452" t="str">
        <f t="shared" si="93"/>
        <v/>
      </c>
    </row>
    <row r="489" spans="1:35" ht="11.25" customHeight="1">
      <c r="A489" s="418">
        <v>27</v>
      </c>
      <c r="B489" s="343" t="str">
        <f t="shared" si="77"/>
        <v/>
      </c>
      <c r="C489" s="345" t="str">
        <f t="shared" si="78"/>
        <v/>
      </c>
      <c r="D489" s="160">
        <f t="shared" si="76"/>
        <v>80</v>
      </c>
      <c r="E489" s="106">
        <f t="shared" si="79"/>
        <v>0.4</v>
      </c>
      <c r="F489" s="197" t="str">
        <f t="shared" si="80"/>
        <v/>
      </c>
      <c r="G489" s="176" t="str">
        <f>IF(OR(E489="",F489="",AND(LFMAS="",SFMAS=""),AND(Tables!$P$83="Large",LFMAS="mAs"),AND(Tables!$P$83="Small",SFMAS="mAs")),"",IF($O$331=1,(F489-E489),IF(AND(E489&gt;0,F489&gt;0),(ROUND(100*(F489-E489)/E489,1)),"")))</f>
        <v/>
      </c>
      <c r="H489" s="104" t="str">
        <f t="shared" si="81"/>
        <v>TBD</v>
      </c>
      <c r="I489" s="37"/>
      <c r="J489" s="198"/>
      <c r="K489" s="177" t="str">
        <f t="shared" si="82"/>
        <v/>
      </c>
      <c r="L489" s="465" t="s">
        <v>265</v>
      </c>
      <c r="M489" s="533" t="str">
        <f t="shared" si="83"/>
        <v/>
      </c>
      <c r="N489" s="657" t="str">
        <f t="shared" si="84"/>
        <v/>
      </c>
      <c r="O489" s="659" t="str">
        <f t="shared" si="88"/>
        <v/>
      </c>
      <c r="P489" s="519" t="str">
        <f t="shared" si="94"/>
        <v/>
      </c>
      <c r="Q489" s="516" t="str">
        <f t="shared" si="89"/>
        <v/>
      </c>
      <c r="R489" s="517" t="str">
        <f t="shared" si="85"/>
        <v/>
      </c>
      <c r="S489" s="518" t="str">
        <v/>
      </c>
      <c r="T489" s="37"/>
      <c r="U489" s="520" t="str">
        <f t="shared" si="90"/>
        <v/>
      </c>
      <c r="V489" s="521" t="str">
        <f t="shared" si="91"/>
        <v/>
      </c>
      <c r="W489" s="522" t="str">
        <f t="shared" si="92"/>
        <v/>
      </c>
      <c r="X489" s="455" t="s">
        <v>265</v>
      </c>
      <c r="Y489" s="520" t="str">
        <f t="shared" si="86"/>
        <v/>
      </c>
      <c r="AH489" s="452" t="str">
        <f t="shared" si="87"/>
        <v/>
      </c>
      <c r="AI489" s="452" t="str">
        <f t="shared" si="93"/>
        <v/>
      </c>
    </row>
    <row r="490" spans="1:35" ht="11.25" customHeight="1">
      <c r="A490" s="418">
        <v>28</v>
      </c>
      <c r="B490" s="343" t="str">
        <f t="shared" si="77"/>
        <v/>
      </c>
      <c r="C490" s="344" t="str">
        <f t="shared" si="78"/>
        <v/>
      </c>
      <c r="D490" s="160" t="str">
        <f t="shared" si="76"/>
        <v/>
      </c>
      <c r="E490" s="106" t="str">
        <f t="shared" si="79"/>
        <v/>
      </c>
      <c r="F490" s="197" t="str">
        <f t="shared" si="80"/>
        <v/>
      </c>
      <c r="G490" s="176" t="str">
        <f>IF(OR(E490="",F490="",AND(LFMAS="",SFMAS=""),AND(Tables!$P$83="Large",LFMAS="mAs"),AND(Tables!$P$83="Small",SFMAS="mAs")),"",IF($O$331=1,(F490-E490),IF(AND(E490&gt;0,F490&gt;0),(ROUND(100*(F490-E490)/E490,1)),"")))</f>
        <v/>
      </c>
      <c r="H490" s="104" t="str">
        <f t="shared" si="81"/>
        <v/>
      </c>
      <c r="I490" s="37"/>
      <c r="J490" s="198"/>
      <c r="K490" s="177" t="str">
        <f t="shared" si="82"/>
        <v/>
      </c>
      <c r="L490" s="465" t="s">
        <v>265</v>
      </c>
      <c r="M490" s="533" t="str">
        <f t="shared" si="83"/>
        <v/>
      </c>
      <c r="N490" s="657" t="str">
        <f t="shared" si="84"/>
        <v/>
      </c>
      <c r="O490" s="659" t="str">
        <f t="shared" si="88"/>
        <v/>
      </c>
      <c r="P490" s="519" t="str">
        <f t="shared" si="94"/>
        <v/>
      </c>
      <c r="Q490" s="516" t="str">
        <f t="shared" si="89"/>
        <v/>
      </c>
      <c r="R490" s="517" t="str">
        <f t="shared" si="85"/>
        <v/>
      </c>
      <c r="S490" s="518" t="str">
        <v/>
      </c>
      <c r="T490" s="37"/>
      <c r="U490" s="520" t="str">
        <f t="shared" si="90"/>
        <v/>
      </c>
      <c r="V490" s="521" t="str">
        <f t="shared" si="91"/>
        <v/>
      </c>
      <c r="W490" s="522" t="str">
        <f t="shared" si="92"/>
        <v/>
      </c>
      <c r="X490" s="455" t="s">
        <v>265</v>
      </c>
      <c r="Y490" s="520" t="str">
        <f t="shared" si="86"/>
        <v/>
      </c>
      <c r="AH490" s="452" t="str">
        <f t="shared" si="87"/>
        <v/>
      </c>
      <c r="AI490" s="452" t="str">
        <f t="shared" si="93"/>
        <v/>
      </c>
    </row>
    <row r="491" spans="1:35" ht="11.25" customHeight="1">
      <c r="A491" s="418">
        <v>29</v>
      </c>
      <c r="B491" s="343" t="str">
        <f t="shared" si="77"/>
        <v/>
      </c>
      <c r="C491" s="344" t="str">
        <f t="shared" si="78"/>
        <v/>
      </c>
      <c r="D491" s="160" t="str">
        <f t="shared" si="76"/>
        <v/>
      </c>
      <c r="E491" s="106" t="str">
        <f t="shared" si="79"/>
        <v/>
      </c>
      <c r="F491" s="197" t="str">
        <f t="shared" si="80"/>
        <v/>
      </c>
      <c r="G491" s="176" t="str">
        <f>IF(OR(E491="",F491="",AND(LFMAS="",SFMAS=""),AND(Tables!$P$83="Large",LFMAS="mAs"),AND(Tables!$P$83="Small",SFMAS="mAs")),"",IF($O$331=1,(F491-E491),IF(AND(E491&gt;0,F491&gt;0),(ROUND(100*(F491-E491)/E491,1)),"")))</f>
        <v/>
      </c>
      <c r="H491" s="104" t="str">
        <f t="shared" si="81"/>
        <v/>
      </c>
      <c r="I491" s="37"/>
      <c r="J491" s="198"/>
      <c r="K491" s="177" t="str">
        <f t="shared" si="82"/>
        <v/>
      </c>
      <c r="L491" s="465" t="s">
        <v>265</v>
      </c>
      <c r="M491" s="533" t="str">
        <f t="shared" si="83"/>
        <v/>
      </c>
      <c r="N491" s="657" t="str">
        <f t="shared" si="84"/>
        <v/>
      </c>
      <c r="O491" s="659" t="str">
        <f t="shared" si="88"/>
        <v/>
      </c>
      <c r="P491" s="519" t="str">
        <f t="shared" si="94"/>
        <v/>
      </c>
      <c r="Q491" s="516" t="str">
        <f t="shared" si="89"/>
        <v/>
      </c>
      <c r="R491" s="517" t="str">
        <f t="shared" si="85"/>
        <v/>
      </c>
      <c r="S491" s="518" t="str">
        <v/>
      </c>
      <c r="T491" s="37"/>
      <c r="U491" s="520" t="str">
        <f t="shared" si="90"/>
        <v/>
      </c>
      <c r="V491" s="521" t="str">
        <f t="shared" si="91"/>
        <v/>
      </c>
      <c r="W491" s="522" t="str">
        <f t="shared" si="92"/>
        <v/>
      </c>
      <c r="X491" s="455" t="s">
        <v>265</v>
      </c>
      <c r="Y491" s="520" t="str">
        <f t="shared" si="86"/>
        <v/>
      </c>
      <c r="AH491" s="452" t="str">
        <f t="shared" si="87"/>
        <v/>
      </c>
      <c r="AI491" s="452" t="str">
        <f t="shared" si="93"/>
        <v/>
      </c>
    </row>
    <row r="492" spans="1:35" ht="11.25" customHeight="1" thickBot="1">
      <c r="A492" s="418">
        <v>30</v>
      </c>
      <c r="B492" s="343" t="str">
        <f t="shared" si="77"/>
        <v/>
      </c>
      <c r="C492" s="344" t="str">
        <f t="shared" si="78"/>
        <v/>
      </c>
      <c r="D492" s="160" t="str">
        <f t="shared" si="76"/>
        <v/>
      </c>
      <c r="E492" s="106" t="str">
        <f t="shared" si="79"/>
        <v/>
      </c>
      <c r="F492" s="197" t="str">
        <f t="shared" si="80"/>
        <v/>
      </c>
      <c r="G492" s="176" t="str">
        <f>IF(OR(E492="",F492="",AND(LFMAS="",SFMAS=""),AND(Tables!$P$83="Large",LFMAS="mAs"),AND(Tables!$P$83="Small",SFMAS="mAs")),"",IF($O$331=1,(F492-E492),IF(AND(E492&gt;0,F492&gt;0),(ROUND(100*(F492-E492)/E492,1)),"")))</f>
        <v/>
      </c>
      <c r="H492" s="104" t="str">
        <f t="shared" si="81"/>
        <v/>
      </c>
      <c r="I492" s="37"/>
      <c r="J492" s="198"/>
      <c r="K492" s="177" t="str">
        <f t="shared" si="82"/>
        <v/>
      </c>
      <c r="L492" s="465" t="s">
        <v>265</v>
      </c>
      <c r="M492" s="591" t="str">
        <f t="shared" si="83"/>
        <v/>
      </c>
      <c r="N492" s="660" t="str">
        <f t="shared" si="84"/>
        <v/>
      </c>
      <c r="O492" s="661" t="str">
        <f t="shared" si="88"/>
        <v/>
      </c>
      <c r="P492" s="592" t="str">
        <f t="shared" si="94"/>
        <v/>
      </c>
      <c r="Q492" s="593" t="str">
        <f t="shared" si="89"/>
        <v/>
      </c>
      <c r="R492" s="593" t="str">
        <f t="shared" si="85"/>
        <v/>
      </c>
      <c r="S492" s="594" t="str">
        <v/>
      </c>
      <c r="T492" s="37"/>
      <c r="U492" s="520" t="str">
        <f t="shared" si="90"/>
        <v/>
      </c>
      <c r="V492" s="521" t="str">
        <f t="shared" si="91"/>
        <v/>
      </c>
      <c r="W492" s="522" t="str">
        <f t="shared" si="92"/>
        <v/>
      </c>
      <c r="X492" s="455" t="s">
        <v>265</v>
      </c>
      <c r="Y492" s="520" t="str">
        <f t="shared" si="86"/>
        <v/>
      </c>
      <c r="AH492" s="452" t="str">
        <f t="shared" si="87"/>
        <v/>
      </c>
      <c r="AI492" s="452" t="str">
        <f t="shared" si="93"/>
        <v/>
      </c>
    </row>
    <row r="493" spans="1:35" ht="11.25" customHeight="1" thickBot="1">
      <c r="A493" s="418">
        <v>31</v>
      </c>
      <c r="B493" s="343" t="str">
        <f t="shared" si="77"/>
        <v/>
      </c>
      <c r="C493" s="344" t="str">
        <f t="shared" si="78"/>
        <v/>
      </c>
      <c r="D493" s="160" t="str">
        <f t="shared" si="76"/>
        <v/>
      </c>
      <c r="E493" s="106" t="str">
        <f t="shared" si="79"/>
        <v/>
      </c>
      <c r="F493" s="197" t="str">
        <f t="shared" si="80"/>
        <v/>
      </c>
      <c r="G493" s="176" t="str">
        <f>IF(OR(E493="",F493="",AND(LFMAS="",SFMAS=""),AND(Tables!$P$83="Large",LFMAS="mAs"),AND(Tables!$P$83="Small",SFMAS="mAs")),"",IF($O$331=1,(F493-E493),IF(AND(E493&gt;0,F493&gt;0),(ROUND(100*(F493-E493)/E493,1)),"")))</f>
        <v/>
      </c>
      <c r="H493" s="104" t="str">
        <f t="shared" si="81"/>
        <v/>
      </c>
      <c r="I493" s="37"/>
      <c r="J493" s="198"/>
      <c r="K493" s="177" t="str">
        <f t="shared" si="82"/>
        <v/>
      </c>
      <c r="L493" s="465" t="s">
        <v>265</v>
      </c>
      <c r="M493" s="132" t="s">
        <v>175</v>
      </c>
      <c r="N493" s="1"/>
      <c r="P493" s="562"/>
      <c r="Q493" s="602" t="s">
        <v>491</v>
      </c>
      <c r="R493" s="603" t="s">
        <v>492</v>
      </c>
      <c r="S493" s="604" t="s">
        <v>493</v>
      </c>
      <c r="W493" s="59"/>
      <c r="X493" s="455" t="s">
        <v>265</v>
      </c>
      <c r="AH493" s="452" t="str">
        <f t="shared" ref="AH493:AH498" si="95">W502</f>
        <v/>
      </c>
      <c r="AI493" s="452" t="str">
        <f>Y502</f>
        <v/>
      </c>
    </row>
    <row r="494" spans="1:35" ht="11.25" customHeight="1" thickBot="1">
      <c r="A494" s="418">
        <v>32</v>
      </c>
      <c r="B494" s="54"/>
      <c r="D494" s="37"/>
      <c r="E494" s="37"/>
      <c r="F494" s="37"/>
      <c r="G494" s="37"/>
      <c r="H494" s="37"/>
      <c r="I494" s="37"/>
      <c r="J494" s="37"/>
      <c r="K494" s="57"/>
      <c r="L494" s="465" t="s">
        <v>265</v>
      </c>
      <c r="M494" s="110"/>
      <c r="Q494" s="597" t="str">
        <f>IF(MAX(G668:G675)=0,"NA",MAX(G668:G675))</f>
        <v>NA</v>
      </c>
      <c r="R494" s="598" t="str">
        <f>IF(MAX(G668:G675)=0,"NA",MEDIAN(G668:G675))</f>
        <v>NA</v>
      </c>
      <c r="S494" s="600" t="str">
        <f>IF(MAX(G668:G675)=0,"NA",MIN(G668:G675))</f>
        <v>NA</v>
      </c>
      <c r="U494" s="719" t="s">
        <v>353</v>
      </c>
      <c r="V494" s="124" t="str">
        <f>IF(MIN(N485:N492)=0,"NA",IF(H668="TBD","TBD",IF(OR(H668="NO",H669="NO",H670="NO",H671="NO",H672="NO",H673="NO",H674="NO",H675="NO"),"NO","YES")))</f>
        <v>NA</v>
      </c>
      <c r="W494" s="59"/>
      <c r="X494" s="455" t="s">
        <v>265</v>
      </c>
      <c r="AH494" s="452" t="str">
        <f t="shared" si="95"/>
        <v/>
      </c>
      <c r="AI494" s="452" t="str">
        <f t="shared" ref="AI494:AI498" si="96">Y503</f>
        <v/>
      </c>
    </row>
    <row r="495" spans="1:35" ht="11.25" customHeight="1" thickBot="1">
      <c r="A495" s="418">
        <v>33</v>
      </c>
      <c r="B495" s="54"/>
      <c r="D495" s="37"/>
      <c r="E495" s="37"/>
      <c r="F495" s="37"/>
      <c r="G495" s="37"/>
      <c r="H495" s="37"/>
      <c r="I495" s="37"/>
      <c r="J495" s="198" t="s">
        <v>57</v>
      </c>
      <c r="K495" s="240" t="str">
        <f>IF(AND(K484&gt;0,MIN(K485:K493)&gt;0),AVERAGE(K484:K493),"")</f>
        <v/>
      </c>
      <c r="L495" s="465" t="s">
        <v>265</v>
      </c>
      <c r="M495" s="110"/>
      <c r="O495" s="229"/>
      <c r="P495" s="595" t="s">
        <v>230</v>
      </c>
      <c r="Q495" s="596" t="str">
        <f>IF(AB146="","",AB146)</f>
        <v/>
      </c>
      <c r="R495" s="599" t="str">
        <f>IF(AB147="","",AB147)</f>
        <v/>
      </c>
      <c r="S495" s="601" t="str">
        <f>IF(AB148="","",AB148)</f>
        <v/>
      </c>
      <c r="U495" s="226"/>
      <c r="W495" s="59"/>
      <c r="X495" s="455" t="s">
        <v>265</v>
      </c>
      <c r="AH495" s="452" t="str">
        <f t="shared" si="95"/>
        <v/>
      </c>
      <c r="AI495" s="452" t="str">
        <f t="shared" si="96"/>
        <v/>
      </c>
    </row>
    <row r="496" spans="1:35" ht="11.25" customHeight="1">
      <c r="A496" s="418">
        <v>34</v>
      </c>
      <c r="B496" s="54"/>
      <c r="D496" s="37"/>
      <c r="E496" s="37"/>
      <c r="F496" s="37"/>
      <c r="G496" s="37"/>
      <c r="H496" s="37"/>
      <c r="I496" s="37"/>
      <c r="J496" s="198" t="s">
        <v>58</v>
      </c>
      <c r="K496" s="177" t="str">
        <f>IF(AND(K484&gt;0,MIN(K485:K493)&gt;0),STDEV(K484:K493),"")</f>
        <v/>
      </c>
      <c r="L496" s="465" t="s">
        <v>265</v>
      </c>
      <c r="M496" s="223" t="s">
        <v>176</v>
      </c>
      <c r="N496" s="96"/>
      <c r="O496" s="96"/>
      <c r="P496" s="37"/>
      <c r="S496" s="39" t="s">
        <v>158</v>
      </c>
      <c r="T496" s="37"/>
      <c r="U496" s="39" t="s">
        <v>159</v>
      </c>
      <c r="W496" s="237"/>
      <c r="X496" s="455" t="s">
        <v>265</v>
      </c>
      <c r="Y496" s="524" t="s">
        <v>202</v>
      </c>
      <c r="AH496" s="452" t="str">
        <f t="shared" si="95"/>
        <v/>
      </c>
      <c r="AI496" s="452" t="str">
        <f t="shared" si="96"/>
        <v/>
      </c>
    </row>
    <row r="497" spans="1:35" ht="11.25" customHeight="1">
      <c r="A497" s="418">
        <v>35</v>
      </c>
      <c r="B497" s="54"/>
      <c r="D497" s="37"/>
      <c r="E497" s="37"/>
      <c r="F497" s="37"/>
      <c r="G497" s="37"/>
      <c r="H497" s="37"/>
      <c r="I497" s="37"/>
      <c r="J497" s="198" t="s">
        <v>76</v>
      </c>
      <c r="K497" s="341" t="str">
        <f>IF(OR(K495="",K495=0,K496=""),"TBD",IF(K495&gt;0,K496/K495,"TBD"))</f>
        <v>TBD</v>
      </c>
      <c r="L497" s="465" t="s">
        <v>265</v>
      </c>
      <c r="M497" s="110"/>
      <c r="R497" s="1" t="s">
        <v>160</v>
      </c>
      <c r="S497" s="230" t="s">
        <v>386</v>
      </c>
      <c r="T497" s="37"/>
      <c r="U497" s="230" t="s">
        <v>386</v>
      </c>
      <c r="V497" s="230" t="s">
        <v>159</v>
      </c>
      <c r="W497" s="238" t="s">
        <v>159</v>
      </c>
      <c r="X497" s="455" t="s">
        <v>265</v>
      </c>
      <c r="Y497" s="230" t="s">
        <v>160</v>
      </c>
      <c r="AH497" s="452" t="str">
        <f t="shared" si="95"/>
        <v/>
      </c>
      <c r="AI497" s="452" t="str">
        <f t="shared" si="96"/>
        <v/>
      </c>
    </row>
    <row r="498" spans="1:35" ht="11.25" customHeight="1" thickBot="1">
      <c r="A498" s="418">
        <v>36</v>
      </c>
      <c r="B498" s="54"/>
      <c r="D498" s="37"/>
      <c r="E498" s="37"/>
      <c r="F498" s="37"/>
      <c r="G498" s="37"/>
      <c r="H498" s="37"/>
      <c r="I498" s="37"/>
      <c r="J498" s="37"/>
      <c r="K498" s="57"/>
      <c r="L498" s="465" t="s">
        <v>265</v>
      </c>
      <c r="M498" s="97" t="s">
        <v>161</v>
      </c>
      <c r="N498" s="111"/>
      <c r="O498" s="41"/>
      <c r="P498" s="137" t="s">
        <v>162</v>
      </c>
      <c r="Q498" s="111"/>
      <c r="R498" s="13" t="s">
        <v>513</v>
      </c>
      <c r="S498" s="230" t="s">
        <v>513</v>
      </c>
      <c r="T498" s="37"/>
      <c r="U498" s="230" t="s">
        <v>513</v>
      </c>
      <c r="V498" s="230" t="s">
        <v>163</v>
      </c>
      <c r="W498" s="238" t="s">
        <v>160</v>
      </c>
      <c r="X498" s="455" t="s">
        <v>265</v>
      </c>
      <c r="Y498" s="230" t="s">
        <v>513</v>
      </c>
      <c r="AH498" s="452" t="str">
        <f t="shared" si="95"/>
        <v/>
      </c>
      <c r="AI498" s="452" t="str">
        <f t="shared" si="96"/>
        <v/>
      </c>
    </row>
    <row r="499" spans="1:35" ht="11.25" customHeight="1" thickBot="1">
      <c r="A499" s="418">
        <v>37</v>
      </c>
      <c r="B499" s="54"/>
      <c r="D499" s="37"/>
      <c r="E499" s="37"/>
      <c r="F499" s="37"/>
      <c r="G499" s="123" t="s">
        <v>353</v>
      </c>
      <c r="H499" s="124" t="str">
        <f>IF(M332&lt;&gt;1,"NA",IF(MIN(F484:F493)=0,"TBD",IF(OR(H484="NO",H485="NO",H486="NO",H487="NO",H488="NO",H489="NO",H490="NO",H491="NO",H492="NO",H493="NO"),"NO","YES")))</f>
        <v>NA</v>
      </c>
      <c r="I499" s="37"/>
      <c r="J499" s="210" t="s">
        <v>353</v>
      </c>
      <c r="K499" s="342" t="str">
        <f>IF(M332&lt;&gt;1,"NA",IF(K497="TBD","TBD",IF(K497&gt;=0.05,"NO","YES")))</f>
        <v>NA</v>
      </c>
      <c r="L499" s="465" t="s">
        <v>265</v>
      </c>
      <c r="M499" s="156" t="s">
        <v>165</v>
      </c>
      <c r="N499" s="532" t="str">
        <f>IF(OR(AB130=0,AB130=""),"",AB130)</f>
        <v/>
      </c>
      <c r="O499" s="1"/>
      <c r="P499" s="203" t="str">
        <f>"SDD ("&amp;SFSDD&amp;"):"</f>
        <v>SDD (cm):</v>
      </c>
      <c r="Q499" s="262">
        <f>IF($N$252="","",$N$252)</f>
        <v>100</v>
      </c>
      <c r="R499" s="227" t="s">
        <v>164</v>
      </c>
      <c r="S499" s="231" t="s">
        <v>164</v>
      </c>
      <c r="T499" s="37"/>
      <c r="U499" s="230" t="s">
        <v>166</v>
      </c>
      <c r="V499" s="230" t="s">
        <v>386</v>
      </c>
      <c r="W499" s="238" t="s">
        <v>351</v>
      </c>
      <c r="X499" s="455" t="s">
        <v>265</v>
      </c>
      <c r="Y499" s="230" t="s">
        <v>164</v>
      </c>
    </row>
    <row r="500" spans="1:35" ht="11.25" customHeight="1">
      <c r="A500" s="418">
        <v>38</v>
      </c>
      <c r="B500" s="90" t="s">
        <v>346</v>
      </c>
      <c r="C500" s="560" t="str">
        <f>IF(O359="","",IF(LEN(O359)&lt;=135,O359,IF(LEN(O359)&lt;=260,LEFT(O359,SEARCH(" ",O359,125)),LEFT(O359,SEARCH(" ",O359,130)))))</f>
        <v/>
      </c>
      <c r="D500" s="36"/>
      <c r="E500" s="36"/>
      <c r="F500" s="36"/>
      <c r="G500" s="36"/>
      <c r="H500" s="36"/>
      <c r="I500" s="36"/>
      <c r="J500" s="36"/>
      <c r="K500" s="57"/>
      <c r="L500" s="465" t="s">
        <v>265</v>
      </c>
      <c r="M500" s="110"/>
      <c r="N500" s="1" t="s">
        <v>513</v>
      </c>
      <c r="O500" s="1" t="s">
        <v>513</v>
      </c>
      <c r="P500" s="24"/>
      <c r="Q500" s="12" t="s">
        <v>513</v>
      </c>
      <c r="R500" s="13" t="s">
        <v>298</v>
      </c>
      <c r="S500" s="230" t="s">
        <v>168</v>
      </c>
      <c r="T500" s="37"/>
      <c r="U500" s="230" t="s">
        <v>169</v>
      </c>
      <c r="V500" s="230" t="s">
        <v>170</v>
      </c>
      <c r="W500" s="238" t="s">
        <v>170</v>
      </c>
      <c r="X500" s="455" t="s">
        <v>265</v>
      </c>
      <c r="Y500" s="230" t="s">
        <v>298</v>
      </c>
    </row>
    <row r="501" spans="1:35" ht="11.25" customHeight="1" thickBot="1">
      <c r="A501" s="418">
        <v>39</v>
      </c>
      <c r="B501" s="54"/>
      <c r="C501" s="561" t="str">
        <f>IF(LEN(O359)&lt;=135,"",IF(LEN(O359)&lt;=260,RIGHT(O359,LEN(O359)-SEARCH(" ",O359,125)),MID(O359,SEARCH(" ",O359,130),IF(LEN(O359)&lt;=265,LEN(O359),SEARCH(" ",O359,255)-SEARCH(" ",O359,130)))))</f>
        <v/>
      </c>
      <c r="D501" s="36"/>
      <c r="E501" s="36"/>
      <c r="F501" s="36"/>
      <c r="G501" s="36"/>
      <c r="H501" s="36"/>
      <c r="I501" s="36"/>
      <c r="J501" s="36"/>
      <c r="K501" s="57"/>
      <c r="L501" s="465" t="s">
        <v>265</v>
      </c>
      <c r="M501" s="134" t="s">
        <v>298</v>
      </c>
      <c r="N501" s="26" t="s">
        <v>173</v>
      </c>
      <c r="O501" s="268" t="s">
        <v>171</v>
      </c>
      <c r="P501" s="225" t="s">
        <v>41</v>
      </c>
      <c r="Q501" s="26" t="s">
        <v>173</v>
      </c>
      <c r="R501" s="26" t="s">
        <v>171</v>
      </c>
      <c r="S501" s="232" t="s">
        <v>171</v>
      </c>
      <c r="T501" s="37"/>
      <c r="U501" s="190" t="s">
        <v>514</v>
      </c>
      <c r="V501" s="190" t="s">
        <v>174</v>
      </c>
      <c r="W501" s="239" t="s">
        <v>174</v>
      </c>
      <c r="X501" s="455" t="s">
        <v>265</v>
      </c>
      <c r="Y501" s="190" t="s">
        <v>171</v>
      </c>
    </row>
    <row r="502" spans="1:35" ht="11.25" customHeight="1">
      <c r="A502" s="418">
        <v>40</v>
      </c>
      <c r="B502" s="54"/>
      <c r="C502" s="560" t="str">
        <f>IF(LEN(O359)&lt;=265,"",RIGHT(O359,LEN(O359)-SEARCH(" ",O359,255)))</f>
        <v/>
      </c>
      <c r="D502" s="36"/>
      <c r="E502" s="36"/>
      <c r="F502" s="36"/>
      <c r="G502" s="36"/>
      <c r="H502" s="36"/>
      <c r="I502" s="36"/>
      <c r="J502" s="36"/>
      <c r="K502" s="57"/>
      <c r="L502" s="465" t="s">
        <v>265</v>
      </c>
      <c r="M502" s="533" t="str">
        <f t="shared" ref="M502:M507" si="97">IF(OR(AB132=0,AB132=""),"",AB132)</f>
        <v/>
      </c>
      <c r="N502" s="657" t="str">
        <f t="shared" ref="N502:N507" si="98">IF(OR(AB139=0,AB139=""),"",AB139)</f>
        <v/>
      </c>
      <c r="O502" s="662" t="str">
        <f>IF(OR(M502=0,M502="",N502=0,N502="",$N$499=0,$N$499=""),"",N502*($N$499/40)^2)</f>
        <v/>
      </c>
      <c r="P502" s="663" t="str">
        <f>IF(U252="","",U252)</f>
        <v/>
      </c>
      <c r="Q502" s="516" t="str">
        <f>IF(OR(AND(LFMAS="",SFMAS=""),R252="",R252=0,W252=""),"",IF(SFMAS="mAs",W252/R252,IF(OR(S252="",S252=0),"",W252/(R252*S252))))</f>
        <v/>
      </c>
      <c r="R502" s="517" t="str">
        <f>IF(Q502="","",IF(SFSDD="in.",Q502*($Q$499/40)^2,Q502*(($Q$499/2.54)/40)^2))</f>
        <v/>
      </c>
      <c r="S502" s="520" t="str">
        <f t="array" ref="S502:S507">IF(OR(M502="",M503="",N502="",N503="",P502="",P503="",$N$499=""),"",EXP(TREND(U502:U507,V502:V507,W502:W507)))</f>
        <v/>
      </c>
      <c r="T502" s="37"/>
      <c r="U502" s="520" t="str">
        <f>IF(O502="","",LN(O502))</f>
        <v/>
      </c>
      <c r="V502" s="521" t="str">
        <f>IF(M502="","",LN(M502))</f>
        <v/>
      </c>
      <c r="W502" s="523" t="str">
        <f>IF(P502="","",LN(P502))</f>
        <v/>
      </c>
      <c r="X502" s="455" t="s">
        <v>265</v>
      </c>
      <c r="Y502" s="520" t="str">
        <f t="shared" ref="Y502:Y507" si="99">IF(R502="","",LN(R502))</f>
        <v/>
      </c>
    </row>
    <row r="503" spans="1:35" ht="11.25" customHeight="1">
      <c r="A503" s="418">
        <v>41</v>
      </c>
      <c r="B503" s="54"/>
      <c r="C503" s="560" t="str">
        <f>IF(O362="","",IF(LEN(O362)&lt;=135,O362,IF(LEN(O362)&lt;=260,LEFT(O362,SEARCH(" ",O362,125)),LEFT(O362,SEARCH(" ",O362,130)))))</f>
        <v/>
      </c>
      <c r="D503" s="36"/>
      <c r="E503" s="36"/>
      <c r="F503" s="36"/>
      <c r="G503" s="36"/>
      <c r="H503" s="36"/>
      <c r="I503" s="36"/>
      <c r="J503" s="36"/>
      <c r="K503" s="57"/>
      <c r="L503" s="465" t="s">
        <v>265</v>
      </c>
      <c r="M503" s="533" t="str">
        <f t="shared" si="97"/>
        <v/>
      </c>
      <c r="N503" s="657" t="str">
        <f t="shared" si="98"/>
        <v/>
      </c>
      <c r="O503" s="659" t="str">
        <f>IF(OR(M503=0,M503="",N503=0,N503="",$N$499=0,$N$499=""),O502,N503*($N$499/40)^2)</f>
        <v/>
      </c>
      <c r="P503" s="664" t="str">
        <f>IF(U253="",P502,U253)</f>
        <v/>
      </c>
      <c r="Q503" s="516" t="str">
        <f>IF(OR(AND(LFMAS="",SFMAS=""),R253="",R253=0,W253=""),Q502,IF(SFMAS="mAs",W253/R253,IF(OR(S253="",S253=0),"",W253/(R253*S253))))</f>
        <v/>
      </c>
      <c r="R503" s="517" t="str">
        <f>IF(Q503="",R502,IF(SFSDD="in.",Q503*($Q$499/40)^2,Q503*(($Q$499/2.54)/40)^2))</f>
        <v/>
      </c>
      <c r="S503" s="520" t="str">
        <v/>
      </c>
      <c r="T503" s="37"/>
      <c r="U503" s="520" t="str">
        <f>IF(O503="",U502,LN(O503))</f>
        <v/>
      </c>
      <c r="V503" s="521" t="str">
        <f>IF(M503="",V502,LN(M503))</f>
        <v/>
      </c>
      <c r="W503" s="523" t="str">
        <f>IF(P503="",W502,LN(P503))</f>
        <v/>
      </c>
      <c r="X503" s="455" t="s">
        <v>265</v>
      </c>
      <c r="Y503" s="520" t="str">
        <f t="shared" si="99"/>
        <v/>
      </c>
    </row>
    <row r="504" spans="1:35" ht="11.25" customHeight="1">
      <c r="A504" s="418">
        <v>42</v>
      </c>
      <c r="B504" s="54"/>
      <c r="C504" s="561" t="str">
        <f>IF(LEN(O362)&lt;=135,"",IF(LEN(O362)&lt;=260,RIGHT(O362,LEN(O362)-SEARCH(" ",O362,125)),MID(O362,SEARCH(" ",O362,130),IF(LEN(O362)&lt;=265,LEN(O362),SEARCH(" ",O362,255)-SEARCH(" ",O362,130)))))</f>
        <v/>
      </c>
      <c r="D504" s="36"/>
      <c r="E504" s="36"/>
      <c r="F504" s="36"/>
      <c r="G504" s="36"/>
      <c r="H504" s="36"/>
      <c r="I504" s="36"/>
      <c r="J504" s="36"/>
      <c r="K504" s="57"/>
      <c r="L504" s="465" t="s">
        <v>265</v>
      </c>
      <c r="M504" s="533" t="str">
        <f t="shared" si="97"/>
        <v/>
      </c>
      <c r="N504" s="657" t="str">
        <f t="shared" si="98"/>
        <v/>
      </c>
      <c r="O504" s="659" t="str">
        <f>IF(OR(M504=0,M504="",N504=0,N504="",$N$499=0,$N$499=""),O503,N504*($N$499/40)^2)</f>
        <v/>
      </c>
      <c r="P504" s="664" t="str">
        <f t="shared" ref="P504:P507" si="100">IF(U254="",P503,U254)</f>
        <v/>
      </c>
      <c r="Q504" s="516" t="str">
        <f>IF(OR(AND(LFMAS="",SFMAS=""),R254="",R254=0,W254=""),Q503,IF(SFMAS="mAs",W254/R254,IF(OR(S254="",S254=0),"",W254/(R254*S254))))</f>
        <v/>
      </c>
      <c r="R504" s="517" t="str">
        <f>IF(Q504="",R503,IF(SFSDD="in.",Q504*($Q$499/40)^2,Q504*(($Q$499/2.54)/40)^2))</f>
        <v/>
      </c>
      <c r="S504" s="520" t="str">
        <v/>
      </c>
      <c r="T504" s="37"/>
      <c r="U504" s="520" t="str">
        <f>IF(O504="",U503,LN(O504))</f>
        <v/>
      </c>
      <c r="V504" s="521" t="str">
        <f>IF(M504="",V503,LN(M504))</f>
        <v/>
      </c>
      <c r="W504" s="523" t="str">
        <f>IF(P504="",W503,LN(P504))</f>
        <v/>
      </c>
      <c r="X504" s="455" t="s">
        <v>265</v>
      </c>
      <c r="Y504" s="520" t="str">
        <f t="shared" si="99"/>
        <v/>
      </c>
    </row>
    <row r="505" spans="1:35" ht="11.25" customHeight="1">
      <c r="A505" s="418">
        <v>43</v>
      </c>
      <c r="B505" s="54"/>
      <c r="C505" s="560" t="str">
        <f>IF(LEN(O362)&lt;=265,"",RIGHT(O362,LEN(O362)-SEARCH(" ",O362,255)))</f>
        <v/>
      </c>
      <c r="D505" s="36"/>
      <c r="E505" s="36"/>
      <c r="F505" s="36"/>
      <c r="G505" s="36"/>
      <c r="H505" s="36"/>
      <c r="I505" s="36"/>
      <c r="J505" s="36"/>
      <c r="K505" s="57"/>
      <c r="L505" s="465" t="s">
        <v>265</v>
      </c>
      <c r="M505" s="533" t="str">
        <f t="shared" si="97"/>
        <v/>
      </c>
      <c r="N505" s="657" t="str">
        <f t="shared" si="98"/>
        <v/>
      </c>
      <c r="O505" s="659" t="str">
        <f>IF(OR(M505=0,M505="",N505=0,N505="",$N$499=0,$N$499=""),O504,N505*($N$499/40)^2)</f>
        <v/>
      </c>
      <c r="P505" s="664" t="str">
        <f t="shared" si="100"/>
        <v/>
      </c>
      <c r="Q505" s="516" t="str">
        <f>IF(OR(AND(LFMAS="",SFMAS=""),R255="",R255=0,W255=""),Q504,IF(SFMAS="mAs",W255/R255,IF(OR(S255="",S255=0),"",W255/(R255*S255))))</f>
        <v/>
      </c>
      <c r="R505" s="517" t="str">
        <f>IF(Q505="",R504,IF(SFSDD="in.",Q505*($Q$499/40)^2,Q505*(($Q$499/2.54)/40)^2))</f>
        <v/>
      </c>
      <c r="S505" s="520" t="str">
        <v/>
      </c>
      <c r="T505" s="37"/>
      <c r="U505" s="520" t="str">
        <f>IF(O505="",U504,LN(O505))</f>
        <v/>
      </c>
      <c r="V505" s="521" t="str">
        <f>IF(M505="",V504,LN(M505))</f>
        <v/>
      </c>
      <c r="W505" s="523" t="str">
        <f>IF(P505="",W504,LN(P505))</f>
        <v/>
      </c>
      <c r="X505" s="455" t="s">
        <v>265</v>
      </c>
      <c r="Y505" s="520" t="str">
        <f t="shared" si="99"/>
        <v/>
      </c>
    </row>
    <row r="506" spans="1:35" ht="11.25" customHeight="1">
      <c r="A506" s="418">
        <v>44</v>
      </c>
      <c r="B506" s="110"/>
      <c r="K506" s="57"/>
      <c r="L506" s="465" t="s">
        <v>265</v>
      </c>
      <c r="M506" s="533" t="str">
        <f t="shared" si="97"/>
        <v/>
      </c>
      <c r="N506" s="657" t="str">
        <f t="shared" si="98"/>
        <v/>
      </c>
      <c r="O506" s="659" t="str">
        <f>IF(OR(M506=0,M506="",N506=0,N506="",$N$499=0,$N$499=""),O505,N506*($N$499/40)^2)</f>
        <v/>
      </c>
      <c r="P506" s="664" t="str">
        <f t="shared" si="100"/>
        <v/>
      </c>
      <c r="Q506" s="516" t="str">
        <f>IF(OR(AND(LFMAS="",SFMAS=""),R256="",R256=0,W256=""),Q505,IF(SFMAS="mAs",W256/R256,IF(OR(S256="",S256=0),"",W256/(R256*S256))))</f>
        <v/>
      </c>
      <c r="R506" s="517" t="str">
        <f>IF(Q506="",R505,IF(SFSDD="in.",Q506*($Q$499/40)^2,Q506*(($Q$499/2.54)/40)^2))</f>
        <v/>
      </c>
      <c r="S506" s="520" t="str">
        <v/>
      </c>
      <c r="T506" s="37"/>
      <c r="U506" s="520" t="str">
        <f>IF(O506="",U505,LN(O506))</f>
        <v/>
      </c>
      <c r="V506" s="521" t="str">
        <f>IF(M506="",V505,LN(M506))</f>
        <v/>
      </c>
      <c r="W506" s="523" t="str">
        <f>IF(P506="",W505,LN(P506))</f>
        <v/>
      </c>
      <c r="X506" s="455" t="s">
        <v>265</v>
      </c>
      <c r="Y506" s="520" t="str">
        <f t="shared" si="99"/>
        <v/>
      </c>
    </row>
    <row r="507" spans="1:35" ht="11.25" customHeight="1" thickBot="1">
      <c r="A507" s="418">
        <v>45</v>
      </c>
      <c r="B507" s="54"/>
      <c r="C507" s="256" t="s">
        <v>78</v>
      </c>
      <c r="D507" s="37"/>
      <c r="E507" s="37"/>
      <c r="F507" s="37"/>
      <c r="G507" s="37"/>
      <c r="H507" s="37"/>
      <c r="I507" s="37"/>
      <c r="J507" s="37"/>
      <c r="K507" s="57"/>
      <c r="L507" s="465" t="s">
        <v>265</v>
      </c>
      <c r="M507" s="533" t="str">
        <f t="shared" si="97"/>
        <v/>
      </c>
      <c r="N507" s="657" t="str">
        <f t="shared" si="98"/>
        <v/>
      </c>
      <c r="O507" s="659" t="str">
        <f>IF(OR(M507=0,M507="",N507=0,N507="",$N$499=0,$N$499=""),O506,N507*($N$499/40)^2)</f>
        <v/>
      </c>
      <c r="P507" s="665" t="str">
        <f t="shared" si="100"/>
        <v/>
      </c>
      <c r="Q507" s="587" t="str">
        <f>IF(OR(AND(LFMAS="",SFMAS=""),R257="",R257=0,W257=""),Q506,IF(SFMAS="mAs",W257/R257,IF(OR(S257="",S257=0),"",W257/(R257*S257))))</f>
        <v/>
      </c>
      <c r="R507" s="588" t="str">
        <f>IF(Q507="",R506,IF(SFSDD="in.",Q507*($Q$499/40)^2,Q507*(($Q$499/2.54)/40)^2))</f>
        <v/>
      </c>
      <c r="S507" s="590" t="str">
        <v/>
      </c>
      <c r="T507" s="37"/>
      <c r="U507" s="520" t="str">
        <f>IF(O507="",U506,LN(O507))</f>
        <v/>
      </c>
      <c r="V507" s="521" t="str">
        <f>IF(M507="",V506,LN(M507))</f>
        <v/>
      </c>
      <c r="W507" s="523" t="str">
        <f>IF(P507="",W506,LN(P507))</f>
        <v/>
      </c>
      <c r="X507" s="455" t="s">
        <v>265</v>
      </c>
      <c r="Y507" s="520" t="str">
        <f t="shared" si="99"/>
        <v/>
      </c>
    </row>
    <row r="508" spans="1:35" ht="11.25" customHeight="1" thickBot="1">
      <c r="A508" s="418">
        <v>46</v>
      </c>
      <c r="B508" s="110"/>
      <c r="C508" s="37" t="s">
        <v>293</v>
      </c>
      <c r="D508" s="37"/>
      <c r="E508" s="37"/>
      <c r="F508" s="37"/>
      <c r="G508" s="37" t="s">
        <v>293</v>
      </c>
      <c r="H508" s="37"/>
      <c r="I508" s="37"/>
      <c r="K508" s="57"/>
      <c r="L508" s="465" t="s">
        <v>265</v>
      </c>
      <c r="M508" s="132" t="s">
        <v>175</v>
      </c>
      <c r="P508" s="562"/>
      <c r="Q508" s="602" t="s">
        <v>491</v>
      </c>
      <c r="R508" s="603" t="s">
        <v>492</v>
      </c>
      <c r="S508" s="604" t="s">
        <v>493</v>
      </c>
      <c r="W508" s="57"/>
      <c r="X508" s="455" t="s">
        <v>265</v>
      </c>
    </row>
    <row r="509" spans="1:35" ht="11.25" customHeight="1" thickBot="1">
      <c r="A509" s="418">
        <v>47</v>
      </c>
      <c r="B509" s="110"/>
      <c r="C509" s="36" t="s">
        <v>79</v>
      </c>
      <c r="D509" s="160" t="s">
        <v>80</v>
      </c>
      <c r="E509" s="160" t="s">
        <v>81</v>
      </c>
      <c r="F509" s="37"/>
      <c r="G509" s="36" t="s">
        <v>79</v>
      </c>
      <c r="H509" s="160" t="s">
        <v>355</v>
      </c>
      <c r="I509" s="160" t="s">
        <v>81</v>
      </c>
      <c r="J509" s="37"/>
      <c r="K509" s="57"/>
      <c r="L509" s="465" t="s">
        <v>265</v>
      </c>
      <c r="M509" s="110"/>
      <c r="Q509" s="597" t="str">
        <f>IF(MAX(G681:G686)=0,"NA",MAX(G681:G686))</f>
        <v>NA</v>
      </c>
      <c r="R509" s="598" t="str">
        <f>IF(MAX(G681:G686)=0,"NA",MEDIAN(G681:G686))</f>
        <v>NA</v>
      </c>
      <c r="S509" s="600" t="str">
        <f>IF(MAX(G681:G686)=0,"NA",MIN(G681:G686))</f>
        <v>NA</v>
      </c>
      <c r="U509" s="719" t="s">
        <v>353</v>
      </c>
      <c r="V509" s="124" t="str">
        <f>IF(MIN(N502:N507)=0,"NA",IF(H681="TBD","TBD",IF(OR(H681="NO",H682="NO",H683="NO",H684="NO",H685="NO",H686="NO"),"NO","YES")))</f>
        <v>NA</v>
      </c>
      <c r="W509" s="59"/>
      <c r="X509" s="455" t="s">
        <v>265</v>
      </c>
    </row>
    <row r="510" spans="1:35" ht="11.25" customHeight="1" thickBot="1">
      <c r="A510" s="418">
        <v>48</v>
      </c>
      <c r="B510" s="73"/>
      <c r="C510" s="37" t="s">
        <v>82</v>
      </c>
      <c r="D510" s="161" t="s">
        <v>498</v>
      </c>
      <c r="E510" s="169">
        <v>0</v>
      </c>
      <c r="F510" s="38" t="s">
        <v>83</v>
      </c>
      <c r="G510" s="37" t="s">
        <v>84</v>
      </c>
      <c r="H510" s="161" t="s">
        <v>85</v>
      </c>
      <c r="I510" s="170">
        <v>0.15</v>
      </c>
      <c r="J510" s="37"/>
      <c r="K510" s="57"/>
      <c r="L510" s="465" t="s">
        <v>265</v>
      </c>
      <c r="M510" s="110"/>
      <c r="N510" s="42"/>
      <c r="O510" s="589" t="str">
        <f>IF(AND(O243="",O259=""),"",IF(AND(O243&lt;&gt;"",O259=""),"Lg. F:  "&amp;O243,IF(AND(O243="",O259&lt;&gt;""),"Sm. F:  "&amp;O259,"Lg. F:  "&amp;O243&amp;";  Sm. F:  "&amp;O259)))</f>
        <v/>
      </c>
      <c r="P510" s="595" t="s">
        <v>230</v>
      </c>
      <c r="Q510" s="596" t="str">
        <f>IF(AB149="","",AB149)</f>
        <v/>
      </c>
      <c r="R510" s="599" t="str">
        <f>IF(AB150="","",AB150)</f>
        <v/>
      </c>
      <c r="S510" s="601" t="str">
        <f>IF(AB151="","",AB151)</f>
        <v/>
      </c>
      <c r="T510" s="1"/>
      <c r="U510" s="1"/>
      <c r="V510" s="1"/>
      <c r="W510" s="32"/>
      <c r="X510" s="455" t="s">
        <v>265</v>
      </c>
    </row>
    <row r="511" spans="1:35" ht="11.25" customHeight="1">
      <c r="A511" s="418">
        <v>49</v>
      </c>
      <c r="B511" s="54"/>
      <c r="C511" s="37"/>
      <c r="D511" s="161" t="s">
        <v>499</v>
      </c>
      <c r="E511" s="169">
        <v>1</v>
      </c>
      <c r="F511" s="38" t="s">
        <v>83</v>
      </c>
      <c r="G511" s="37"/>
      <c r="H511" s="171" t="s">
        <v>86</v>
      </c>
      <c r="I511" s="170">
        <v>0.1</v>
      </c>
      <c r="J511" s="37"/>
      <c r="K511" s="57"/>
      <c r="L511" s="465" t="s">
        <v>265</v>
      </c>
      <c r="M511" s="73"/>
      <c r="N511" s="3"/>
      <c r="O511" s="3"/>
      <c r="P511" s="3"/>
      <c r="S511" s="3"/>
      <c r="T511" s="3"/>
      <c r="U511" s="3"/>
      <c r="V511" s="3"/>
      <c r="W511" s="267"/>
      <c r="X511" s="455" t="s">
        <v>265</v>
      </c>
    </row>
    <row r="512" spans="1:35" ht="11.25" customHeight="1">
      <c r="A512" s="418">
        <v>50</v>
      </c>
      <c r="B512" s="54"/>
      <c r="C512" s="37"/>
      <c r="D512" s="161" t="s">
        <v>496</v>
      </c>
      <c r="E512" s="169">
        <v>2</v>
      </c>
      <c r="F512" s="38" t="s">
        <v>83</v>
      </c>
      <c r="G512" s="37"/>
      <c r="H512" s="161" t="s">
        <v>87</v>
      </c>
      <c r="I512" s="170">
        <v>0.05</v>
      </c>
      <c r="J512" s="37"/>
      <c r="K512" s="57"/>
      <c r="L512" s="465" t="s">
        <v>265</v>
      </c>
      <c r="M512" s="154" t="s">
        <v>270</v>
      </c>
      <c r="W512" s="59"/>
      <c r="X512" s="455" t="s">
        <v>265</v>
      </c>
    </row>
    <row r="513" spans="1:31" ht="11.25" customHeight="1">
      <c r="A513" s="418">
        <v>51</v>
      </c>
      <c r="B513" s="54"/>
      <c r="C513" s="36"/>
      <c r="D513" s="160" t="s">
        <v>497</v>
      </c>
      <c r="E513" s="159">
        <v>3</v>
      </c>
      <c r="F513" s="38" t="s">
        <v>83</v>
      </c>
      <c r="G513" s="63" t="s">
        <v>88</v>
      </c>
      <c r="H513" s="173" t="s">
        <v>85</v>
      </c>
      <c r="I513" s="174">
        <v>0.2</v>
      </c>
      <c r="J513" s="37"/>
      <c r="K513" s="57"/>
      <c r="L513" s="465" t="s">
        <v>265</v>
      </c>
      <c r="M513" s="54"/>
      <c r="Q513" s="87" t="s">
        <v>304</v>
      </c>
      <c r="W513" s="59"/>
      <c r="X513" s="455" t="s">
        <v>265</v>
      </c>
    </row>
    <row r="514" spans="1:31" ht="11.25" customHeight="1">
      <c r="A514" s="418">
        <v>52</v>
      </c>
      <c r="B514" s="54"/>
      <c r="C514" s="37" t="s">
        <v>89</v>
      </c>
      <c r="D514" s="161" t="s">
        <v>85</v>
      </c>
      <c r="E514" s="170">
        <v>0.25</v>
      </c>
      <c r="F514" s="37"/>
      <c r="G514" s="37"/>
      <c r="H514" s="171" t="s">
        <v>86</v>
      </c>
      <c r="I514" s="170">
        <v>0.15</v>
      </c>
      <c r="J514" s="37"/>
      <c r="K514" s="57"/>
      <c r="L514" s="465" t="s">
        <v>265</v>
      </c>
      <c r="M514" s="423"/>
      <c r="N514" s="38"/>
      <c r="O514" s="38" t="s">
        <v>177</v>
      </c>
      <c r="P514" s="38"/>
      <c r="Q514" s="38"/>
      <c r="R514" s="38"/>
      <c r="S514" s="38"/>
      <c r="T514" s="38"/>
      <c r="U514" s="37"/>
      <c r="V514" s="37"/>
      <c r="W514" s="59"/>
      <c r="X514" s="455" t="s">
        <v>265</v>
      </c>
    </row>
    <row r="515" spans="1:31" ht="11.25" customHeight="1">
      <c r="A515" s="418">
        <v>53</v>
      </c>
      <c r="B515" s="54"/>
      <c r="C515" s="37"/>
      <c r="D515" s="171" t="s">
        <v>90</v>
      </c>
      <c r="E515" s="170">
        <v>0.2</v>
      </c>
      <c r="F515" s="37"/>
      <c r="G515" s="37"/>
      <c r="H515" s="171" t="s">
        <v>91</v>
      </c>
      <c r="I515" s="170">
        <v>0.1</v>
      </c>
      <c r="J515" s="37"/>
      <c r="K515" s="57"/>
      <c r="L515" s="465" t="s">
        <v>265</v>
      </c>
      <c r="M515" s="423">
        <v>3</v>
      </c>
      <c r="O515" s="38" t="s">
        <v>500</v>
      </c>
      <c r="W515" s="59"/>
      <c r="X515" s="455" t="s">
        <v>265</v>
      </c>
    </row>
    <row r="516" spans="1:31" ht="11.25" customHeight="1">
      <c r="A516" s="418">
        <v>54</v>
      </c>
      <c r="B516" s="54"/>
      <c r="C516" s="37"/>
      <c r="D516" s="171" t="s">
        <v>92</v>
      </c>
      <c r="E516" s="170">
        <v>0.15</v>
      </c>
      <c r="F516" s="37"/>
      <c r="G516" s="37"/>
      <c r="H516" s="161" t="s">
        <v>93</v>
      </c>
      <c r="I516" s="170">
        <v>0.05</v>
      </c>
      <c r="J516" s="37"/>
      <c r="K516" s="57"/>
      <c r="L516" s="465" t="s">
        <v>265</v>
      </c>
      <c r="M516" s="423">
        <v>3</v>
      </c>
      <c r="O516" s="38" t="s">
        <v>501</v>
      </c>
      <c r="W516" s="59"/>
      <c r="X516" s="455" t="s">
        <v>265</v>
      </c>
    </row>
    <row r="517" spans="1:31" ht="11.25" customHeight="1">
      <c r="A517" s="418">
        <v>55</v>
      </c>
      <c r="B517" s="54"/>
      <c r="C517" s="37"/>
      <c r="D517" s="171" t="s">
        <v>94</v>
      </c>
      <c r="E517" s="170">
        <v>0.1</v>
      </c>
      <c r="F517" s="37"/>
      <c r="G517" s="37"/>
      <c r="H517" s="37"/>
      <c r="I517" s="37"/>
      <c r="J517" s="37"/>
      <c r="K517" s="57"/>
      <c r="L517" s="465" t="s">
        <v>265</v>
      </c>
      <c r="M517" s="423">
        <v>3</v>
      </c>
      <c r="O517" s="38" t="s">
        <v>502</v>
      </c>
      <c r="W517" s="59"/>
      <c r="X517" s="455" t="s">
        <v>265</v>
      </c>
    </row>
    <row r="518" spans="1:31" ht="11.25" customHeight="1" thickBot="1">
      <c r="A518" s="418">
        <v>56</v>
      </c>
      <c r="B518" s="54"/>
      <c r="C518" s="37"/>
      <c r="D518" s="161" t="s">
        <v>93</v>
      </c>
      <c r="E518" s="170">
        <v>0.05</v>
      </c>
      <c r="F518" s="37"/>
      <c r="G518" s="37"/>
      <c r="H518" s="37"/>
      <c r="I518" s="37"/>
      <c r="J518" s="37"/>
      <c r="K518" s="57"/>
      <c r="L518" s="465" t="s">
        <v>265</v>
      </c>
      <c r="M518" s="423"/>
      <c r="N518" s="38"/>
      <c r="O518" s="38" t="s">
        <v>306</v>
      </c>
      <c r="P518" s="37"/>
      <c r="Q518" s="37"/>
      <c r="R518" s="37"/>
      <c r="S518" s="37"/>
      <c r="T518" s="37"/>
      <c r="U518" s="37"/>
      <c r="V518" s="495" t="s">
        <v>201</v>
      </c>
      <c r="W518" s="59"/>
      <c r="X518" s="455" t="s">
        <v>265</v>
      </c>
      <c r="AA518" s="335"/>
      <c r="AB518" s="330"/>
      <c r="AC518" s="377" t="str">
        <f t="shared" ref="AC518" si="101">IF(AND(OR(AB518="",AB518=0),OR(AD518="",AD518=0)),"",IF(AB518&lt;&gt;AD518,"Change",""))</f>
        <v/>
      </c>
      <c r="AD518" s="399"/>
      <c r="AE518" s="400"/>
    </row>
    <row r="519" spans="1:31" ht="11.25" customHeight="1">
      <c r="A519" s="418">
        <v>57</v>
      </c>
      <c r="B519" s="54"/>
      <c r="C519" s="37" t="s">
        <v>95</v>
      </c>
      <c r="D519" s="161" t="s">
        <v>96</v>
      </c>
      <c r="E519" s="373" t="s">
        <v>98</v>
      </c>
      <c r="F519" s="38" t="s">
        <v>83</v>
      </c>
      <c r="J519" s="37"/>
      <c r="K519" s="57"/>
      <c r="L519" s="465" t="s">
        <v>265</v>
      </c>
      <c r="M519" s="423"/>
      <c r="O519" s="38" t="s">
        <v>178</v>
      </c>
      <c r="V519" s="494"/>
      <c r="W519" s="58" t="str">
        <f>IF(Q52=1,"","Half")</f>
        <v>Half</v>
      </c>
      <c r="X519" s="455" t="s">
        <v>265</v>
      </c>
      <c r="AE519"/>
    </row>
    <row r="520" spans="1:31" ht="11.25" customHeight="1">
      <c r="A520" s="418">
        <v>58</v>
      </c>
      <c r="B520" s="54"/>
      <c r="C520" s="36"/>
      <c r="D520" s="160" t="s">
        <v>96</v>
      </c>
      <c r="E520" s="372" t="s">
        <v>101</v>
      </c>
      <c r="F520" s="37"/>
      <c r="J520" s="37"/>
      <c r="K520" s="57"/>
      <c r="L520" s="465" t="s">
        <v>265</v>
      </c>
      <c r="M520" s="423">
        <v>3</v>
      </c>
      <c r="O520" s="38" t="str">
        <f>IF(M53=1,"","Lead apron available")</f>
        <v>Lead apron available</v>
      </c>
      <c r="Q520" s="42" t="str">
        <f>IF(M53=1,"","Number:")</f>
        <v>Number:</v>
      </c>
      <c r="R520" s="526">
        <f>IF(V519&lt;&gt;"",V519,AB241)</f>
        <v>0</v>
      </c>
      <c r="S520" s="38" t="str">
        <f>IF(M53=1,"","Half")</f>
        <v>Half</v>
      </c>
      <c r="T520" s="526">
        <f>IF(V520&lt;&gt;"",V520,AB242)</f>
        <v>0</v>
      </c>
      <c r="U520" s="38" t="str">
        <f>IF(M53=1,"","Full     ")</f>
        <v xml:space="preserve">Full     </v>
      </c>
      <c r="V520" s="480"/>
      <c r="W520" s="58" t="str">
        <f>IF(O53=1,"","Full     ")</f>
        <v xml:space="preserve">Full     </v>
      </c>
      <c r="X520" s="455" t="s">
        <v>265</v>
      </c>
      <c r="AE520"/>
    </row>
    <row r="521" spans="1:31" ht="11.25" customHeight="1" thickBot="1">
      <c r="A521" s="418">
        <v>59</v>
      </c>
      <c r="B521" s="60"/>
      <c r="C521" s="61"/>
      <c r="D521" s="61"/>
      <c r="E521" s="61"/>
      <c r="F521" s="61"/>
      <c r="G521" s="61"/>
      <c r="H521" s="61"/>
      <c r="I521" s="61"/>
      <c r="J521" s="61"/>
      <c r="K521" s="62"/>
      <c r="L521" s="465" t="s">
        <v>265</v>
      </c>
      <c r="M521" s="423">
        <v>3</v>
      </c>
      <c r="O521" s="38" t="str">
        <f>IF(M53=1,"","Lead gloves available.")</f>
        <v>Lead gloves available.</v>
      </c>
      <c r="Q521" s="42" t="str">
        <f>IF(M53=1,"","Number:")</f>
        <v>Number:</v>
      </c>
      <c r="R521" s="526">
        <f>IF(V521&lt;&gt;"",V521,AB243)</f>
        <v>0</v>
      </c>
      <c r="S521" s="38" t="str">
        <f>IF(M53=1,"","(Left + Right)")</f>
        <v>(Left + Right)</v>
      </c>
      <c r="U521" s="38"/>
      <c r="V521" s="480"/>
      <c r="W521" s="58" t="str">
        <f>IF(Q53=1,"","(Left + Right)")</f>
        <v>(Left + Right)</v>
      </c>
      <c r="X521" s="455" t="s">
        <v>265</v>
      </c>
      <c r="AE521"/>
    </row>
    <row r="522" spans="1:31" ht="11.25" customHeight="1" thickTop="1">
      <c r="A522" s="418">
        <v>60</v>
      </c>
      <c r="L522" s="465" t="s">
        <v>265</v>
      </c>
      <c r="M522" s="423">
        <v>3</v>
      </c>
      <c r="N522" s="37"/>
      <c r="O522" s="38" t="str">
        <f>IF(M53=1,"","A properly designed and installed apron rack is present.")</f>
        <v>A properly designed and installed apron rack is present.</v>
      </c>
      <c r="P522" s="37"/>
      <c r="Q522" s="37"/>
      <c r="R522" s="37"/>
      <c r="S522" s="37"/>
      <c r="T522" s="37"/>
      <c r="U522" s="37"/>
      <c r="V522" s="37"/>
      <c r="W522" s="57"/>
      <c r="X522" s="455" t="s">
        <v>265</v>
      </c>
      <c r="AE522"/>
    </row>
    <row r="523" spans="1:31" ht="11.25" customHeight="1">
      <c r="A523" s="418">
        <v>61</v>
      </c>
      <c r="L523" s="465" t="s">
        <v>265</v>
      </c>
      <c r="M523" s="423">
        <v>3</v>
      </c>
      <c r="O523" s="38" t="str">
        <f>IF(M53=1,"","Documentation of annual protective apparel integrity inspection is available.")</f>
        <v>Documentation of annual protective apparel integrity inspection is available.</v>
      </c>
      <c r="W523" s="59"/>
      <c r="X523" s="455" t="s">
        <v>265</v>
      </c>
      <c r="AE523"/>
    </row>
    <row r="524" spans="1:31" ht="11.25" customHeight="1">
      <c r="A524" s="418">
        <v>62</v>
      </c>
      <c r="B524" s="37"/>
      <c r="C524" s="37"/>
      <c r="D524" s="37"/>
      <c r="E524" s="37"/>
      <c r="F524" s="37"/>
      <c r="G524" s="37"/>
      <c r="H524" s="37"/>
      <c r="I524" s="37"/>
      <c r="J524" s="37"/>
      <c r="K524" s="37"/>
      <c r="L524" s="465" t="s">
        <v>265</v>
      </c>
      <c r="M524" s="423"/>
      <c r="O524" s="38" t="str">
        <f>IF(M53=1,"","Patient restraint devices available.")</f>
        <v>Patient restraint devices available.</v>
      </c>
      <c r="Q524" s="37"/>
      <c r="R524" s="42"/>
      <c r="S524" s="37"/>
      <c r="V524" s="37"/>
      <c r="W524" s="57"/>
      <c r="X524" s="455" t="s">
        <v>265</v>
      </c>
      <c r="AE524"/>
    </row>
    <row r="525" spans="1:31" ht="11.25" customHeight="1">
      <c r="A525" s="418">
        <v>63</v>
      </c>
      <c r="B525" s="37"/>
      <c r="C525" s="37"/>
      <c r="D525" s="37"/>
      <c r="E525" s="37"/>
      <c r="F525" s="37"/>
      <c r="G525" s="37"/>
      <c r="H525" s="37"/>
      <c r="I525" s="37"/>
      <c r="J525" s="37"/>
      <c r="K525" s="37"/>
      <c r="L525" s="465" t="s">
        <v>265</v>
      </c>
      <c r="M525" s="423">
        <v>3</v>
      </c>
      <c r="N525" s="38"/>
      <c r="O525" s="38" t="str">
        <f>IF(M53=1,"","Gonadal shielding is present and functional.")</f>
        <v>Gonadal shielding is present and functional.</v>
      </c>
      <c r="P525" s="37"/>
      <c r="Q525" s="37"/>
      <c r="R525" s="37"/>
      <c r="S525" s="37"/>
      <c r="T525" s="37"/>
      <c r="U525" s="37"/>
      <c r="V525" s="37"/>
      <c r="W525" s="57"/>
      <c r="X525" s="455" t="s">
        <v>265</v>
      </c>
      <c r="AE525"/>
    </row>
    <row r="526" spans="1:31" ht="11.25" customHeight="1">
      <c r="A526" s="418">
        <v>64</v>
      </c>
      <c r="B526" s="37"/>
      <c r="C526" s="37"/>
      <c r="D526" s="37"/>
      <c r="E526" s="37"/>
      <c r="F526" s="37"/>
      <c r="G526" s="37"/>
      <c r="H526" s="37"/>
      <c r="I526" s="37"/>
      <c r="J526" s="37"/>
      <c r="K526" s="37"/>
      <c r="L526" s="465" t="s">
        <v>265</v>
      </c>
      <c r="M526" s="423">
        <v>3</v>
      </c>
      <c r="N526" s="38"/>
      <c r="O526" s="38" t="s">
        <v>315</v>
      </c>
      <c r="P526" s="37"/>
      <c r="Q526" s="37"/>
      <c r="R526" s="37"/>
      <c r="S526" s="37"/>
      <c r="T526" s="37"/>
      <c r="U526" s="37"/>
      <c r="V526" s="37"/>
      <c r="W526" s="57"/>
      <c r="X526" s="455" t="s">
        <v>265</v>
      </c>
      <c r="AE526"/>
    </row>
    <row r="527" spans="1:31" ht="11.25" customHeight="1">
      <c r="A527" s="418">
        <v>65</v>
      </c>
      <c r="B527" s="40" t="str">
        <f t="array" ref="B527:C528">$B$65:$C$66</f>
        <v>Date:</v>
      </c>
      <c r="C527" s="674" t="str">
        <v/>
      </c>
      <c r="D527" s="44"/>
      <c r="E527" s="37"/>
      <c r="F527" s="37"/>
      <c r="G527" s="37"/>
      <c r="H527" s="37"/>
      <c r="I527" s="40" t="str">
        <f t="array" ref="I527:J528">$I$65:$J$66</f>
        <v>Inspector:</v>
      </c>
      <c r="J527" s="303" t="str">
        <v>Eugene Mah</v>
      </c>
      <c r="L527" s="465" t="s">
        <v>265</v>
      </c>
      <c r="M527" s="155"/>
      <c r="W527" s="59"/>
      <c r="X527" s="455" t="s">
        <v>265</v>
      </c>
      <c r="AE527"/>
    </row>
    <row r="528" spans="1:31" ht="11.25" customHeight="1">
      <c r="A528" s="418">
        <v>66</v>
      </c>
      <c r="B528" s="40" t="str">
        <v>Room Number:</v>
      </c>
      <c r="C528" s="271" t="str">
        <v/>
      </c>
      <c r="D528" s="37"/>
      <c r="E528" s="37"/>
      <c r="F528" s="37"/>
      <c r="G528" s="37"/>
      <c r="H528" s="37"/>
      <c r="I528" s="40" t="str">
        <v>Survey ID:</v>
      </c>
      <c r="J528" s="615" t="str">
        <v/>
      </c>
      <c r="L528" s="465" t="s">
        <v>265</v>
      </c>
      <c r="M528" s="155"/>
      <c r="Q528" s="87" t="s">
        <v>322</v>
      </c>
      <c r="T528" s="37"/>
      <c r="U528" s="37"/>
      <c r="V528" s="37"/>
      <c r="W528" s="57"/>
      <c r="X528" s="455" t="s">
        <v>265</v>
      </c>
      <c r="AE528"/>
    </row>
    <row r="529" spans="1:31" ht="11.25" customHeight="1">
      <c r="A529" s="418">
        <v>1</v>
      </c>
      <c r="K529" s="114" t="str">
        <f>$F$2</f>
        <v>Medical University of South Carolina</v>
      </c>
      <c r="L529" s="465" t="s">
        <v>265</v>
      </c>
      <c r="M529" s="423"/>
      <c r="N529" s="38"/>
      <c r="O529" s="38" t="s">
        <v>324</v>
      </c>
      <c r="P529" s="37"/>
      <c r="Q529" s="37"/>
      <c r="R529" s="37"/>
      <c r="S529" s="37"/>
      <c r="T529" s="37"/>
      <c r="U529" s="37"/>
      <c r="V529" s="37"/>
      <c r="W529" s="57"/>
      <c r="X529" s="455" t="s">
        <v>265</v>
      </c>
      <c r="AE529"/>
    </row>
    <row r="530" spans="1:31" ht="11.25" customHeight="1">
      <c r="A530" s="418">
        <v>2</v>
      </c>
      <c r="F530" s="70" t="str">
        <f>$F$332</f>
        <v>Measurement Data</v>
      </c>
      <c r="K530" s="115" t="str">
        <f>$F$5</f>
        <v>Radiation Oncology IGRT Compliance Inspection</v>
      </c>
      <c r="L530" s="465" t="s">
        <v>265</v>
      </c>
      <c r="M530" s="423"/>
      <c r="N530" s="38"/>
      <c r="O530" s="38" t="s">
        <v>326</v>
      </c>
      <c r="P530" s="37"/>
      <c r="Q530" s="37"/>
      <c r="R530" s="37"/>
      <c r="S530" s="37"/>
      <c r="T530" s="37"/>
      <c r="U530" s="37"/>
      <c r="V530" s="37"/>
      <c r="W530" s="57"/>
      <c r="X530" s="455" t="s">
        <v>265</v>
      </c>
      <c r="AE530"/>
    </row>
    <row r="531" spans="1:31" ht="11.25" customHeight="1" thickBot="1">
      <c r="A531" s="418">
        <v>3</v>
      </c>
      <c r="L531" s="465" t="s">
        <v>265</v>
      </c>
      <c r="M531" s="423"/>
      <c r="N531" s="38"/>
      <c r="O531" s="38" t="s">
        <v>327</v>
      </c>
      <c r="P531" s="37"/>
      <c r="Q531" s="37"/>
      <c r="R531" s="37"/>
      <c r="S531" s="37"/>
      <c r="T531" s="38"/>
      <c r="U531" s="38"/>
      <c r="V531" s="38"/>
      <c r="W531" s="58"/>
      <c r="X531" s="455" t="s">
        <v>265</v>
      </c>
      <c r="AE531"/>
    </row>
    <row r="532" spans="1:31" ht="11.25" customHeight="1" thickTop="1">
      <c r="A532" s="418">
        <v>4</v>
      </c>
      <c r="B532" s="67"/>
      <c r="C532" s="50"/>
      <c r="D532" s="50"/>
      <c r="E532" s="50"/>
      <c r="F532" s="50"/>
      <c r="G532" s="50"/>
      <c r="H532" s="50"/>
      <c r="I532" s="50"/>
      <c r="J532" s="50"/>
      <c r="K532" s="68"/>
      <c r="L532" s="465" t="s">
        <v>265</v>
      </c>
      <c r="M532" s="423"/>
      <c r="N532" s="38"/>
      <c r="O532" s="38" t="s">
        <v>329</v>
      </c>
      <c r="P532" s="38"/>
      <c r="Q532" s="38"/>
      <c r="R532" s="38"/>
      <c r="S532" s="38"/>
      <c r="T532" s="38"/>
      <c r="U532" s="38"/>
      <c r="V532" s="38"/>
      <c r="W532" s="58"/>
      <c r="X532" s="455" t="s">
        <v>265</v>
      </c>
      <c r="AE532"/>
    </row>
    <row r="533" spans="1:31" ht="11.25" customHeight="1">
      <c r="A533" s="418">
        <v>5</v>
      </c>
      <c r="B533" s="110"/>
      <c r="C533" s="42" t="s">
        <v>21</v>
      </c>
      <c r="D533" s="47" t="str">
        <f>IF($O$227="","",$O$227)</f>
        <v>Piranha CB2-19020491</v>
      </c>
      <c r="E533" s="36"/>
      <c r="F533" s="36"/>
      <c r="K533" s="59"/>
      <c r="L533" s="465" t="s">
        <v>265</v>
      </c>
      <c r="M533" s="423"/>
      <c r="N533" s="38"/>
      <c r="O533" s="38" t="s">
        <v>332</v>
      </c>
      <c r="P533" s="38"/>
      <c r="Q533" s="38"/>
      <c r="R533" s="38"/>
      <c r="S533" s="38"/>
      <c r="T533" s="37"/>
      <c r="U533" s="37"/>
      <c r="V533" s="37"/>
      <c r="W533" s="57"/>
      <c r="X533" s="455" t="s">
        <v>265</v>
      </c>
      <c r="AE533"/>
    </row>
    <row r="534" spans="1:31" ht="11.25" customHeight="1">
      <c r="A534" s="418">
        <v>6</v>
      </c>
      <c r="B534" s="110"/>
      <c r="K534" s="59"/>
      <c r="L534" s="465" t="s">
        <v>265</v>
      </c>
      <c r="M534" s="423"/>
      <c r="N534" s="38"/>
      <c r="O534" s="38" t="s">
        <v>333</v>
      </c>
      <c r="P534" s="37"/>
      <c r="Q534" s="37"/>
      <c r="R534" s="37"/>
      <c r="S534" s="37"/>
      <c r="W534" s="59"/>
      <c r="X534" s="455" t="s">
        <v>265</v>
      </c>
      <c r="AE534"/>
    </row>
    <row r="535" spans="1:31" ht="11.25" customHeight="1" thickBot="1">
      <c r="A535" s="418">
        <v>9</v>
      </c>
      <c r="B535" s="110"/>
      <c r="C535" s="41"/>
      <c r="K535" s="59"/>
      <c r="L535" s="465" t="s">
        <v>265</v>
      </c>
      <c r="M535" s="687"/>
      <c r="N535" s="221"/>
      <c r="O535" s="688" t="str">
        <f>IF(OR(M52="",M52=1),"Unit installed as shown on shielding plan","")</f>
        <v/>
      </c>
      <c r="P535" s="221"/>
      <c r="Q535" s="221"/>
      <c r="R535" s="221"/>
      <c r="S535" s="221"/>
      <c r="T535" s="221"/>
      <c r="U535" s="221"/>
      <c r="V535" s="221"/>
      <c r="W535" s="222"/>
      <c r="X535" s="455" t="s">
        <v>265</v>
      </c>
      <c r="AE535"/>
    </row>
    <row r="536" spans="1:31" ht="11.25" customHeight="1" thickTop="1">
      <c r="A536" s="418">
        <v>8</v>
      </c>
      <c r="B536" s="223" t="s">
        <v>381</v>
      </c>
      <c r="E536" s="42" t="s">
        <v>359</v>
      </c>
      <c r="F536" s="49">
        <f>IF(Q388="","",Q388)</f>
        <v>80</v>
      </c>
      <c r="G536" s="42" t="s">
        <v>102</v>
      </c>
      <c r="H536" s="36" t="str">
        <f>IF(P388="","",P388)</f>
        <v/>
      </c>
      <c r="J536" s="37"/>
      <c r="K536" s="57"/>
      <c r="L536" s="465" t="s">
        <v>265</v>
      </c>
      <c r="M536" s="67"/>
      <c r="N536" s="50"/>
      <c r="O536" s="50"/>
      <c r="P536" s="50"/>
      <c r="Q536" s="50"/>
      <c r="R536" s="50"/>
      <c r="S536" s="50"/>
      <c r="T536" s="50"/>
      <c r="U536" s="50"/>
      <c r="V536" s="50"/>
      <c r="W536" s="68"/>
      <c r="X536" s="455" t="s">
        <v>265</v>
      </c>
      <c r="AB536" s="330"/>
      <c r="AD536" s="330"/>
    </row>
    <row r="537" spans="1:31" ht="11.25" customHeight="1">
      <c r="A537" s="418">
        <v>9</v>
      </c>
      <c r="B537" s="54"/>
      <c r="C537" s="37"/>
      <c r="D537" s="37"/>
      <c r="E537" s="42" t="s">
        <v>45</v>
      </c>
      <c r="F537" s="36">
        <f>IF(N388="","",N388)</f>
        <v>100</v>
      </c>
      <c r="G537" s="38" t="str">
        <f>LFSDD</f>
        <v>cm</v>
      </c>
      <c r="H537" s="37"/>
      <c r="I537" s="37"/>
      <c r="J537" s="37" t="s">
        <v>103</v>
      </c>
      <c r="K537" s="57"/>
      <c r="L537" s="465" t="s">
        <v>265</v>
      </c>
      <c r="M537" s="748" t="s">
        <v>581</v>
      </c>
      <c r="W537" s="59"/>
      <c r="X537" s="455" t="s">
        <v>265</v>
      </c>
    </row>
    <row r="538" spans="1:31" ht="11.25" customHeight="1" thickBot="1">
      <c r="A538" s="418">
        <v>10</v>
      </c>
      <c r="B538" s="54" t="s">
        <v>29</v>
      </c>
      <c r="C538" s="103"/>
      <c r="D538" s="107" t="s">
        <v>34</v>
      </c>
      <c r="E538" s="54"/>
      <c r="F538" s="38" t="s">
        <v>35</v>
      </c>
      <c r="G538" s="37"/>
      <c r="H538" s="37"/>
      <c r="I538" s="37" t="s">
        <v>513</v>
      </c>
      <c r="J538" s="103" t="s">
        <v>104</v>
      </c>
      <c r="K538" s="57"/>
      <c r="L538" s="465" t="s">
        <v>265</v>
      </c>
      <c r="M538" s="110"/>
      <c r="W538" s="59"/>
      <c r="X538" s="455" t="s">
        <v>265</v>
      </c>
    </row>
    <row r="539" spans="1:31" ht="11.25" customHeight="1" thickBot="1">
      <c r="A539" s="418">
        <v>11</v>
      </c>
      <c r="B539" s="162" t="s">
        <v>36</v>
      </c>
      <c r="C539" s="126" t="str">
        <f>IF(LFMAS="","mA/mAs",LFMAS)</f>
        <v>mAs</v>
      </c>
      <c r="D539" s="166" t="s">
        <v>39</v>
      </c>
      <c r="E539" s="162" t="s">
        <v>40</v>
      </c>
      <c r="F539" s="121" t="s">
        <v>41</v>
      </c>
      <c r="G539" s="121" t="s">
        <v>39</v>
      </c>
      <c r="H539" s="121" t="s">
        <v>512</v>
      </c>
      <c r="I539" s="175" t="s">
        <v>105</v>
      </c>
      <c r="J539" s="120" t="s">
        <v>23</v>
      </c>
      <c r="K539" s="213" t="s">
        <v>373</v>
      </c>
      <c r="L539" s="465" t="s">
        <v>265</v>
      </c>
      <c r="M539" s="749" t="s">
        <v>582</v>
      </c>
      <c r="W539" s="59"/>
      <c r="X539" s="455" t="s">
        <v>265</v>
      </c>
    </row>
    <row r="540" spans="1:31" ht="11.25" customHeight="1">
      <c r="A540" s="418">
        <v>12</v>
      </c>
      <c r="B540" s="214" t="s">
        <v>106</v>
      </c>
      <c r="C540" s="176">
        <f t="shared" ref="C540:H544" si="102">IF(R388="","",R388)</f>
        <v>20</v>
      </c>
      <c r="D540" s="177" t="str">
        <f t="shared" si="102"/>
        <v/>
      </c>
      <c r="E540" s="178" t="str">
        <f t="shared" si="102"/>
        <v/>
      </c>
      <c r="F540" s="105" t="str">
        <f t="shared" si="102"/>
        <v/>
      </c>
      <c r="G540" s="106" t="str">
        <f t="shared" si="102"/>
        <v/>
      </c>
      <c r="H540" s="105" t="str">
        <f t="shared" si="102"/>
        <v/>
      </c>
      <c r="I540" s="653" t="str">
        <f>IF(OR(H540="",AND(LFMAS="",SFMAS=""),AND($C$539="mA",D540="")),"",IF($C$539="mAs",H540/C540,H540/(C540*D540)))</f>
        <v/>
      </c>
      <c r="J540" s="839" t="str">
        <f>IF(OR(I540="",I541=""),"",(MAX(I540:I541)-MIN(I540:I541))/(MAX(I540:I541)+MIN(I540:I541)))</f>
        <v/>
      </c>
      <c r="K540" s="215" t="s">
        <v>107</v>
      </c>
      <c r="L540" s="465" t="s">
        <v>265</v>
      </c>
      <c r="M540" s="110"/>
      <c r="O540" s="254"/>
      <c r="P540" s="37"/>
      <c r="Q540" s="37"/>
      <c r="R540" s="37"/>
      <c r="S540" s="37"/>
      <c r="T540" s="37"/>
      <c r="U540" s="37"/>
      <c r="W540" s="59"/>
      <c r="X540" s="455" t="s">
        <v>265</v>
      </c>
    </row>
    <row r="541" spans="1:31" ht="11.25" customHeight="1" thickBot="1">
      <c r="A541" s="418">
        <v>13</v>
      </c>
      <c r="B541" s="162" t="s">
        <v>106</v>
      </c>
      <c r="C541" s="179">
        <f t="shared" si="102"/>
        <v>25</v>
      </c>
      <c r="D541" s="180" t="str">
        <f t="shared" si="102"/>
        <v/>
      </c>
      <c r="E541" s="181" t="str">
        <f t="shared" si="102"/>
        <v/>
      </c>
      <c r="F541" s="182" t="str">
        <f t="shared" si="102"/>
        <v/>
      </c>
      <c r="G541" s="183" t="str">
        <f t="shared" si="102"/>
        <v/>
      </c>
      <c r="H541" s="182" t="str">
        <f t="shared" si="102"/>
        <v/>
      </c>
      <c r="I541" s="654" t="str">
        <f>IF(OR(H541="",AND(LFMAS="",SFMAS=""),AND($C$539="mA",D541="")),"",IF($C$539="mAs",H541/C541,H541/(C541*D541)))</f>
        <v/>
      </c>
      <c r="J541" s="840"/>
      <c r="K541" s="216" t="str">
        <f>IF(J540="","TBD",IF(J540&gt;0.1,"NO","YES"))</f>
        <v>TBD</v>
      </c>
      <c r="L541" s="465" t="s">
        <v>265</v>
      </c>
      <c r="M541" s="110"/>
      <c r="O541" s="254"/>
      <c r="P541" s="37" t="s">
        <v>583</v>
      </c>
      <c r="Q541" s="37" t="s">
        <v>659</v>
      </c>
      <c r="R541" s="37" t="s">
        <v>584</v>
      </c>
      <c r="S541" s="37" t="s">
        <v>583</v>
      </c>
      <c r="T541" s="37" t="s">
        <v>659</v>
      </c>
      <c r="U541" s="37" t="s">
        <v>584</v>
      </c>
      <c r="W541" s="59"/>
      <c r="X541" s="455" t="s">
        <v>265</v>
      </c>
    </row>
    <row r="542" spans="1:31" ht="11.25" customHeight="1">
      <c r="A542" s="418">
        <v>14</v>
      </c>
      <c r="B542" s="93" t="s">
        <v>108</v>
      </c>
      <c r="C542" s="176">
        <f t="shared" si="102"/>
        <v>2.5</v>
      </c>
      <c r="D542" s="177" t="str">
        <f t="shared" si="102"/>
        <v/>
      </c>
      <c r="E542" s="178" t="str">
        <f t="shared" si="102"/>
        <v/>
      </c>
      <c r="F542" s="105" t="str">
        <f t="shared" si="102"/>
        <v/>
      </c>
      <c r="G542" s="106" t="str">
        <f t="shared" si="102"/>
        <v/>
      </c>
      <c r="H542" s="105" t="str">
        <f t="shared" si="102"/>
        <v/>
      </c>
      <c r="I542" s="653" t="str">
        <f>IF(OR(H542="",AND(LFMAS="",SFMAS=""),AND($C$539="mA",D542="")),"",IF($C$539="mAs",H542/C542,H542/(C542*D542)))</f>
        <v/>
      </c>
      <c r="J542" s="839" t="str">
        <f>IF(OR(I540="",I542=""),"",(MAX(I540:I544)-MIN(I540:I544))/(MAX(I540:I544)+MIN(I540:I544)))</f>
        <v/>
      </c>
      <c r="K542" s="217"/>
      <c r="L542" s="465" t="s">
        <v>265</v>
      </c>
      <c r="M542" s="110"/>
      <c r="O542" s="42" t="s">
        <v>640</v>
      </c>
      <c r="P542" s="105" t="str">
        <f t="shared" ref="P542:P559" si="103">IF(S542&lt;&gt;"",S542,IF(AB255="","",AB255))</f>
        <v>125 kV Half Fan</v>
      </c>
      <c r="Q542" s="105" t="str">
        <f t="shared" ref="Q542:Q559" si="104">IF(T542&lt;&gt;"",T542,IF(AB274="","",AB274))</f>
        <v>125 kV Full fan</v>
      </c>
      <c r="R542" s="105" t="str">
        <f t="shared" ref="R542:R559" si="105">IF(U542&lt;&gt;"",U542,IF(AB293="","",AB293))</f>
        <v/>
      </c>
      <c r="S542" s="774" t="s">
        <v>673</v>
      </c>
      <c r="T542" s="774" t="s">
        <v>674</v>
      </c>
      <c r="U542" s="774"/>
      <c r="W542" s="59"/>
      <c r="X542" s="455" t="s">
        <v>265</v>
      </c>
    </row>
    <row r="543" spans="1:31" ht="11.25" customHeight="1">
      <c r="A543" s="418">
        <v>15</v>
      </c>
      <c r="B543" s="93" t="s">
        <v>108</v>
      </c>
      <c r="C543" s="176">
        <f t="shared" si="102"/>
        <v>40</v>
      </c>
      <c r="D543" s="177" t="str">
        <f t="shared" si="102"/>
        <v/>
      </c>
      <c r="E543" s="178" t="str">
        <f t="shared" si="102"/>
        <v/>
      </c>
      <c r="F543" s="105" t="str">
        <f t="shared" si="102"/>
        <v/>
      </c>
      <c r="G543" s="106" t="str">
        <f t="shared" si="102"/>
        <v/>
      </c>
      <c r="H543" s="105" t="str">
        <f t="shared" si="102"/>
        <v/>
      </c>
      <c r="I543" s="653" t="str">
        <f>IF(OR(H543="",AND(LFMAS="",SFMAS=""),AND($C$539="mA",D543="")),"",IF($C$539="mAs",H543/C543,H543/(C543*D543)))</f>
        <v/>
      </c>
      <c r="J543" s="846"/>
      <c r="K543" s="215" t="s">
        <v>108</v>
      </c>
      <c r="L543" s="465" t="s">
        <v>265</v>
      </c>
      <c r="M543" s="110"/>
      <c r="O543" s="42" t="s">
        <v>359</v>
      </c>
      <c r="P543" s="105">
        <f t="shared" si="103"/>
        <v>125</v>
      </c>
      <c r="Q543" s="105">
        <f t="shared" si="104"/>
        <v>125</v>
      </c>
      <c r="R543" s="105" t="str">
        <f t="shared" si="105"/>
        <v/>
      </c>
      <c r="S543" s="774">
        <v>125</v>
      </c>
      <c r="T543" s="774">
        <v>125</v>
      </c>
      <c r="U543" s="774"/>
      <c r="W543" s="59"/>
      <c r="X543" s="455" t="s">
        <v>265</v>
      </c>
    </row>
    <row r="544" spans="1:31" ht="11.25" customHeight="1" thickBot="1">
      <c r="A544" s="418">
        <v>16</v>
      </c>
      <c r="B544" s="162" t="s">
        <v>108</v>
      </c>
      <c r="C544" s="179">
        <f t="shared" si="102"/>
        <v>12.5</v>
      </c>
      <c r="D544" s="180" t="str">
        <f t="shared" si="102"/>
        <v/>
      </c>
      <c r="E544" s="181" t="str">
        <f t="shared" si="102"/>
        <v/>
      </c>
      <c r="F544" s="182" t="str">
        <f t="shared" si="102"/>
        <v/>
      </c>
      <c r="G544" s="183" t="str">
        <f t="shared" si="102"/>
        <v/>
      </c>
      <c r="H544" s="182" t="str">
        <f t="shared" si="102"/>
        <v/>
      </c>
      <c r="I544" s="654" t="str">
        <f>IF(OR(H544="",AND(LFMAS="",SFMAS=""),AND($C$539="mA",D544="")),"",IF($C$539="mAs",H544/C544,H544/(C544*D544)))</f>
        <v/>
      </c>
      <c r="J544" s="840"/>
      <c r="K544" s="216" t="str">
        <f>IF(J542="","TBD",IF(J542&gt;0.1,"NO","YES"))</f>
        <v>TBD</v>
      </c>
      <c r="L544" s="465" t="s">
        <v>265</v>
      </c>
      <c r="M544" s="110"/>
      <c r="O544" s="42" t="s">
        <v>360</v>
      </c>
      <c r="P544" s="105">
        <f t="shared" si="103"/>
        <v>60</v>
      </c>
      <c r="Q544" s="105">
        <f t="shared" si="104"/>
        <v>60</v>
      </c>
      <c r="R544" s="105" t="str">
        <f t="shared" si="105"/>
        <v/>
      </c>
      <c r="S544" s="774">
        <v>60</v>
      </c>
      <c r="T544" s="774">
        <v>60</v>
      </c>
      <c r="U544" s="774"/>
      <c r="W544" s="59"/>
      <c r="X544" s="455" t="s">
        <v>265</v>
      </c>
    </row>
    <row r="545" spans="1:24" ht="11.25" customHeight="1">
      <c r="A545" s="418">
        <v>17</v>
      </c>
      <c r="B545" s="73" t="s">
        <v>109</v>
      </c>
      <c r="C545" s="37"/>
      <c r="D545" s="37"/>
      <c r="E545" s="37"/>
      <c r="F545" s="37"/>
      <c r="G545" s="37"/>
      <c r="H545" s="37"/>
      <c r="I545" s="42"/>
      <c r="J545" s="37"/>
      <c r="K545" s="57"/>
      <c r="L545" s="465" t="s">
        <v>265</v>
      </c>
      <c r="M545" s="110"/>
      <c r="O545" s="42" t="s">
        <v>658</v>
      </c>
      <c r="P545" s="105">
        <f t="shared" si="103"/>
        <v>1.2</v>
      </c>
      <c r="Q545" s="105">
        <f t="shared" si="104"/>
        <v>1.2</v>
      </c>
      <c r="R545" s="105" t="str">
        <f t="shared" si="105"/>
        <v/>
      </c>
      <c r="S545" s="774">
        <v>1.2</v>
      </c>
      <c r="T545" s="774">
        <v>1.2</v>
      </c>
      <c r="U545" s="774"/>
      <c r="W545" s="59"/>
      <c r="X545" s="455" t="s">
        <v>265</v>
      </c>
    </row>
    <row r="546" spans="1:24" ht="11.25" customHeight="1">
      <c r="A546" s="418">
        <v>18</v>
      </c>
      <c r="B546" s="54"/>
      <c r="C546" s="37"/>
      <c r="D546" s="37"/>
      <c r="E546" s="37"/>
      <c r="F546" s="37"/>
      <c r="G546" s="37"/>
      <c r="H546" s="37"/>
      <c r="I546" s="37"/>
      <c r="J546" s="37"/>
      <c r="K546" s="57"/>
      <c r="L546" s="465" t="s">
        <v>265</v>
      </c>
      <c r="M546" s="110"/>
      <c r="O546" s="42" t="s">
        <v>361</v>
      </c>
      <c r="P546" s="105" t="str">
        <f t="shared" si="103"/>
        <v/>
      </c>
      <c r="Q546" s="105" t="str">
        <f t="shared" si="104"/>
        <v/>
      </c>
      <c r="R546" s="105" t="str">
        <f t="shared" si="105"/>
        <v/>
      </c>
      <c r="S546" s="774"/>
      <c r="T546" s="774"/>
      <c r="U546" s="774"/>
      <c r="W546" s="59"/>
      <c r="X546" s="455" t="s">
        <v>265</v>
      </c>
    </row>
    <row r="547" spans="1:24" ht="11.25" customHeight="1">
      <c r="A547" s="418">
        <v>19</v>
      </c>
      <c r="B547" s="90" t="s">
        <v>346</v>
      </c>
      <c r="C547" s="560" t="str">
        <f>IF(O395="","",IF(LEN(O395)&lt;=135,O395,IF(LEN(O395)&lt;=260,LEFT(O395,SEARCH(" ",O395,125)),LEFT(O395,SEARCH(" ",O395,130)))))</f>
        <v/>
      </c>
      <c r="D547" s="36"/>
      <c r="E547" s="36"/>
      <c r="F547" s="168"/>
      <c r="G547" s="36"/>
      <c r="H547" s="36"/>
      <c r="I547" s="36"/>
      <c r="J547" s="36"/>
      <c r="K547" s="57"/>
      <c r="L547" s="465" t="s">
        <v>265</v>
      </c>
      <c r="M547" s="110"/>
      <c r="O547" s="42" t="s">
        <v>641</v>
      </c>
      <c r="P547" s="105" t="str">
        <f t="shared" si="103"/>
        <v/>
      </c>
      <c r="Q547" s="105" t="str">
        <f t="shared" si="104"/>
        <v/>
      </c>
      <c r="R547" s="105" t="str">
        <f t="shared" si="105"/>
        <v/>
      </c>
      <c r="S547" s="774"/>
      <c r="T547" s="774"/>
      <c r="U547" s="774"/>
      <c r="W547" s="59"/>
      <c r="X547" s="455" t="s">
        <v>265</v>
      </c>
    </row>
    <row r="548" spans="1:24" ht="11.25" customHeight="1">
      <c r="A548" s="418">
        <v>20</v>
      </c>
      <c r="B548" s="54"/>
      <c r="C548" s="561" t="str">
        <f>IF(LEN(O395)&lt;=135,"",IF(LEN(O395)&lt;=260,RIGHT(O395,LEN(O395)-SEARCH(" ",O395,125)),MID(O395,SEARCH(" ",O395,130),IF(LEN(O395)&lt;=265,LEN(O395),SEARCH(" ",O395,255)-SEARCH(" ",O395,130)))))</f>
        <v/>
      </c>
      <c r="D548" s="36"/>
      <c r="E548" s="36"/>
      <c r="F548" s="168"/>
      <c r="G548" s="36"/>
      <c r="H548" s="36"/>
      <c r="I548" s="36"/>
      <c r="J548" s="36"/>
      <c r="K548" s="57"/>
      <c r="L548" s="465" t="s">
        <v>265</v>
      </c>
      <c r="M548" s="110"/>
      <c r="O548" s="42" t="s">
        <v>642</v>
      </c>
      <c r="P548" s="105" t="str">
        <f t="shared" si="103"/>
        <v/>
      </c>
      <c r="Q548" s="105" t="str">
        <f t="shared" si="104"/>
        <v/>
      </c>
      <c r="R548" s="105" t="str">
        <f t="shared" si="105"/>
        <v/>
      </c>
      <c r="S548" s="774"/>
      <c r="T548" s="774"/>
      <c r="U548" s="774"/>
      <c r="W548" s="59"/>
      <c r="X548" s="455" t="s">
        <v>265</v>
      </c>
    </row>
    <row r="549" spans="1:24" ht="11.25" customHeight="1">
      <c r="A549" s="418">
        <v>21</v>
      </c>
      <c r="B549" s="54"/>
      <c r="C549" s="560" t="str">
        <f>IF(LEN(O395)&lt;=265,"",RIGHT(O395,LEN(O395)-SEARCH(" ",O395,255)))</f>
        <v/>
      </c>
      <c r="D549" s="36"/>
      <c r="E549" s="36"/>
      <c r="F549" s="168"/>
      <c r="G549" s="36"/>
      <c r="H549" s="36"/>
      <c r="I549" s="36"/>
      <c r="J549" s="36"/>
      <c r="K549" s="57"/>
      <c r="L549" s="465" t="s">
        <v>265</v>
      </c>
      <c r="M549" s="110"/>
      <c r="O549" s="42" t="s">
        <v>643</v>
      </c>
      <c r="P549" s="105" t="str">
        <f t="shared" si="103"/>
        <v/>
      </c>
      <c r="Q549" s="105" t="str">
        <f t="shared" si="104"/>
        <v/>
      </c>
      <c r="R549" s="105" t="str">
        <f t="shared" si="105"/>
        <v/>
      </c>
      <c r="S549" s="774"/>
      <c r="T549" s="774"/>
      <c r="U549" s="774"/>
      <c r="W549" s="59"/>
      <c r="X549" s="455" t="s">
        <v>265</v>
      </c>
    </row>
    <row r="550" spans="1:24" ht="11.25" customHeight="1">
      <c r="A550" s="418">
        <v>22</v>
      </c>
      <c r="B550" s="54"/>
      <c r="C550" s="37"/>
      <c r="D550" s="37"/>
      <c r="E550" s="37"/>
      <c r="F550" s="37"/>
      <c r="G550" s="37"/>
      <c r="H550" s="37"/>
      <c r="I550" s="37"/>
      <c r="J550" s="37"/>
      <c r="K550" s="57"/>
      <c r="L550" s="465" t="s">
        <v>265</v>
      </c>
      <c r="M550" s="110"/>
      <c r="O550" s="42" t="s">
        <v>644</v>
      </c>
      <c r="P550" s="105" t="str">
        <f t="shared" si="103"/>
        <v/>
      </c>
      <c r="Q550" s="105" t="str">
        <f t="shared" si="104"/>
        <v/>
      </c>
      <c r="R550" s="105" t="str">
        <f t="shared" si="105"/>
        <v/>
      </c>
      <c r="S550" s="774"/>
      <c r="T550" s="774"/>
      <c r="U550" s="774"/>
      <c r="W550" s="59"/>
      <c r="X550" s="455" t="s">
        <v>265</v>
      </c>
    </row>
    <row r="551" spans="1:24" ht="11.25" customHeight="1">
      <c r="A551" s="418">
        <v>23</v>
      </c>
      <c r="B551" s="223" t="s">
        <v>382</v>
      </c>
      <c r="C551" s="111"/>
      <c r="D551" s="37"/>
      <c r="E551" s="42" t="s">
        <v>359</v>
      </c>
      <c r="F551" s="49">
        <f>IF(Q403="","",Q403)</f>
        <v>80</v>
      </c>
      <c r="G551" s="42" t="s">
        <v>102</v>
      </c>
      <c r="H551" s="36" t="str">
        <f>IF(P403="","",P403)</f>
        <v/>
      </c>
      <c r="J551" s="37"/>
      <c r="K551" s="57"/>
      <c r="L551" s="465" t="s">
        <v>265</v>
      </c>
      <c r="M551" s="110"/>
      <c r="O551" s="42" t="s">
        <v>645</v>
      </c>
      <c r="P551" s="105" t="str">
        <f t="shared" si="103"/>
        <v>A</v>
      </c>
      <c r="Q551" s="105" t="str">
        <f t="shared" si="104"/>
        <v>A</v>
      </c>
      <c r="R551" s="105" t="str">
        <f t="shared" si="105"/>
        <v/>
      </c>
      <c r="S551" s="774" t="s">
        <v>579</v>
      </c>
      <c r="T551" s="774" t="s">
        <v>579</v>
      </c>
      <c r="U551" s="774"/>
      <c r="W551" s="59"/>
      <c r="X551" s="455" t="s">
        <v>265</v>
      </c>
    </row>
    <row r="552" spans="1:24" ht="11.25" customHeight="1">
      <c r="A552" s="418">
        <v>24</v>
      </c>
      <c r="B552" s="54"/>
      <c r="C552" s="37"/>
      <c r="D552" s="37"/>
      <c r="E552" s="42" t="s">
        <v>45</v>
      </c>
      <c r="F552" s="36">
        <f>IF(N403="","",N403)</f>
        <v>100</v>
      </c>
      <c r="G552" s="38" t="str">
        <f>SFSDD</f>
        <v>cm</v>
      </c>
      <c r="H552" s="37"/>
      <c r="I552" s="37"/>
      <c r="J552" s="37" t="s">
        <v>110</v>
      </c>
      <c r="K552" s="57"/>
      <c r="L552" s="465" t="s">
        <v>265</v>
      </c>
      <c r="M552" s="110"/>
      <c r="O552" s="42" t="s">
        <v>637</v>
      </c>
      <c r="P552" s="105">
        <f t="shared" si="103"/>
        <v>280</v>
      </c>
      <c r="Q552" s="105">
        <f t="shared" si="104"/>
        <v>280</v>
      </c>
      <c r="R552" s="105" t="str">
        <f t="shared" si="105"/>
        <v/>
      </c>
      <c r="S552" s="774">
        <v>280</v>
      </c>
      <c r="T552" s="774">
        <v>280</v>
      </c>
      <c r="U552" s="774"/>
      <c r="W552" s="59"/>
      <c r="X552" s="455" t="s">
        <v>265</v>
      </c>
    </row>
    <row r="553" spans="1:24" ht="11.25" customHeight="1" thickBot="1">
      <c r="A553" s="418">
        <v>25</v>
      </c>
      <c r="B553" s="54" t="s">
        <v>29</v>
      </c>
      <c r="C553" s="103"/>
      <c r="D553" s="107" t="s">
        <v>34</v>
      </c>
      <c r="E553" s="54"/>
      <c r="F553" s="38" t="s">
        <v>35</v>
      </c>
      <c r="G553" s="37"/>
      <c r="H553" s="37"/>
      <c r="I553" s="161" t="s">
        <v>513</v>
      </c>
      <c r="J553" s="103" t="s">
        <v>104</v>
      </c>
      <c r="K553" s="57"/>
      <c r="L553" s="465" t="s">
        <v>265</v>
      </c>
      <c r="M553" s="110"/>
      <c r="O553" s="42" t="s">
        <v>638</v>
      </c>
      <c r="P553" s="105">
        <f t="shared" si="103"/>
        <v>1</v>
      </c>
      <c r="Q553" s="105">
        <f t="shared" si="104"/>
        <v>1</v>
      </c>
      <c r="R553" s="105" t="str">
        <f t="shared" si="105"/>
        <v/>
      </c>
      <c r="S553" s="774">
        <v>1</v>
      </c>
      <c r="T553" s="774">
        <v>1</v>
      </c>
      <c r="U553" s="774"/>
      <c r="W553" s="59"/>
      <c r="X553" s="455" t="s">
        <v>265</v>
      </c>
    </row>
    <row r="554" spans="1:24" ht="11.25" customHeight="1" thickBot="1">
      <c r="A554" s="418">
        <v>26</v>
      </c>
      <c r="B554" s="162" t="s">
        <v>36</v>
      </c>
      <c r="C554" s="126" t="str">
        <f>IF(SFMAS="","mA/mAs",SFMAS)</f>
        <v>mAs</v>
      </c>
      <c r="D554" s="166" t="s">
        <v>39</v>
      </c>
      <c r="E554" s="162" t="s">
        <v>40</v>
      </c>
      <c r="F554" s="121" t="s">
        <v>41</v>
      </c>
      <c r="G554" s="121" t="s">
        <v>39</v>
      </c>
      <c r="H554" s="121" t="s">
        <v>512</v>
      </c>
      <c r="I554" s="175" t="s">
        <v>105</v>
      </c>
      <c r="J554" s="120" t="s">
        <v>23</v>
      </c>
      <c r="K554" s="678" t="s">
        <v>373</v>
      </c>
      <c r="L554" s="465" t="s">
        <v>265</v>
      </c>
      <c r="M554" s="110"/>
      <c r="O554" s="42" t="s">
        <v>650</v>
      </c>
      <c r="P554" s="105">
        <f t="shared" si="103"/>
        <v>280</v>
      </c>
      <c r="Q554" s="105">
        <f t="shared" si="104"/>
        <v>280</v>
      </c>
      <c r="R554" s="105" t="str">
        <f t="shared" si="105"/>
        <v/>
      </c>
      <c r="S554" s="774">
        <v>280</v>
      </c>
      <c r="T554" s="774">
        <v>280</v>
      </c>
      <c r="U554" s="774"/>
      <c r="W554" s="59"/>
      <c r="X554" s="455" t="s">
        <v>265</v>
      </c>
    </row>
    <row r="555" spans="1:24" ht="11.25" customHeight="1">
      <c r="A555" s="418">
        <v>27</v>
      </c>
      <c r="B555" s="214" t="s">
        <v>106</v>
      </c>
      <c r="C555" s="176">
        <f t="shared" ref="C555:H559" si="106">IF(R403="","",R403)</f>
        <v>10</v>
      </c>
      <c r="D555" s="199" t="str">
        <f t="shared" si="106"/>
        <v/>
      </c>
      <c r="E555" s="176" t="str">
        <f t="shared" si="106"/>
        <v/>
      </c>
      <c r="F555" s="176" t="str">
        <f t="shared" si="106"/>
        <v/>
      </c>
      <c r="G555" s="199" t="str">
        <f t="shared" si="106"/>
        <v/>
      </c>
      <c r="H555" s="104" t="str">
        <f t="shared" si="106"/>
        <v/>
      </c>
      <c r="I555" s="653" t="str">
        <f>IF(OR(H555="",AND(LFMAS="",SFMAS=""),AND($C$554="mA",D555="")),"",IF($C$554="mAs",H555/C555,H555/(C555*D555)))</f>
        <v/>
      </c>
      <c r="J555" s="839" t="str">
        <f>IF(OR(I555="",I556=""),"",(MAX(I555:I556)-MIN(I555:I556))/(MAX(I555:I556)+MIN(I555:I556)))</f>
        <v/>
      </c>
      <c r="K555" s="218" t="s">
        <v>107</v>
      </c>
      <c r="L555" s="465" t="s">
        <v>265</v>
      </c>
      <c r="M555" s="110"/>
      <c r="O555" s="42" t="s">
        <v>639</v>
      </c>
      <c r="P555" s="105">
        <f t="shared" si="103"/>
        <v>1</v>
      </c>
      <c r="Q555" s="105">
        <f t="shared" si="104"/>
        <v>1</v>
      </c>
      <c r="R555" s="105" t="str">
        <f t="shared" si="105"/>
        <v/>
      </c>
      <c r="S555" s="774">
        <v>1</v>
      </c>
      <c r="T555" s="774">
        <v>1</v>
      </c>
      <c r="U555" s="774"/>
      <c r="W555" s="59"/>
      <c r="X555" s="455" t="s">
        <v>265</v>
      </c>
    </row>
    <row r="556" spans="1:24" ht="11.25" customHeight="1" thickBot="1">
      <c r="A556" s="418">
        <v>28</v>
      </c>
      <c r="B556" s="162" t="s">
        <v>106</v>
      </c>
      <c r="C556" s="179">
        <f t="shared" si="106"/>
        <v>11</v>
      </c>
      <c r="D556" s="300" t="str">
        <f t="shared" si="106"/>
        <v/>
      </c>
      <c r="E556" s="179" t="str">
        <f t="shared" si="106"/>
        <v/>
      </c>
      <c r="F556" s="179" t="str">
        <f t="shared" si="106"/>
        <v/>
      </c>
      <c r="G556" s="300" t="str">
        <f t="shared" si="106"/>
        <v/>
      </c>
      <c r="H556" s="126" t="str">
        <f t="shared" si="106"/>
        <v/>
      </c>
      <c r="I556" s="654" t="str">
        <f>IF(OR(H556="",AND(LFMAS="",SFMAS=""),AND($C$554="mA",D556="")),"",IF($C$554="mAs",H556/C556,H556/(C556*D556)))</f>
        <v/>
      </c>
      <c r="J556" s="840"/>
      <c r="K556" s="216" t="str">
        <f>IF(J555="","TBD",IF(J555&gt;0.1,"NO","YES"))</f>
        <v>TBD</v>
      </c>
      <c r="L556" s="465" t="s">
        <v>265</v>
      </c>
      <c r="M556" s="110"/>
      <c r="O556" s="42" t="s">
        <v>646</v>
      </c>
      <c r="P556" s="105" t="str">
        <f t="shared" si="103"/>
        <v/>
      </c>
      <c r="Q556" s="105" t="str">
        <f t="shared" si="104"/>
        <v/>
      </c>
      <c r="R556" s="105" t="str">
        <f t="shared" si="105"/>
        <v/>
      </c>
      <c r="S556" s="774"/>
      <c r="T556" s="774"/>
      <c r="U556" s="774"/>
      <c r="W556" s="59"/>
      <c r="X556" s="455" t="s">
        <v>265</v>
      </c>
    </row>
    <row r="557" spans="1:24" ht="11.25" customHeight="1">
      <c r="A557" s="418">
        <v>29</v>
      </c>
      <c r="B557" s="93" t="s">
        <v>108</v>
      </c>
      <c r="C557" s="176">
        <f t="shared" si="106"/>
        <v>25</v>
      </c>
      <c r="D557" s="199" t="str">
        <f t="shared" si="106"/>
        <v/>
      </c>
      <c r="E557" s="176" t="str">
        <f t="shared" si="106"/>
        <v/>
      </c>
      <c r="F557" s="176" t="str">
        <f t="shared" si="106"/>
        <v/>
      </c>
      <c r="G557" s="199" t="str">
        <f t="shared" si="106"/>
        <v/>
      </c>
      <c r="H557" s="104" t="str">
        <f t="shared" si="106"/>
        <v/>
      </c>
      <c r="I557" s="653" t="str">
        <f>IF(OR(H557="",AND(LFMAS="",SFMAS=""),AND($C$554="mA",D557="")),"",IF($C$554="mAs",H557/C557,H557/(C557*D557)))</f>
        <v/>
      </c>
      <c r="J557" s="839" t="str">
        <f>IF(OR(I555="",I557=""),"",(MAX(I555:I559)-MIN(I555:I559))/(MAX(I555:I559)+MIN(I555:I559)))</f>
        <v/>
      </c>
      <c r="K557" s="219"/>
      <c r="L557" s="465" t="s">
        <v>265</v>
      </c>
      <c r="M557" s="110"/>
      <c r="O557" s="42" t="s">
        <v>647</v>
      </c>
      <c r="P557" s="105" t="str">
        <f t="shared" si="103"/>
        <v/>
      </c>
      <c r="Q557" s="105" t="str">
        <f t="shared" si="104"/>
        <v/>
      </c>
      <c r="R557" s="105" t="str">
        <f t="shared" si="105"/>
        <v/>
      </c>
      <c r="S557" s="774"/>
      <c r="T557" s="774"/>
      <c r="U557" s="774"/>
      <c r="W557" s="59"/>
      <c r="X557" s="455" t="s">
        <v>265</v>
      </c>
    </row>
    <row r="558" spans="1:24" ht="11.25" customHeight="1">
      <c r="A558" s="418">
        <v>30</v>
      </c>
      <c r="B558" s="93" t="s">
        <v>108</v>
      </c>
      <c r="C558" s="176">
        <f t="shared" si="106"/>
        <v>2.5</v>
      </c>
      <c r="D558" s="199" t="str">
        <f t="shared" si="106"/>
        <v/>
      </c>
      <c r="E558" s="176" t="str">
        <f t="shared" si="106"/>
        <v/>
      </c>
      <c r="F558" s="176" t="str">
        <f t="shared" si="106"/>
        <v/>
      </c>
      <c r="G558" s="199" t="str">
        <f t="shared" si="106"/>
        <v/>
      </c>
      <c r="H558" s="104" t="str">
        <f t="shared" si="106"/>
        <v/>
      </c>
      <c r="I558" s="653" t="str">
        <f>IF(OR(H558="",AND(LFMAS="",SFMAS=""),AND($C$554="mA",D558="")),"",IF($C$554="mAs",H558/C558,H558/(C558*D558)))</f>
        <v/>
      </c>
      <c r="J558" s="846"/>
      <c r="K558" s="215" t="s">
        <v>108</v>
      </c>
      <c r="L558" s="465" t="s">
        <v>265</v>
      </c>
      <c r="M558" s="110"/>
      <c r="O558" s="42" t="s">
        <v>648</v>
      </c>
      <c r="P558" s="105" t="str">
        <f t="shared" si="103"/>
        <v/>
      </c>
      <c r="Q558" s="105" t="str">
        <f t="shared" si="104"/>
        <v/>
      </c>
      <c r="R558" s="105" t="str">
        <f t="shared" si="105"/>
        <v/>
      </c>
      <c r="S558" s="774"/>
      <c r="T558" s="774"/>
      <c r="U558" s="774"/>
      <c r="W558" s="59"/>
      <c r="X558" s="455" t="s">
        <v>265</v>
      </c>
    </row>
    <row r="559" spans="1:24" ht="11.25" customHeight="1" thickBot="1">
      <c r="A559" s="418">
        <v>31</v>
      </c>
      <c r="B559" s="162" t="s">
        <v>108</v>
      </c>
      <c r="C559" s="179">
        <f t="shared" si="106"/>
        <v>16</v>
      </c>
      <c r="D559" s="300" t="str">
        <f t="shared" si="106"/>
        <v/>
      </c>
      <c r="E559" s="179" t="str">
        <f t="shared" si="106"/>
        <v/>
      </c>
      <c r="F559" s="179" t="str">
        <f t="shared" si="106"/>
        <v/>
      </c>
      <c r="G559" s="300" t="str">
        <f t="shared" si="106"/>
        <v/>
      </c>
      <c r="H559" s="126" t="str">
        <f t="shared" si="106"/>
        <v/>
      </c>
      <c r="I559" s="654" t="str">
        <f>IF(OR(H559="",AND(LFMAS="",SFMAS=""),AND($C$554="mA",D559="")),"",IF($C$554="mAs",H559/C559,H559/(C559*D559)))</f>
        <v/>
      </c>
      <c r="J559" s="840"/>
      <c r="K559" s="216" t="str">
        <f>IF(J557="","TBD",IF(J557&gt;0.1,"NO","YES"))</f>
        <v>TBD</v>
      </c>
      <c r="L559" s="465" t="s">
        <v>265</v>
      </c>
      <c r="M559" s="110"/>
      <c r="O559" s="42" t="s">
        <v>649</v>
      </c>
      <c r="P559" s="105" t="str">
        <f t="shared" si="103"/>
        <v/>
      </c>
      <c r="Q559" s="105" t="str">
        <f t="shared" si="104"/>
        <v/>
      </c>
      <c r="R559" s="105" t="str">
        <f t="shared" si="105"/>
        <v/>
      </c>
      <c r="S559" s="774"/>
      <c r="T559" s="774"/>
      <c r="U559" s="774"/>
      <c r="W559" s="59"/>
      <c r="X559" s="455" t="s">
        <v>265</v>
      </c>
    </row>
    <row r="560" spans="1:24" ht="11.25" customHeight="1">
      <c r="A560" s="418">
        <v>32</v>
      </c>
      <c r="B560" s="73" t="s">
        <v>109</v>
      </c>
      <c r="C560" s="37"/>
      <c r="D560" s="37"/>
      <c r="E560" s="37"/>
      <c r="F560" s="37"/>
      <c r="G560" s="37"/>
      <c r="H560" s="37"/>
      <c r="I560" s="42"/>
      <c r="J560" s="37"/>
      <c r="K560" s="57"/>
      <c r="L560" s="465" t="s">
        <v>265</v>
      </c>
      <c r="M560" s="110"/>
      <c r="N560" s="254"/>
      <c r="W560" s="59"/>
      <c r="X560" s="455" t="s">
        <v>265</v>
      </c>
    </row>
    <row r="561" spans="1:24" ht="11.25" customHeight="1">
      <c r="A561" s="418">
        <v>33</v>
      </c>
      <c r="B561" s="54"/>
      <c r="C561" s="37"/>
      <c r="D561" s="37"/>
      <c r="E561" s="37"/>
      <c r="F561" s="37"/>
      <c r="G561" s="37"/>
      <c r="H561" s="37"/>
      <c r="I561" s="37"/>
      <c r="J561" s="37"/>
      <c r="K561" s="57"/>
      <c r="L561" s="465" t="s">
        <v>265</v>
      </c>
      <c r="M561" s="749" t="s">
        <v>607</v>
      </c>
      <c r="N561" s="254"/>
      <c r="W561" s="59"/>
      <c r="X561" s="455" t="s">
        <v>265</v>
      </c>
    </row>
    <row r="562" spans="1:24" ht="11.25" customHeight="1">
      <c r="A562" s="418">
        <v>34</v>
      </c>
      <c r="B562" s="90" t="s">
        <v>346</v>
      </c>
      <c r="C562" s="560" t="str">
        <f>IF(O410="","",IF(LEN(O410)&lt;=135,O410,IF(LEN(O410)&lt;=260,LEFT(O410,SEARCH(" ",O410,125)),LEFT(O410,SEARCH(" ",O410,130)))))</f>
        <v/>
      </c>
      <c r="D562" s="36"/>
      <c r="E562" s="36"/>
      <c r="F562" s="168"/>
      <c r="G562" s="36"/>
      <c r="H562" s="36"/>
      <c r="I562" s="36"/>
      <c r="J562" s="36"/>
      <c r="K562" s="57"/>
      <c r="L562" s="465" t="s">
        <v>265</v>
      </c>
      <c r="M562" s="110"/>
      <c r="N562" s="42" t="s">
        <v>21</v>
      </c>
      <c r="O562" s="47" t="str">
        <f>IF($O$227="","",$O$227)</f>
        <v>Piranha CB2-19020491</v>
      </c>
      <c r="R562" s="42"/>
      <c r="U562" s="42"/>
      <c r="W562" s="59"/>
      <c r="X562" s="455" t="s">
        <v>265</v>
      </c>
    </row>
    <row r="563" spans="1:24" ht="11.25" customHeight="1">
      <c r="A563" s="418">
        <v>35</v>
      </c>
      <c r="B563" s="54"/>
      <c r="C563" s="561" t="str">
        <f>IF(LEN(O410)&lt;=135,"",IF(LEN(O410)&lt;=260,RIGHT(O410,LEN(O410)-SEARCH(" ",O410,125)),MID(O410,SEARCH(" ",O410,130),IF(LEN(O410)&lt;=265,LEN(O410),SEARCH(" ",O410,255)-SEARCH(" ",O410,130)))))</f>
        <v/>
      </c>
      <c r="D563" s="36"/>
      <c r="E563" s="36"/>
      <c r="F563" s="168"/>
      <c r="G563" s="36"/>
      <c r="H563" s="36"/>
      <c r="I563" s="36"/>
      <c r="J563" s="36"/>
      <c r="K563" s="57"/>
      <c r="L563" s="465" t="s">
        <v>265</v>
      </c>
      <c r="M563" s="110"/>
      <c r="N563" s="42" t="s">
        <v>635</v>
      </c>
      <c r="O563" s="773">
        <v>100</v>
      </c>
      <c r="P563" s="254"/>
      <c r="Q563" s="254"/>
      <c r="R563" s="254"/>
      <c r="W563" s="59"/>
      <c r="X563" s="455" t="s">
        <v>265</v>
      </c>
    </row>
    <row r="564" spans="1:24" ht="11.25" customHeight="1">
      <c r="A564" s="418">
        <v>36</v>
      </c>
      <c r="B564" s="54"/>
      <c r="C564" s="560" t="str">
        <f>IF(LEN(O410)&lt;=265,"",RIGHT(O410,LEN(O410)-SEARCH(" ",O410,255)))</f>
        <v/>
      </c>
      <c r="D564" s="36"/>
      <c r="E564" s="36"/>
      <c r="F564" s="168"/>
      <c r="G564" s="36"/>
      <c r="H564" s="36"/>
      <c r="I564" s="36"/>
      <c r="J564" s="36"/>
      <c r="K564" s="57"/>
      <c r="L564" s="465" t="s">
        <v>265</v>
      </c>
      <c r="M564" s="110"/>
      <c r="N564" s="42" t="s">
        <v>636</v>
      </c>
      <c r="O564" s="773">
        <v>1</v>
      </c>
      <c r="U564" s="746"/>
      <c r="V564" s="254"/>
      <c r="W564" s="750"/>
      <c r="X564" s="455" t="s">
        <v>265</v>
      </c>
    </row>
    <row r="565" spans="1:24" ht="11.25" customHeight="1">
      <c r="A565" s="418">
        <v>37</v>
      </c>
      <c r="B565" s="54"/>
      <c r="C565" s="37"/>
      <c r="D565" s="37"/>
      <c r="E565" s="37"/>
      <c r="F565" s="101"/>
      <c r="G565" s="37"/>
      <c r="H565" s="37"/>
      <c r="I565" s="37"/>
      <c r="J565" s="37"/>
      <c r="K565" s="57"/>
      <c r="L565" s="465" t="s">
        <v>265</v>
      </c>
      <c r="M565" s="110"/>
      <c r="V565" s="254"/>
      <c r="W565" s="750"/>
      <c r="X565" s="455" t="s">
        <v>265</v>
      </c>
    </row>
    <row r="566" spans="1:24" ht="11.25" customHeight="1">
      <c r="A566" s="418">
        <v>38</v>
      </c>
      <c r="B566" s="223" t="s">
        <v>111</v>
      </c>
      <c r="C566" s="111"/>
      <c r="D566" s="111"/>
      <c r="E566" s="37"/>
      <c r="F566" s="37"/>
      <c r="G566" s="37"/>
      <c r="H566" s="37"/>
      <c r="I566" s="37"/>
      <c r="J566" s="37"/>
      <c r="K566" s="57"/>
      <c r="L566" s="465" t="s">
        <v>265</v>
      </c>
      <c r="M566" s="110"/>
      <c r="N566" s="254"/>
      <c r="O566" s="105" t="str">
        <f>P541</f>
        <v>Abdomen</v>
      </c>
      <c r="P566" s="105" t="str">
        <f t="shared" ref="P566:Q566" si="107">Q541</f>
        <v>Pelvis</v>
      </c>
      <c r="Q566" s="105" t="str">
        <f t="shared" si="107"/>
        <v>Head</v>
      </c>
      <c r="U566" s="254"/>
      <c r="V566" s="37" t="s">
        <v>617</v>
      </c>
      <c r="W566" s="57" t="s">
        <v>618</v>
      </c>
      <c r="X566" s="455" t="s">
        <v>265</v>
      </c>
    </row>
    <row r="567" spans="1:24" ht="11.25" customHeight="1">
      <c r="A567" s="418">
        <v>39</v>
      </c>
      <c r="B567" s="54"/>
      <c r="C567" s="37"/>
      <c r="D567" s="37"/>
      <c r="E567" s="37" t="s">
        <v>112</v>
      </c>
      <c r="F567" s="37"/>
      <c r="G567" s="37"/>
      <c r="H567" s="37"/>
      <c r="I567" s="37"/>
      <c r="J567" s="37"/>
      <c r="K567" s="57"/>
      <c r="L567" s="465" t="s">
        <v>265</v>
      </c>
      <c r="M567" s="110"/>
      <c r="N567" s="42" t="s">
        <v>628</v>
      </c>
      <c r="O567" s="105" t="str">
        <f>IF(P559="","",P559)</f>
        <v/>
      </c>
      <c r="P567" s="105" t="str">
        <f>IF(Q559="","",Q559)</f>
        <v/>
      </c>
      <c r="Q567" s="105" t="str">
        <f>IF(R559="","",R559)</f>
        <v/>
      </c>
      <c r="U567" s="254"/>
      <c r="V567" s="37" t="s">
        <v>619</v>
      </c>
      <c r="W567" s="57" t="s">
        <v>619</v>
      </c>
      <c r="X567" s="455" t="s">
        <v>265</v>
      </c>
    </row>
    <row r="568" spans="1:24" ht="11.25" customHeight="1" thickBot="1">
      <c r="A568" s="418">
        <v>40</v>
      </c>
      <c r="B568" s="54"/>
      <c r="C568" s="127" t="s">
        <v>513</v>
      </c>
      <c r="D568" s="111"/>
      <c r="E568" s="103" t="s">
        <v>104</v>
      </c>
      <c r="F568" s="37"/>
      <c r="G568" s="37"/>
      <c r="H568" s="37"/>
      <c r="I568" s="37"/>
      <c r="J568" s="37"/>
      <c r="K568" s="57"/>
      <c r="L568" s="465" t="s">
        <v>265</v>
      </c>
      <c r="M568" s="110"/>
      <c r="N568" s="794" t="s">
        <v>633</v>
      </c>
      <c r="O568" s="738"/>
      <c r="P568" s="738"/>
      <c r="Q568" s="738"/>
      <c r="U568" s="42" t="s">
        <v>600</v>
      </c>
      <c r="V568" s="37">
        <v>25</v>
      </c>
      <c r="W568" s="57">
        <v>30</v>
      </c>
      <c r="X568" s="455" t="s">
        <v>265</v>
      </c>
    </row>
    <row r="569" spans="1:24" ht="11.25" customHeight="1" thickBot="1">
      <c r="A569" s="418">
        <v>41</v>
      </c>
      <c r="B569" s="54"/>
      <c r="C569" s="184" t="s">
        <v>105</v>
      </c>
      <c r="D569" s="186"/>
      <c r="E569" s="126" t="s">
        <v>23</v>
      </c>
      <c r="F569" s="37"/>
      <c r="G569" s="677" t="s">
        <v>373</v>
      </c>
      <c r="H569" s="37"/>
      <c r="I569" s="37"/>
      <c r="J569" s="37"/>
      <c r="K569" s="57"/>
      <c r="L569" s="465" t="s">
        <v>265</v>
      </c>
      <c r="M569" s="110"/>
      <c r="N569" s="794"/>
      <c r="O569" s="738"/>
      <c r="P569" s="738"/>
      <c r="Q569" s="738"/>
      <c r="U569" s="42" t="s">
        <v>620</v>
      </c>
      <c r="V569" s="37">
        <v>75</v>
      </c>
      <c r="W569" s="57">
        <v>80</v>
      </c>
      <c r="X569" s="455" t="s">
        <v>265</v>
      </c>
    </row>
    <row r="570" spans="1:24" ht="11.25" customHeight="1">
      <c r="A570" s="418">
        <v>42</v>
      </c>
      <c r="B570" s="54"/>
      <c r="C570" s="185" t="s">
        <v>114</v>
      </c>
      <c r="D570" s="655">
        <f>MAX(I540:I544,I555:I559)</f>
        <v>0</v>
      </c>
      <c r="E570" s="103" t="s">
        <v>108</v>
      </c>
      <c r="F570" s="37"/>
      <c r="G570" s="212" t="s">
        <v>108</v>
      </c>
      <c r="H570" s="37"/>
      <c r="I570" s="37"/>
      <c r="J570" s="37"/>
      <c r="K570" s="57"/>
      <c r="L570" s="465" t="s">
        <v>265</v>
      </c>
      <c r="M570" s="110"/>
      <c r="N570" s="794"/>
      <c r="O570" s="738"/>
      <c r="P570" s="738"/>
      <c r="Q570" s="738"/>
      <c r="U570" s="42" t="s">
        <v>621</v>
      </c>
      <c r="V570" s="37">
        <v>15</v>
      </c>
      <c r="W570" s="57">
        <v>20</v>
      </c>
      <c r="X570" s="455" t="s">
        <v>265</v>
      </c>
    </row>
    <row r="571" spans="1:24" ht="11.25" customHeight="1" thickBot="1">
      <c r="A571" s="418">
        <v>43</v>
      </c>
      <c r="B571" s="54"/>
      <c r="C571" s="185" t="s">
        <v>116</v>
      </c>
      <c r="D571" s="655">
        <f>MIN(I540:I544,I555:I559)</f>
        <v>0</v>
      </c>
      <c r="E571" s="119" t="str">
        <f>IF(OR(I540="",I541="",I555="",I556=""),"NA",(MAX(I540:I544,I555:I559)-MIN(I540:I544,I555:I559))/(MAX(I540:I544,I555:I559)+MIN(I540:I544,I555:I559)))</f>
        <v>NA</v>
      </c>
      <c r="F571" s="37"/>
      <c r="G571" s="211" t="str">
        <f>IF(OR(E571="NA",$Q$388&lt;&gt;$Q$403),"NA",IF(E571&gt;0.1,"NO","YES"))</f>
        <v>NA</v>
      </c>
      <c r="H571" s="37"/>
      <c r="I571" s="37"/>
      <c r="J571" s="37"/>
      <c r="K571" s="57"/>
      <c r="L571" s="465" t="s">
        <v>265</v>
      </c>
      <c r="M571" s="110"/>
      <c r="N571" s="789" t="s">
        <v>660</v>
      </c>
      <c r="O571" s="105" t="str">
        <f>IF(O568="","",$O$563*$O$564*AVERAGE(O568:O570)/(P$553*P$552))</f>
        <v/>
      </c>
      <c r="P571" s="105" t="str">
        <f>IF(P568="","",$O$563*$O$564*AVERAGE(P568:P570)/(Q$553*Q$552))</f>
        <v/>
      </c>
      <c r="Q571" s="105" t="str">
        <f>IF(Q568="","",$O$563*$O$564*AVERAGE(Q568:Q570)/(R$553*R$552))</f>
        <v/>
      </c>
      <c r="U571" s="42" t="s">
        <v>622</v>
      </c>
      <c r="V571" s="37">
        <v>7.5</v>
      </c>
      <c r="W571" s="57">
        <v>10</v>
      </c>
      <c r="X571" s="455" t="s">
        <v>265</v>
      </c>
    </row>
    <row r="572" spans="1:24" ht="11.25" customHeight="1">
      <c r="A572" s="418">
        <v>44</v>
      </c>
      <c r="B572" s="110"/>
      <c r="K572" s="59"/>
      <c r="L572" s="465" t="s">
        <v>265</v>
      </c>
      <c r="M572" s="54" t="s">
        <v>634</v>
      </c>
      <c r="N572" s="790" t="s">
        <v>624</v>
      </c>
      <c r="O572" s="738"/>
      <c r="P572" s="738"/>
      <c r="Q572" s="738"/>
      <c r="U572" s="42" t="s">
        <v>623</v>
      </c>
      <c r="V572" s="37">
        <v>35</v>
      </c>
      <c r="W572" s="57">
        <v>40</v>
      </c>
      <c r="X572" s="455" t="s">
        <v>265</v>
      </c>
    </row>
    <row r="573" spans="1:24" ht="11.25" customHeight="1">
      <c r="A573" s="418">
        <v>45</v>
      </c>
      <c r="B573" s="110"/>
      <c r="C573" s="38" t="s">
        <v>113</v>
      </c>
      <c r="D573" s="37"/>
      <c r="E573" s="37"/>
      <c r="F573" s="37"/>
      <c r="G573" s="37"/>
      <c r="H573" s="37"/>
      <c r="I573" s="37"/>
      <c r="J573" s="37"/>
      <c r="K573" s="57"/>
      <c r="L573" s="465" t="s">
        <v>265</v>
      </c>
      <c r="M573" s="54"/>
      <c r="N573" s="790" t="s">
        <v>625</v>
      </c>
      <c r="O573" s="738"/>
      <c r="P573" s="738"/>
      <c r="Q573" s="738"/>
      <c r="W573" s="59"/>
      <c r="X573" s="455" t="s">
        <v>265</v>
      </c>
    </row>
    <row r="574" spans="1:24" ht="11.25" customHeight="1">
      <c r="A574" s="418">
        <v>46</v>
      </c>
      <c r="B574" s="110"/>
      <c r="C574" s="37"/>
      <c r="D574" s="42" t="s">
        <v>115</v>
      </c>
      <c r="E574" s="37"/>
      <c r="F574" s="101" t="s">
        <v>516</v>
      </c>
      <c r="G574" s="37"/>
      <c r="H574" s="37"/>
      <c r="I574" s="37"/>
      <c r="J574" s="37"/>
      <c r="K574" s="57"/>
      <c r="L574" s="465" t="s">
        <v>265</v>
      </c>
      <c r="M574" s="54"/>
      <c r="N574" s="790" t="s">
        <v>627</v>
      </c>
      <c r="O574" s="738"/>
      <c r="P574" s="738"/>
      <c r="Q574" s="738"/>
      <c r="W574" s="59"/>
      <c r="X574" s="455" t="s">
        <v>265</v>
      </c>
    </row>
    <row r="575" spans="1:24" ht="11.25" customHeight="1">
      <c r="A575" s="418">
        <v>47</v>
      </c>
      <c r="B575" s="110"/>
      <c r="C575" s="37"/>
      <c r="D575" s="37"/>
      <c r="E575" s="37"/>
      <c r="F575" s="37" t="s">
        <v>517</v>
      </c>
      <c r="G575" s="37"/>
      <c r="H575" s="37"/>
      <c r="I575" s="37"/>
      <c r="J575" s="37"/>
      <c r="K575" s="57"/>
      <c r="L575" s="465" t="s">
        <v>265</v>
      </c>
      <c r="M575" s="54"/>
      <c r="N575" s="790" t="s">
        <v>626</v>
      </c>
      <c r="O575" s="738"/>
      <c r="P575" s="738"/>
      <c r="Q575" s="738"/>
      <c r="W575" s="59"/>
      <c r="X575" s="455" t="s">
        <v>265</v>
      </c>
    </row>
    <row r="576" spans="1:24" ht="11.25" customHeight="1">
      <c r="A576" s="418">
        <v>48</v>
      </c>
      <c r="B576" s="110"/>
      <c r="C576" s="37"/>
      <c r="D576" s="37"/>
      <c r="E576" s="37"/>
      <c r="F576" s="37"/>
      <c r="G576" s="37"/>
      <c r="H576" s="37"/>
      <c r="I576" s="37"/>
      <c r="J576" s="37"/>
      <c r="K576" s="57"/>
      <c r="L576" s="465" t="s">
        <v>265</v>
      </c>
      <c r="M576" s="110"/>
      <c r="N576" s="789" t="s">
        <v>661</v>
      </c>
      <c r="O576" s="105" t="e">
        <f>AVERAGE(O572:O575)</f>
        <v>#DIV/0!</v>
      </c>
      <c r="P576" s="105" t="e">
        <f t="shared" ref="P576:Q576" si="108">AVERAGE(P572:P575)</f>
        <v>#DIV/0!</v>
      </c>
      <c r="Q576" s="105" t="e">
        <f t="shared" si="108"/>
        <v>#DIV/0!</v>
      </c>
      <c r="W576" s="59"/>
      <c r="X576" s="455" t="s">
        <v>265</v>
      </c>
    </row>
    <row r="577" spans="1:24" ht="11.25" customHeight="1">
      <c r="A577" s="418">
        <v>49</v>
      </c>
      <c r="B577" s="110"/>
      <c r="C577" s="37"/>
      <c r="D577" s="42" t="s">
        <v>117</v>
      </c>
      <c r="E577" s="37"/>
      <c r="F577" s="101" t="s">
        <v>518</v>
      </c>
      <c r="G577" s="37"/>
      <c r="H577" s="37"/>
      <c r="I577" s="37"/>
      <c r="J577" s="37"/>
      <c r="K577" s="57"/>
      <c r="L577" s="465" t="s">
        <v>265</v>
      </c>
      <c r="M577" s="110"/>
      <c r="N577" s="42" t="s">
        <v>662</v>
      </c>
      <c r="O577" s="105" t="str">
        <f>IF(OR(O568="",O572=""),"",O571/3+(2/3)*O576)</f>
        <v/>
      </c>
      <c r="P577" s="105" t="str">
        <f t="shared" ref="P577:Q577" si="109">IF(OR(P568="",P572=""),"",P571/3+(2/3)*P576)</f>
        <v/>
      </c>
      <c r="Q577" s="105" t="str">
        <f t="shared" si="109"/>
        <v/>
      </c>
      <c r="W577" s="59"/>
      <c r="X577" s="455" t="s">
        <v>265</v>
      </c>
    </row>
    <row r="578" spans="1:24" ht="11.25" customHeight="1">
      <c r="A578" s="418">
        <v>50</v>
      </c>
      <c r="B578" s="110"/>
      <c r="C578" s="37"/>
      <c r="D578" s="37"/>
      <c r="E578" s="37"/>
      <c r="F578" s="37" t="s">
        <v>519</v>
      </c>
      <c r="G578" s="37"/>
      <c r="H578" s="37"/>
      <c r="I578" s="37"/>
      <c r="J578" s="37"/>
      <c r="K578" s="57"/>
      <c r="L578" s="465" t="s">
        <v>265</v>
      </c>
      <c r="M578" s="110"/>
      <c r="N578" s="42" t="s">
        <v>608</v>
      </c>
      <c r="O578" s="775">
        <v>32</v>
      </c>
      <c r="P578" s="775">
        <v>32</v>
      </c>
      <c r="Q578" s="775"/>
      <c r="W578" s="59"/>
      <c r="X578" s="455" t="s">
        <v>265</v>
      </c>
    </row>
    <row r="579" spans="1:24" ht="11.25" customHeight="1">
      <c r="A579" s="418">
        <v>51</v>
      </c>
      <c r="B579" s="54"/>
      <c r="F579" s="37"/>
      <c r="G579" s="37"/>
      <c r="H579" s="37"/>
      <c r="I579" s="37"/>
      <c r="J579" s="37"/>
      <c r="K579" s="57"/>
      <c r="L579" s="465" t="s">
        <v>265</v>
      </c>
      <c r="M579" s="110"/>
      <c r="N579" s="42" t="s">
        <v>609</v>
      </c>
      <c r="O579" s="581" t="str">
        <f>IF(AB312="","",AB312)</f>
        <v/>
      </c>
      <c r="P579" s="722" t="str">
        <f>IF(AB313="","",AB313)</f>
        <v/>
      </c>
      <c r="Q579" s="722" t="str">
        <f>IF(AB314="","",AB314)</f>
        <v/>
      </c>
      <c r="W579" s="59"/>
      <c r="X579" s="455" t="s">
        <v>265</v>
      </c>
    </row>
    <row r="580" spans="1:24" ht="11.25" customHeight="1">
      <c r="A580" s="418">
        <v>52</v>
      </c>
      <c r="B580" s="54"/>
      <c r="C580" s="115" t="s">
        <v>354</v>
      </c>
      <c r="D580" s="88" t="s">
        <v>118</v>
      </c>
      <c r="E580" s="37"/>
      <c r="F580" s="37"/>
      <c r="G580" s="37"/>
      <c r="H580" s="37"/>
      <c r="I580" s="37"/>
      <c r="J580" s="37"/>
      <c r="K580" s="57"/>
      <c r="L580" s="465" t="s">
        <v>265</v>
      </c>
      <c r="M580" s="110"/>
      <c r="N580" s="42" t="s">
        <v>610</v>
      </c>
      <c r="O580" s="739" t="str">
        <f>IF(OR(O579="",O577=""),"",ABS(O577-O579)/O579)</f>
        <v/>
      </c>
      <c r="P580" s="739" t="str">
        <f t="shared" ref="P580:Q580" si="110">IF(OR(P579="",P577=""),"",ABS(P577-P579)/P579)</f>
        <v/>
      </c>
      <c r="Q580" s="739" t="str">
        <f t="shared" si="110"/>
        <v/>
      </c>
      <c r="W580" s="59"/>
      <c r="X580" s="455" t="s">
        <v>265</v>
      </c>
    </row>
    <row r="581" spans="1:24" ht="11.25" customHeight="1">
      <c r="A581" s="418">
        <v>53</v>
      </c>
      <c r="B581" s="54"/>
      <c r="C581" s="37"/>
      <c r="D581" s="37"/>
      <c r="E581" s="37"/>
      <c r="F581" s="37"/>
      <c r="G581" s="37"/>
      <c r="H581" s="37"/>
      <c r="I581" s="37"/>
      <c r="J581" s="37"/>
      <c r="K581" s="57"/>
      <c r="L581" s="465" t="s">
        <v>265</v>
      </c>
      <c r="M581" s="110"/>
      <c r="N581" s="42" t="s">
        <v>611</v>
      </c>
      <c r="O581" s="739"/>
      <c r="P581" s="739"/>
      <c r="Q581" s="739"/>
      <c r="W581" s="59"/>
      <c r="X581" s="455" t="s">
        <v>265</v>
      </c>
    </row>
    <row r="582" spans="1:24" ht="11.25" customHeight="1">
      <c r="A582" s="418">
        <v>54</v>
      </c>
      <c r="B582" s="95" t="s">
        <v>267</v>
      </c>
      <c r="C582" s="41"/>
      <c r="F582" s="87" t="s">
        <v>119</v>
      </c>
      <c r="J582" s="196" t="s">
        <v>269</v>
      </c>
      <c r="K582" s="278"/>
      <c r="L582" s="465" t="s">
        <v>265</v>
      </c>
      <c r="M582" s="110"/>
      <c r="N582" s="42" t="s">
        <v>353</v>
      </c>
      <c r="O582" s="105" t="str">
        <f>IF(O577="","",IF(O579="","",IF(AND(O579&lt;=W568,O580&lt;=0.05),"Pass","Fail")))</f>
        <v/>
      </c>
      <c r="P582" s="105" t="str">
        <f t="shared" ref="P582:Q582" si="111">IF(P577="","",IF(P579="","",IF(AND(P579&lt;=X568,P580&lt;=0.05),"Pass","Fail")))</f>
        <v/>
      </c>
      <c r="Q582" s="105" t="str">
        <f t="shared" si="111"/>
        <v/>
      </c>
      <c r="W582" s="59"/>
      <c r="X582" s="455" t="s">
        <v>265</v>
      </c>
    </row>
    <row r="583" spans="1:24" ht="11.25" customHeight="1">
      <c r="A583" s="418">
        <v>55</v>
      </c>
      <c r="B583" s="97" t="s">
        <v>697</v>
      </c>
      <c r="C583" s="98"/>
      <c r="D583" s="38" t="s">
        <v>120</v>
      </c>
      <c r="E583" s="37"/>
      <c r="F583" s="37"/>
      <c r="G583" s="37"/>
      <c r="H583" s="37"/>
      <c r="I583" s="37"/>
      <c r="J583" s="668" t="str">
        <f>IF($M$53=1,$T$52,IF($M431="","TBD",IF($M431=1,"YES",IF($M431=3,"NA",""))))</f>
        <v>TBD</v>
      </c>
      <c r="K583" s="257" t="str">
        <f>IF($M$53=1,"",IF($M431=2,"NO",""))</f>
        <v/>
      </c>
      <c r="L583" s="465" t="s">
        <v>265</v>
      </c>
      <c r="M583" s="110"/>
      <c r="N583" s="42" t="s">
        <v>612</v>
      </c>
      <c r="O583" s="105" t="str">
        <f>IF(OR(O577="",P546=""),"",O577/(P546/100))</f>
        <v/>
      </c>
      <c r="P583" s="105" t="str">
        <f>IF(OR(P577="",Q546=""),"",P577/(Q546/100))</f>
        <v/>
      </c>
      <c r="Q583" s="105" t="str">
        <f t="shared" ref="Q583" si="112">IF(OR(Q577="",R546=""),"",Q577/(R546/100))</f>
        <v/>
      </c>
      <c r="W583" s="59"/>
      <c r="X583" s="455" t="s">
        <v>265</v>
      </c>
    </row>
    <row r="584" spans="1:24" ht="11.25" customHeight="1">
      <c r="A584" s="418">
        <v>56</v>
      </c>
      <c r="B584" s="97"/>
      <c r="C584" s="98"/>
      <c r="D584" s="38" t="s">
        <v>121</v>
      </c>
      <c r="J584" s="668" t="str">
        <f>IF($M$53=1,$T$52,IF($M432="","TBD",IF($M432=1,"YES",IF($M432=3,"NA",""))))</f>
        <v>TBD</v>
      </c>
      <c r="K584" s="257" t="str">
        <f>IF($M$53=1,"",IF($M432=2,"NO",""))</f>
        <v/>
      </c>
      <c r="L584" s="465" t="s">
        <v>265</v>
      </c>
      <c r="M584" s="110"/>
      <c r="N584" s="42" t="s">
        <v>613</v>
      </c>
      <c r="O584" s="581" t="str">
        <f>IF(AB316="","",AB316)</f>
        <v/>
      </c>
      <c r="P584" s="722" t="str">
        <f>IF(AB317="","",AB317)</f>
        <v/>
      </c>
      <c r="Q584" s="722" t="str">
        <f>IF(AB318="","",AB318)</f>
        <v/>
      </c>
      <c r="W584" s="59"/>
      <c r="X584" s="455" t="s">
        <v>265</v>
      </c>
    </row>
    <row r="585" spans="1:24" ht="11.25" customHeight="1">
      <c r="A585" s="418">
        <v>57</v>
      </c>
      <c r="B585" s="97"/>
      <c r="C585" s="98"/>
      <c r="D585" s="38" t="s">
        <v>122</v>
      </c>
      <c r="J585" s="668" t="str">
        <f t="shared" ref="J585:J590" si="113">IF($M433="","TBD",IF($M433=1,"YES",IF($M433=3,"NA","")))</f>
        <v>TBD</v>
      </c>
      <c r="K585" s="257" t="str">
        <f t="shared" ref="K585:K590" si="114">IF($M433=2,"NO","")</f>
        <v/>
      </c>
      <c r="L585" s="465" t="s">
        <v>265</v>
      </c>
      <c r="M585" s="110"/>
      <c r="N585" s="115" t="s">
        <v>354</v>
      </c>
      <c r="O585" s="254" t="s">
        <v>614</v>
      </c>
      <c r="P585" s="254"/>
      <c r="Q585" s="254"/>
      <c r="W585" s="59"/>
      <c r="X585" s="455" t="s">
        <v>265</v>
      </c>
    </row>
    <row r="586" spans="1:24" ht="11.25" customHeight="1">
      <c r="A586" s="418">
        <v>58</v>
      </c>
      <c r="B586" s="97"/>
      <c r="C586" s="98"/>
      <c r="D586" s="38" t="s">
        <v>124</v>
      </c>
      <c r="J586" s="668" t="str">
        <f t="shared" si="113"/>
        <v>NA</v>
      </c>
      <c r="K586" s="257" t="str">
        <f t="shared" si="114"/>
        <v/>
      </c>
      <c r="L586" s="465" t="s">
        <v>265</v>
      </c>
      <c r="M586" s="110"/>
      <c r="N586" s="254"/>
      <c r="O586" s="254" t="s">
        <v>615</v>
      </c>
      <c r="P586" s="254"/>
      <c r="Q586" s="254"/>
      <c r="W586" s="59"/>
      <c r="X586" s="455" t="s">
        <v>265</v>
      </c>
    </row>
    <row r="587" spans="1:24" ht="11.25" customHeight="1">
      <c r="A587" s="418">
        <v>59</v>
      </c>
      <c r="B587" s="97" t="s">
        <v>698</v>
      </c>
      <c r="C587" s="98"/>
      <c r="D587" s="38" t="s">
        <v>126</v>
      </c>
      <c r="E587" s="37"/>
      <c r="F587" s="37"/>
      <c r="G587" s="37"/>
      <c r="H587" s="37"/>
      <c r="I587" s="37"/>
      <c r="J587" s="668" t="str">
        <f t="shared" si="113"/>
        <v>TBD</v>
      </c>
      <c r="K587" s="257" t="str">
        <f t="shared" si="114"/>
        <v/>
      </c>
      <c r="L587" s="465" t="s">
        <v>265</v>
      </c>
      <c r="M587" s="110"/>
      <c r="W587" s="59"/>
      <c r="X587" s="455" t="s">
        <v>265</v>
      </c>
    </row>
    <row r="588" spans="1:24" ht="11.25" customHeight="1">
      <c r="A588" s="418">
        <v>60</v>
      </c>
      <c r="B588" s="97" t="s">
        <v>699</v>
      </c>
      <c r="C588" s="98"/>
      <c r="D588" s="38" t="s">
        <v>128</v>
      </c>
      <c r="E588" s="37"/>
      <c r="F588" s="37"/>
      <c r="G588" s="37"/>
      <c r="H588" s="37"/>
      <c r="I588" s="37"/>
      <c r="J588" s="668" t="str">
        <f t="shared" si="113"/>
        <v>TBD</v>
      </c>
      <c r="K588" s="257" t="str">
        <f t="shared" si="114"/>
        <v/>
      </c>
      <c r="L588" s="465" t="s">
        <v>265</v>
      </c>
      <c r="M588" s="110"/>
      <c r="O588" s="254"/>
      <c r="W588" s="59"/>
      <c r="X588" s="455" t="s">
        <v>265</v>
      </c>
    </row>
    <row r="589" spans="1:24" ht="11.25" customHeight="1">
      <c r="A589" s="418">
        <v>61</v>
      </c>
      <c r="B589" s="97" t="s">
        <v>700</v>
      </c>
      <c r="C589" s="98"/>
      <c r="D589" s="38" t="s">
        <v>130</v>
      </c>
      <c r="E589" s="37"/>
      <c r="F589" s="37"/>
      <c r="G589" s="37"/>
      <c r="H589" s="37"/>
      <c r="I589" s="37"/>
      <c r="J589" s="668" t="str">
        <f t="shared" si="113"/>
        <v>TBD</v>
      </c>
      <c r="K589" s="257" t="str">
        <f t="shared" si="114"/>
        <v/>
      </c>
      <c r="L589" s="465" t="s">
        <v>265</v>
      </c>
      <c r="M589" s="110"/>
      <c r="W589" s="59"/>
      <c r="X589" s="455" t="s">
        <v>265</v>
      </c>
    </row>
    <row r="590" spans="1:24" ht="11.25" customHeight="1">
      <c r="A590" s="418">
        <v>62</v>
      </c>
      <c r="B590" s="97"/>
      <c r="C590" s="98"/>
      <c r="D590" s="38" t="s">
        <v>132</v>
      </c>
      <c r="E590" s="37"/>
      <c r="F590" s="37"/>
      <c r="G590" s="37"/>
      <c r="H590" s="37"/>
      <c r="I590" s="37"/>
      <c r="J590" s="668" t="str">
        <f t="shared" si="113"/>
        <v>TBD</v>
      </c>
      <c r="K590" s="257" t="str">
        <f t="shared" si="114"/>
        <v/>
      </c>
      <c r="L590" s="465" t="s">
        <v>265</v>
      </c>
      <c r="X590" s="455" t="s">
        <v>265</v>
      </c>
    </row>
    <row r="591" spans="1:24" ht="11.25" customHeight="1" thickBot="1">
      <c r="A591" s="418">
        <v>63</v>
      </c>
      <c r="B591" s="60"/>
      <c r="C591" s="61"/>
      <c r="D591" s="61"/>
      <c r="E591" s="61"/>
      <c r="F591" s="61"/>
      <c r="G591" s="61"/>
      <c r="H591" s="61"/>
      <c r="I591" s="61"/>
      <c r="J591" s="61"/>
      <c r="K591" s="62"/>
      <c r="L591" s="465" t="s">
        <v>265</v>
      </c>
      <c r="X591" s="455" t="s">
        <v>265</v>
      </c>
    </row>
    <row r="592" spans="1:24" ht="11.25" customHeight="1" thickTop="1">
      <c r="A592" s="418">
        <v>64</v>
      </c>
      <c r="L592" s="465" t="s">
        <v>265</v>
      </c>
      <c r="X592" s="455" t="s">
        <v>265</v>
      </c>
    </row>
    <row r="593" spans="1:24" ht="11.25" customHeight="1">
      <c r="A593" s="418">
        <v>65</v>
      </c>
      <c r="B593" s="40" t="str">
        <f t="array" ref="B593:C594">$B$65:$C$66</f>
        <v>Date:</v>
      </c>
      <c r="C593" s="674" t="str">
        <v/>
      </c>
      <c r="D593" s="44"/>
      <c r="E593" s="37"/>
      <c r="F593" s="37"/>
      <c r="G593" s="37"/>
      <c r="H593" s="37"/>
      <c r="I593" s="40" t="str">
        <f t="array" ref="I593:J594">$I$65:$J$66</f>
        <v>Inspector:</v>
      </c>
      <c r="J593" s="303" t="str">
        <v>Eugene Mah</v>
      </c>
      <c r="L593" s="465" t="s">
        <v>265</v>
      </c>
      <c r="X593" s="455" t="s">
        <v>265</v>
      </c>
    </row>
    <row r="594" spans="1:24" ht="11.25" customHeight="1">
      <c r="A594" s="418">
        <v>66</v>
      </c>
      <c r="B594" s="40" t="str">
        <v>Room Number:</v>
      </c>
      <c r="C594" s="271" t="str">
        <v/>
      </c>
      <c r="D594" s="37"/>
      <c r="E594" s="37"/>
      <c r="F594" s="37"/>
      <c r="G594" s="37"/>
      <c r="H594" s="37"/>
      <c r="I594" s="40" t="str">
        <v>Survey ID:</v>
      </c>
      <c r="J594" s="615" t="str">
        <v/>
      </c>
      <c r="L594" s="465" t="s">
        <v>265</v>
      </c>
      <c r="X594" s="455" t="s">
        <v>265</v>
      </c>
    </row>
    <row r="595" spans="1:24" ht="11.25" customHeight="1">
      <c r="A595" s="418">
        <v>1</v>
      </c>
      <c r="K595" s="114" t="str">
        <f>$F$2</f>
        <v>Medical University of South Carolina</v>
      </c>
      <c r="L595" s="465" t="s">
        <v>265</v>
      </c>
      <c r="X595" s="455" t="s">
        <v>265</v>
      </c>
    </row>
    <row r="596" spans="1:24" ht="11.25" customHeight="1">
      <c r="A596" s="418">
        <v>2</v>
      </c>
      <c r="C596" s="1"/>
      <c r="D596" s="1"/>
      <c r="E596" s="1"/>
      <c r="F596" s="70" t="str">
        <f>$F$332</f>
        <v>Measurement Data</v>
      </c>
      <c r="G596" s="1"/>
      <c r="H596" s="1"/>
      <c r="I596" s="1"/>
      <c r="J596" s="1"/>
      <c r="K596" s="115" t="str">
        <f>$F$5</f>
        <v>Radiation Oncology IGRT Compliance Inspection</v>
      </c>
      <c r="L596" s="465" t="s">
        <v>265</v>
      </c>
      <c r="X596" s="455" t="s">
        <v>265</v>
      </c>
    </row>
    <row r="597" spans="1:24" ht="11.25" customHeight="1">
      <c r="A597" s="418">
        <v>3</v>
      </c>
      <c r="B597" s="1"/>
      <c r="C597" s="1"/>
      <c r="D597" s="1"/>
      <c r="E597" s="1"/>
      <c r="F597" s="251" t="s">
        <v>133</v>
      </c>
      <c r="G597" s="1"/>
      <c r="H597" s="1"/>
      <c r="I597" s="1"/>
      <c r="J597" s="1"/>
      <c r="L597" s="465" t="s">
        <v>265</v>
      </c>
      <c r="X597" s="455" t="s">
        <v>265</v>
      </c>
    </row>
    <row r="598" spans="1:24" ht="11.25" customHeight="1" thickBot="1">
      <c r="A598" s="418">
        <v>4</v>
      </c>
      <c r="L598" s="465" t="s">
        <v>265</v>
      </c>
      <c r="X598" s="455" t="s">
        <v>265</v>
      </c>
    </row>
    <row r="599" spans="1:24" ht="11.25" customHeight="1" thickTop="1">
      <c r="A599" s="418">
        <v>5</v>
      </c>
      <c r="B599" s="67"/>
      <c r="C599" s="50"/>
      <c r="D599" s="50"/>
      <c r="E599" s="50"/>
      <c r="F599" s="50"/>
      <c r="G599" s="50"/>
      <c r="H599" s="50"/>
      <c r="I599" s="50"/>
      <c r="J599" s="50"/>
      <c r="K599" s="68"/>
      <c r="L599" s="465" t="s">
        <v>265</v>
      </c>
      <c r="X599" s="455" t="s">
        <v>265</v>
      </c>
    </row>
    <row r="600" spans="1:24" ht="11.25" customHeight="1">
      <c r="A600" s="418">
        <v>6</v>
      </c>
      <c r="B600" s="110"/>
      <c r="D600" t="str">
        <f>O448&amp;" Focal Spot"</f>
        <v>Large Focal Spot</v>
      </c>
      <c r="K600" s="59"/>
      <c r="L600" s="465" t="s">
        <v>265</v>
      </c>
      <c r="X600" s="455" t="s">
        <v>265</v>
      </c>
    </row>
    <row r="601" spans="1:24" ht="11.25" customHeight="1">
      <c r="A601" s="418">
        <v>7</v>
      </c>
      <c r="B601" s="34"/>
      <c r="C601" s="30" t="s">
        <v>54</v>
      </c>
      <c r="D601" s="2">
        <f>IF(N448="","",N448)</f>
        <v>100</v>
      </c>
      <c r="E601" s="3" t="str">
        <f>N447</f>
        <v>cm</v>
      </c>
      <c r="F601" s="1"/>
      <c r="G601" s="1"/>
      <c r="H601" s="30" t="s">
        <v>360</v>
      </c>
      <c r="I601" s="28" t="str">
        <f>IF(R448="","",IF(LFMAS="mA",R448,""))</f>
        <v/>
      </c>
      <c r="J601" s="1"/>
      <c r="K601" s="59"/>
      <c r="L601" s="465" t="s">
        <v>265</v>
      </c>
      <c r="X601" s="455" t="s">
        <v>265</v>
      </c>
    </row>
    <row r="602" spans="1:24" ht="11.25" customHeight="1">
      <c r="A602" s="418">
        <v>8</v>
      </c>
      <c r="B602" s="34"/>
      <c r="C602" s="30" t="s">
        <v>137</v>
      </c>
      <c r="D602" s="28">
        <f>IF(Q448="","",Q448)</f>
        <v>80</v>
      </c>
      <c r="E602" s="1"/>
      <c r="F602" s="1" t="str">
        <f>IF(OR(MAXAVG="",AND(MAXAVG="Avg kV",U448=""),AND(MAXAVG="Max kV",T448="")),"","Measured")</f>
        <v/>
      </c>
      <c r="G602" s="1"/>
      <c r="H602" s="30" t="s">
        <v>361</v>
      </c>
      <c r="I602" s="31">
        <f>IF(R448="","",IF(LFMAS="mAs",R448,""))</f>
        <v>20</v>
      </c>
      <c r="J602" s="1"/>
      <c r="K602" s="59"/>
      <c r="L602" s="465" t="s">
        <v>265</v>
      </c>
      <c r="X602" s="455" t="s">
        <v>265</v>
      </c>
    </row>
    <row r="603" spans="1:24" ht="11.25" customHeight="1">
      <c r="A603" s="418">
        <v>9</v>
      </c>
      <c r="B603" s="34"/>
      <c r="C603" s="1"/>
      <c r="D603" s="1"/>
      <c r="E603" s="1"/>
      <c r="F603" s="1" t="str">
        <f>IF(OR(AND(MAXAVG="Max kV",T448&lt;&gt;""),AND(MAXAVG="Avg kV",U448&lt;&gt;"")),MAXAVG,IF(T448&lt;&gt;"","Measured","Set"))</f>
        <v>Set</v>
      </c>
      <c r="G603" s="1"/>
      <c r="H603" s="30" t="s">
        <v>47</v>
      </c>
      <c r="I603" s="29" t="str">
        <f>IF(S448="","",S448)</f>
        <v/>
      </c>
      <c r="J603" s="1"/>
      <c r="K603" s="59"/>
      <c r="L603" s="465" t="s">
        <v>265</v>
      </c>
      <c r="X603" s="455" t="s">
        <v>265</v>
      </c>
    </row>
    <row r="604" spans="1:24" ht="11.25" customHeight="1">
      <c r="A604" s="418">
        <v>10</v>
      </c>
      <c r="B604" s="34"/>
      <c r="C604" s="2" t="s">
        <v>138</v>
      </c>
      <c r="D604" s="8" t="s">
        <v>512</v>
      </c>
      <c r="E604" s="8" t="s">
        <v>512</v>
      </c>
      <c r="F604" s="8" t="s">
        <v>298</v>
      </c>
      <c r="G604" s="1"/>
      <c r="H604" s="1"/>
      <c r="I604" s="1"/>
      <c r="J604" s="1"/>
      <c r="K604" s="59"/>
      <c r="L604" s="465" t="s">
        <v>265</v>
      </c>
      <c r="X604" s="455" t="s">
        <v>265</v>
      </c>
    </row>
    <row r="605" spans="1:24" ht="11.25" customHeight="1">
      <c r="A605" s="418">
        <v>11</v>
      </c>
      <c r="B605" s="34"/>
      <c r="C605" s="2">
        <v>0</v>
      </c>
      <c r="D605" s="304" t="str">
        <f>IF(W448="","",W448)</f>
        <v/>
      </c>
      <c r="E605" s="304" t="str">
        <f>IF(W449="","",W449)</f>
        <v/>
      </c>
      <c r="F605" s="8">
        <f>avgkvp</f>
        <v>80</v>
      </c>
      <c r="G605" s="1"/>
      <c r="H605" s="30" t="str">
        <f>"kVp ("&amp;IF(AND(U444="",T448&lt;&gt;""),"Meas.",IF(MAXAVG="","Set",MAXAVG))&amp;")"</f>
        <v>kVp (Avg kV)</v>
      </c>
      <c r="I605" s="1">
        <f>avgkvp</f>
        <v>80</v>
      </c>
      <c r="J605" s="1"/>
      <c r="K605" s="59"/>
      <c r="L605" s="465" t="s">
        <v>265</v>
      </c>
      <c r="X605" s="455" t="s">
        <v>265</v>
      </c>
    </row>
    <row r="606" spans="1:24" ht="11.25" customHeight="1" thickBot="1">
      <c r="A606" s="418">
        <v>12</v>
      </c>
      <c r="B606" s="34"/>
      <c r="C606" s="2">
        <f>IF(M450="","",M450)</f>
        <v>0</v>
      </c>
      <c r="D606" s="304" t="str">
        <f>IF(W450="","",W450)</f>
        <v/>
      </c>
      <c r="E606" s="304" t="str">
        <f>IF(W451="","",W451)</f>
        <v/>
      </c>
      <c r="F606" s="8" t="str">
        <f>IF(T450="","",AVERAGE(T450:T451))</f>
        <v/>
      </c>
      <c r="G606" s="1"/>
      <c r="H606" s="30" t="s">
        <v>139</v>
      </c>
      <c r="I606" s="2" t="e">
        <f>HVL</f>
        <v>#DIV/0!</v>
      </c>
      <c r="J606" s="1"/>
      <c r="K606" s="59"/>
      <c r="L606" s="465" t="s">
        <v>265</v>
      </c>
      <c r="X606" s="455" t="s">
        <v>265</v>
      </c>
    </row>
    <row r="607" spans="1:24" ht="11.25" customHeight="1" thickTop="1" thickBot="1">
      <c r="A607" s="418">
        <v>13</v>
      </c>
      <c r="B607" s="34"/>
      <c r="C607" s="2" t="str">
        <f>IF(M452="","",M452)</f>
        <v/>
      </c>
      <c r="D607" s="304" t="str">
        <f>IF(W452="","",W452)</f>
        <v/>
      </c>
      <c r="E607" s="304" t="str">
        <f>IF(W453="","",W453)</f>
        <v/>
      </c>
      <c r="F607" s="8" t="str">
        <f>IF(T452="","",AVERAGE(T452:T453))</f>
        <v/>
      </c>
      <c r="G607" s="1"/>
      <c r="H607" s="30" t="s">
        <v>511</v>
      </c>
      <c r="I607" s="686" t="str">
        <f>IF(S473="","",S473)</f>
        <v>TBD</v>
      </c>
      <c r="J607" s="1"/>
      <c r="K607" s="59"/>
      <c r="L607" s="465" t="s">
        <v>265</v>
      </c>
      <c r="X607" s="455" t="s">
        <v>265</v>
      </c>
    </row>
    <row r="608" spans="1:24" ht="11.25" customHeight="1" thickTop="1">
      <c r="A608" s="418">
        <v>14</v>
      </c>
      <c r="B608" s="34"/>
      <c r="C608" s="2" t="str">
        <f>IF(M454="","",M454)</f>
        <v/>
      </c>
      <c r="D608" s="304" t="str">
        <f>IF(W454="","",W454)</f>
        <v/>
      </c>
      <c r="E608" s="304" t="str">
        <f>IF(W455="","",W455)</f>
        <v/>
      </c>
      <c r="F608" s="8" t="str">
        <f>IF(T454="","",AVERAGE(T454:T455))</f>
        <v/>
      </c>
      <c r="G608" s="1"/>
      <c r="J608" s="1"/>
      <c r="K608" s="59"/>
      <c r="L608" s="465" t="s">
        <v>265</v>
      </c>
      <c r="X608" s="455" t="s">
        <v>265</v>
      </c>
    </row>
    <row r="609" spans="1:24" ht="11.25" customHeight="1">
      <c r="A609" s="418">
        <v>15</v>
      </c>
      <c r="B609" s="34"/>
      <c r="C609" s="2" t="str">
        <f>IF(M456="","",M456)</f>
        <v/>
      </c>
      <c r="D609" s="304" t="str">
        <f>IF(W456="","",W456)</f>
        <v/>
      </c>
      <c r="E609" s="304" t="str">
        <f>IF(W457="","",W457)</f>
        <v/>
      </c>
      <c r="F609" s="8" t="str">
        <f>IF(T456="","",AVERAGE(T456:T457))</f>
        <v/>
      </c>
      <c r="G609" s="1"/>
      <c r="H609" s="88" t="str">
        <f>U464</f>
        <v>Criteria:  MUSC STANDARD</v>
      </c>
      <c r="I609" s="1"/>
      <c r="J609" s="1"/>
      <c r="K609" s="59"/>
      <c r="L609" s="465" t="s">
        <v>265</v>
      </c>
      <c r="X609" s="455" t="s">
        <v>265</v>
      </c>
    </row>
    <row r="610" spans="1:24" ht="11.25" customHeight="1">
      <c r="A610" s="418">
        <v>16</v>
      </c>
      <c r="B610" s="34"/>
      <c r="C610" s="2" t="str">
        <f>IF(M458="","",M458)</f>
        <v/>
      </c>
      <c r="D610" s="304" t="str">
        <f>IF(W458="","",W458)</f>
        <v/>
      </c>
      <c r="E610" s="304" t="str">
        <f>IF(W459="","",W459)</f>
        <v/>
      </c>
      <c r="F610" s="8" t="str">
        <f>IF(T458="","",AVERAGE(T458:T459))</f>
        <v/>
      </c>
      <c r="G610" s="296"/>
      <c r="H610" s="241" t="s">
        <v>140</v>
      </c>
      <c r="I610" s="241" t="s">
        <v>141</v>
      </c>
      <c r="J610" s="297" t="s">
        <v>142</v>
      </c>
      <c r="K610" s="59"/>
      <c r="L610" s="465" t="s">
        <v>265</v>
      </c>
      <c r="X610" s="455" t="s">
        <v>265</v>
      </c>
    </row>
    <row r="611" spans="1:24" ht="11.25" customHeight="1">
      <c r="A611" s="418">
        <v>17</v>
      </c>
      <c r="B611" s="34"/>
      <c r="C611" s="3" t="s">
        <v>143</v>
      </c>
      <c r="D611" s="1"/>
      <c r="E611" s="1"/>
      <c r="F611" s="1"/>
      <c r="G611" s="247" t="s">
        <v>298</v>
      </c>
      <c r="H611" s="242" t="s">
        <v>144</v>
      </c>
      <c r="I611" s="242" t="s">
        <v>144</v>
      </c>
      <c r="J611" s="298" t="s">
        <v>144</v>
      </c>
      <c r="K611" s="59"/>
      <c r="L611" s="465" t="s">
        <v>265</v>
      </c>
      <c r="X611" s="455" t="s">
        <v>265</v>
      </c>
    </row>
    <row r="612" spans="1:24" ht="11.25" customHeight="1">
      <c r="A612" s="418">
        <v>18</v>
      </c>
      <c r="B612" s="110"/>
      <c r="G612" s="249">
        <f t="shared" ref="G612:J619" si="115">T467</f>
        <v>60</v>
      </c>
      <c r="H612" s="259">
        <f t="shared" si="115"/>
        <v>2.1854545454545447</v>
      </c>
      <c r="I612" s="244">
        <f t="shared" si="115"/>
        <v>1.9</v>
      </c>
      <c r="J612" s="299">
        <f t="shared" si="115"/>
        <v>2.4</v>
      </c>
      <c r="K612" s="59"/>
      <c r="L612" s="465" t="s">
        <v>265</v>
      </c>
      <c r="X612" s="455" t="s">
        <v>265</v>
      </c>
    </row>
    <row r="613" spans="1:24" ht="11.25" customHeight="1" thickBot="1">
      <c r="A613" s="418">
        <v>19</v>
      </c>
      <c r="B613" s="110"/>
      <c r="G613" s="249">
        <f t="shared" si="115"/>
        <v>70</v>
      </c>
      <c r="H613" s="259">
        <f t="shared" si="115"/>
        <v>2.6109090909090904</v>
      </c>
      <c r="I613" s="244">
        <f t="shared" si="115"/>
        <v>2.2999999999999998</v>
      </c>
      <c r="J613" s="299">
        <f t="shared" si="115"/>
        <v>2.9</v>
      </c>
      <c r="K613" s="59"/>
      <c r="L613" s="465" t="s">
        <v>265</v>
      </c>
      <c r="X613" s="455" t="s">
        <v>265</v>
      </c>
    </row>
    <row r="614" spans="1:24" ht="11.25" customHeight="1">
      <c r="A614" s="418">
        <v>20</v>
      </c>
      <c r="B614" s="110"/>
      <c r="C614" s="288"/>
      <c r="D614" s="289" t="s">
        <v>145</v>
      </c>
      <c r="E614" s="289"/>
      <c r="F614" s="290"/>
      <c r="G614" s="249">
        <f t="shared" si="115"/>
        <v>80</v>
      </c>
      <c r="H614" s="259">
        <f t="shared" si="115"/>
        <v>3.0363636363636357</v>
      </c>
      <c r="I614" s="244">
        <f t="shared" si="115"/>
        <v>2.6</v>
      </c>
      <c r="J614" s="299">
        <f t="shared" si="115"/>
        <v>3.4</v>
      </c>
      <c r="K614" s="59"/>
      <c r="L614" s="465" t="s">
        <v>265</v>
      </c>
      <c r="X614" s="455" t="s">
        <v>265</v>
      </c>
    </row>
    <row r="615" spans="1:24" ht="11.25" customHeight="1">
      <c r="A615" s="418">
        <v>21</v>
      </c>
      <c r="B615" s="110"/>
      <c r="C615" s="291"/>
      <c r="D615" s="87"/>
      <c r="E615" s="115" t="str">
        <f>"Min. acceptable HVL at "&amp;IF(avgkvp="TBD",avgkvp,ROUND(avgkvp,1))&amp;" kvp:"</f>
        <v>Min. acceptable HVL at 80 kvp:</v>
      </c>
      <c r="F615" s="301">
        <f>IF(avgkvp="TBD",avgkvp,$S$468)</f>
        <v>2.6</v>
      </c>
      <c r="G615" s="249">
        <f t="shared" si="115"/>
        <v>90</v>
      </c>
      <c r="H615" s="259">
        <f t="shared" si="115"/>
        <v>3.4618181818181815</v>
      </c>
      <c r="I615" s="244">
        <f t="shared" si="115"/>
        <v>3</v>
      </c>
      <c r="J615" s="299">
        <f t="shared" si="115"/>
        <v>3.8</v>
      </c>
      <c r="K615" s="59"/>
      <c r="L615" s="465" t="s">
        <v>265</v>
      </c>
      <c r="X615" s="455" t="s">
        <v>265</v>
      </c>
    </row>
    <row r="616" spans="1:24" ht="11.25" customHeight="1">
      <c r="A616" s="418">
        <v>22</v>
      </c>
      <c r="B616" s="110"/>
      <c r="C616" s="291"/>
      <c r="D616" s="87"/>
      <c r="E616" s="115" t="str">
        <f>"Desired HVL at meas. "&amp;IF(avgkvp="TBD",avgkvp,ROUND(avgkvp,1))&amp;" kVp:"</f>
        <v>Desired HVL at meas. 80 kVp:</v>
      </c>
      <c r="F616" s="301">
        <f>IF(avgkvp="TBD",avgkvp,$S$469)</f>
        <v>3</v>
      </c>
      <c r="G616" s="249">
        <f t="shared" si="115"/>
        <v>100</v>
      </c>
      <c r="H616" s="259">
        <f t="shared" si="115"/>
        <v>3.8872727272727272</v>
      </c>
      <c r="I616" s="244">
        <f t="shared" si="115"/>
        <v>3.4</v>
      </c>
      <c r="J616" s="299">
        <f t="shared" si="115"/>
        <v>4.3</v>
      </c>
      <c r="K616" s="59"/>
      <c r="L616" s="465" t="s">
        <v>265</v>
      </c>
      <c r="X616" s="455" t="s">
        <v>265</v>
      </c>
    </row>
    <row r="617" spans="1:24" ht="11.25" customHeight="1" thickBot="1">
      <c r="A617" s="418">
        <v>23</v>
      </c>
      <c r="B617" s="110"/>
      <c r="C617" s="292"/>
      <c r="D617" s="369"/>
      <c r="E617" s="370" t="str">
        <f>"Max. acceptable HVL at "&amp;IF(avgkvp="TBD",avgkvp,ROUND(avgkvp,1))&amp;" kvp:"</f>
        <v>Max. acceptable HVL at 80 kvp:</v>
      </c>
      <c r="F617" s="371">
        <f>IF(avgkvp="TBD",avgkvp,$S$470)</f>
        <v>3.4</v>
      </c>
      <c r="G617" s="249">
        <f t="shared" si="115"/>
        <v>110</v>
      </c>
      <c r="H617" s="259">
        <f t="shared" si="115"/>
        <v>4.3127272727272734</v>
      </c>
      <c r="I617" s="244">
        <f t="shared" si="115"/>
        <v>3.8</v>
      </c>
      <c r="J617" s="299">
        <f t="shared" si="115"/>
        <v>4.8</v>
      </c>
      <c r="K617" s="59"/>
      <c r="L617" s="465" t="s">
        <v>265</v>
      </c>
      <c r="X617" s="455" t="s">
        <v>265</v>
      </c>
    </row>
    <row r="618" spans="1:24" ht="11.25" customHeight="1">
      <c r="A618" s="418">
        <v>24</v>
      </c>
      <c r="B618" s="110"/>
      <c r="C618" s="37"/>
      <c r="D618" s="42"/>
      <c r="E618" s="37"/>
      <c r="F618" s="37"/>
      <c r="G618" s="249">
        <f t="shared" si="115"/>
        <v>120</v>
      </c>
      <c r="H618" s="259">
        <f t="shared" si="115"/>
        <v>4.7381818181818192</v>
      </c>
      <c r="I618" s="244">
        <f t="shared" si="115"/>
        <v>4.2</v>
      </c>
      <c r="J618" s="299">
        <f t="shared" si="115"/>
        <v>5.2</v>
      </c>
      <c r="K618" s="59"/>
      <c r="L618" s="465" t="s">
        <v>265</v>
      </c>
      <c r="X618" s="455" t="s">
        <v>265</v>
      </c>
    </row>
    <row r="619" spans="1:24" ht="11.25" customHeight="1">
      <c r="A619" s="418">
        <v>25</v>
      </c>
      <c r="B619" s="110"/>
      <c r="G619" s="249">
        <f t="shared" si="115"/>
        <v>130</v>
      </c>
      <c r="H619" s="259">
        <f t="shared" si="115"/>
        <v>5.1636363636363649</v>
      </c>
      <c r="I619" s="244">
        <f t="shared" si="115"/>
        <v>4.5999999999999996</v>
      </c>
      <c r="J619" s="299">
        <f t="shared" si="115"/>
        <v>5.7</v>
      </c>
      <c r="K619" s="59"/>
      <c r="L619" s="465" t="s">
        <v>265</v>
      </c>
      <c r="X619" s="455" t="s">
        <v>265</v>
      </c>
    </row>
    <row r="620" spans="1:24" ht="11.25" customHeight="1">
      <c r="A620" s="418">
        <v>26</v>
      </c>
      <c r="B620" s="90" t="s">
        <v>346</v>
      </c>
      <c r="C620" s="560" t="str">
        <f>IF(O460="","",IF(LEN(O460)&lt;=135,O460,IF(LEN(O460)&lt;=260,LEFT(O460,SEARCH(" ",O460,125)),LEFT(O460,SEARCH(" ",O460,130)))))</f>
        <v/>
      </c>
      <c r="D620" s="2"/>
      <c r="E620" s="2"/>
      <c r="F620" s="2"/>
      <c r="G620" s="2"/>
      <c r="H620" s="2"/>
      <c r="I620" s="2"/>
      <c r="J620" s="2"/>
      <c r="K620" s="59"/>
      <c r="L620" s="465" t="s">
        <v>265</v>
      </c>
      <c r="X620" s="455" t="s">
        <v>265</v>
      </c>
    </row>
    <row r="621" spans="1:24" ht="11.25" customHeight="1">
      <c r="A621" s="418">
        <v>27</v>
      </c>
      <c r="B621" s="34"/>
      <c r="C621" s="561" t="str">
        <f>IF(LEN(O460)&lt;=135,"",IF(LEN(O460)&lt;=260,RIGHT(O460,LEN(O460)-SEARCH(" ",O460,125)),MID(O460,SEARCH(" ",O460,130),IF(LEN(O460)&lt;=265,LEN(O460),SEARCH(" ",O460,255)-SEARCH(" ",O460,130)))))</f>
        <v/>
      </c>
      <c r="D621" s="2"/>
      <c r="E621" s="2"/>
      <c r="F621" s="2"/>
      <c r="G621" s="2"/>
      <c r="H621" s="2"/>
      <c r="I621" s="2"/>
      <c r="J621" s="2"/>
      <c r="K621" s="59"/>
      <c r="L621" s="465" t="s">
        <v>265</v>
      </c>
      <c r="X621" s="455" t="s">
        <v>265</v>
      </c>
    </row>
    <row r="622" spans="1:24" ht="11.25" customHeight="1">
      <c r="A622" s="418">
        <v>28</v>
      </c>
      <c r="B622" s="34"/>
      <c r="C622" s="560" t="str">
        <f>IF(LEN(O460)&lt;=265,"",RIGHT(O460,LEN(O460)-SEARCH(" ",O460,255)))</f>
        <v/>
      </c>
      <c r="D622" s="2"/>
      <c r="E622" s="2"/>
      <c r="F622" s="2"/>
      <c r="G622" s="2"/>
      <c r="H622" s="2"/>
      <c r="I622" s="2"/>
      <c r="J622" s="2"/>
      <c r="K622" s="59"/>
      <c r="L622" s="465" t="s">
        <v>265</v>
      </c>
      <c r="X622" s="455" t="s">
        <v>265</v>
      </c>
    </row>
    <row r="623" spans="1:24" ht="11.25" customHeight="1" thickBot="1">
      <c r="A623" s="418">
        <v>29</v>
      </c>
      <c r="B623" s="27"/>
      <c r="C623" s="221"/>
      <c r="D623" s="221"/>
      <c r="E623" s="221"/>
      <c r="F623" s="328"/>
      <c r="G623" s="71"/>
      <c r="H623" s="221"/>
      <c r="I623" s="221"/>
      <c r="J623" s="221"/>
      <c r="K623" s="222"/>
      <c r="L623" s="465" t="s">
        <v>265</v>
      </c>
      <c r="X623" s="455" t="s">
        <v>265</v>
      </c>
    </row>
    <row r="624" spans="1:24" ht="11.25" customHeight="1" thickTop="1">
      <c r="A624" s="418">
        <v>30</v>
      </c>
      <c r="B624" s="34"/>
      <c r="D624" s="1"/>
      <c r="E624" s="1"/>
      <c r="F624" s="1"/>
      <c r="G624" s="1"/>
      <c r="H624" s="1"/>
      <c r="I624" s="1"/>
      <c r="J624" s="1"/>
      <c r="K624" s="32"/>
      <c r="L624" s="465" t="s">
        <v>265</v>
      </c>
      <c r="X624" s="455" t="s">
        <v>265</v>
      </c>
    </row>
    <row r="625" spans="1:24" ht="11.25" customHeight="1">
      <c r="A625" s="418">
        <v>31</v>
      </c>
      <c r="B625" s="752"/>
      <c r="C625" s="37"/>
      <c r="D625" s="37"/>
      <c r="E625" s="37"/>
      <c r="F625" s="747"/>
      <c r="H625" s="747"/>
      <c r="K625" s="59"/>
      <c r="L625" s="465" t="s">
        <v>265</v>
      </c>
      <c r="X625" s="455" t="s">
        <v>265</v>
      </c>
    </row>
    <row r="626" spans="1:24" ht="11.25" customHeight="1">
      <c r="A626" s="418">
        <v>32</v>
      </c>
      <c r="B626" s="54"/>
      <c r="E626" s="844"/>
      <c r="F626" s="844"/>
      <c r="I626" s="37"/>
      <c r="K626" s="59"/>
      <c r="L626" s="465" t="s">
        <v>265</v>
      </c>
      <c r="X626" s="455" t="s">
        <v>265</v>
      </c>
    </row>
    <row r="627" spans="1:24" ht="11.25" customHeight="1">
      <c r="A627" s="418">
        <v>33</v>
      </c>
      <c r="B627" s="54"/>
      <c r="C627" s="37"/>
      <c r="D627" s="37"/>
      <c r="E627" s="845"/>
      <c r="F627" s="844"/>
      <c r="H627" s="42"/>
      <c r="I627" s="37"/>
      <c r="K627" s="59"/>
      <c r="L627" s="465" t="s">
        <v>265</v>
      </c>
      <c r="X627" s="455" t="s">
        <v>265</v>
      </c>
    </row>
    <row r="628" spans="1:24" ht="11.25" customHeight="1">
      <c r="A628" s="418">
        <v>34</v>
      </c>
      <c r="B628" s="54"/>
      <c r="C628" s="37"/>
      <c r="D628" s="828"/>
      <c r="E628" s="829"/>
      <c r="F628" s="828"/>
      <c r="H628" s="42"/>
      <c r="I628" s="37"/>
      <c r="K628" s="59"/>
      <c r="L628" s="465" t="s">
        <v>265</v>
      </c>
      <c r="X628" s="455" t="s">
        <v>265</v>
      </c>
    </row>
    <row r="629" spans="1:24" ht="11.25" customHeight="1">
      <c r="A629" s="418">
        <v>35</v>
      </c>
      <c r="B629" s="54"/>
      <c r="C629" s="37"/>
      <c r="D629" s="828"/>
      <c r="E629" s="829"/>
      <c r="F629" s="828"/>
      <c r="H629" s="42"/>
      <c r="I629" s="37"/>
      <c r="K629" s="59"/>
      <c r="L629" s="465" t="s">
        <v>265</v>
      </c>
      <c r="X629" s="455" t="s">
        <v>265</v>
      </c>
    </row>
    <row r="630" spans="1:24" ht="11.25" customHeight="1">
      <c r="A630" s="418">
        <v>36</v>
      </c>
      <c r="B630" s="54"/>
      <c r="C630" s="37"/>
      <c r="D630" s="828"/>
      <c r="E630" s="829"/>
      <c r="F630" s="828"/>
      <c r="H630" s="42"/>
      <c r="I630" s="37"/>
      <c r="K630" s="59"/>
      <c r="L630" s="465" t="s">
        <v>265</v>
      </c>
      <c r="X630" s="455" t="s">
        <v>265</v>
      </c>
    </row>
    <row r="631" spans="1:24" ht="11.25" customHeight="1">
      <c r="A631" s="418">
        <v>37</v>
      </c>
      <c r="B631" s="54"/>
      <c r="C631" s="37"/>
      <c r="D631" s="828"/>
      <c r="E631" s="829"/>
      <c r="F631" s="828"/>
      <c r="H631" s="42"/>
      <c r="I631" s="37"/>
      <c r="J631" s="1"/>
      <c r="K631" s="32"/>
      <c r="L631" s="465" t="s">
        <v>265</v>
      </c>
      <c r="X631" s="455" t="s">
        <v>265</v>
      </c>
    </row>
    <row r="632" spans="1:24" ht="11.25" customHeight="1">
      <c r="A632" s="418">
        <v>38</v>
      </c>
      <c r="B632" s="54"/>
      <c r="C632" s="37"/>
      <c r="D632" s="828"/>
      <c r="E632" s="829"/>
      <c r="F632" s="828"/>
      <c r="H632" s="37"/>
      <c r="I632" s="37"/>
      <c r="K632" s="59"/>
      <c r="L632" s="465" t="s">
        <v>265</v>
      </c>
      <c r="X632" s="455" t="s">
        <v>265</v>
      </c>
    </row>
    <row r="633" spans="1:24" ht="11.25" customHeight="1">
      <c r="A633" s="418">
        <v>39</v>
      </c>
      <c r="B633" s="54"/>
      <c r="C633" s="37"/>
      <c r="D633" s="828"/>
      <c r="E633" s="829"/>
      <c r="F633" s="828"/>
      <c r="H633" s="42"/>
      <c r="I633" s="830"/>
      <c r="K633" s="59"/>
      <c r="L633" s="465" t="s">
        <v>265</v>
      </c>
      <c r="X633" s="455" t="s">
        <v>265</v>
      </c>
    </row>
    <row r="634" spans="1:24" ht="11.25" customHeight="1">
      <c r="A634" s="418">
        <v>40</v>
      </c>
      <c r="B634" s="54"/>
      <c r="C634" s="37"/>
      <c r="D634" s="828"/>
      <c r="E634" s="829"/>
      <c r="F634" s="828"/>
      <c r="H634" s="42"/>
      <c r="I634" s="37"/>
      <c r="K634" s="59"/>
      <c r="L634" s="465" t="s">
        <v>265</v>
      </c>
      <c r="X634" s="455" t="s">
        <v>265</v>
      </c>
    </row>
    <row r="635" spans="1:24" ht="11.25" customHeight="1">
      <c r="A635" s="418">
        <v>41</v>
      </c>
      <c r="B635" s="54"/>
      <c r="C635" s="37"/>
      <c r="D635" s="828"/>
      <c r="E635" s="829"/>
      <c r="F635" s="828"/>
      <c r="K635" s="59"/>
      <c r="L635" s="465" t="s">
        <v>265</v>
      </c>
      <c r="X635" s="455" t="s">
        <v>265</v>
      </c>
    </row>
    <row r="636" spans="1:24" ht="11.25" customHeight="1">
      <c r="A636" s="418">
        <v>42</v>
      </c>
      <c r="B636" s="54"/>
      <c r="C636" s="37"/>
      <c r="D636" s="828"/>
      <c r="E636" s="829"/>
      <c r="F636" s="828"/>
      <c r="K636" s="59"/>
      <c r="L636" s="465" t="s">
        <v>265</v>
      </c>
      <c r="X636" s="455" t="s">
        <v>265</v>
      </c>
    </row>
    <row r="637" spans="1:24" ht="11.25" customHeight="1">
      <c r="A637" s="418">
        <v>43</v>
      </c>
      <c r="B637" s="54"/>
      <c r="C637" s="37"/>
      <c r="D637" s="828"/>
      <c r="E637" s="829"/>
      <c r="F637" s="828"/>
      <c r="K637" s="59"/>
      <c r="L637" s="465" t="s">
        <v>265</v>
      </c>
      <c r="X637" s="455" t="s">
        <v>265</v>
      </c>
    </row>
    <row r="638" spans="1:24" ht="11.25" customHeight="1">
      <c r="A638" s="418">
        <v>44</v>
      </c>
      <c r="B638" s="54"/>
      <c r="C638" s="37"/>
      <c r="D638" s="828"/>
      <c r="E638" s="829"/>
      <c r="F638" s="828"/>
      <c r="K638" s="59"/>
      <c r="L638" s="465" t="s">
        <v>265</v>
      </c>
      <c r="X638" s="455" t="s">
        <v>265</v>
      </c>
    </row>
    <row r="639" spans="1:24" ht="11.25" customHeight="1">
      <c r="A639" s="418">
        <v>45</v>
      </c>
      <c r="B639" s="54"/>
      <c r="C639" s="37"/>
      <c r="D639" s="828"/>
      <c r="E639" s="829"/>
      <c r="F639" s="828"/>
      <c r="K639" s="59"/>
      <c r="L639" s="465" t="s">
        <v>265</v>
      </c>
      <c r="X639" s="455" t="s">
        <v>265</v>
      </c>
    </row>
    <row r="640" spans="1:24" ht="11.25" customHeight="1">
      <c r="A640" s="418">
        <v>46</v>
      </c>
      <c r="B640" s="110"/>
      <c r="K640" s="59"/>
      <c r="L640" s="465" t="s">
        <v>265</v>
      </c>
      <c r="X640" s="455" t="s">
        <v>265</v>
      </c>
    </row>
    <row r="641" spans="1:25" ht="11.25" customHeight="1">
      <c r="A641" s="418">
        <v>47</v>
      </c>
      <c r="B641" s="110"/>
      <c r="K641" s="59"/>
      <c r="L641" s="465" t="s">
        <v>265</v>
      </c>
      <c r="X641" s="455" t="s">
        <v>265</v>
      </c>
    </row>
    <row r="642" spans="1:25" ht="11.25" customHeight="1">
      <c r="A642" s="418">
        <v>48</v>
      </c>
      <c r="B642" s="110"/>
      <c r="K642" s="59"/>
      <c r="L642" s="465" t="s">
        <v>265</v>
      </c>
      <c r="X642" s="455" t="s">
        <v>265</v>
      </c>
    </row>
    <row r="643" spans="1:25" ht="11.25" customHeight="1">
      <c r="A643" s="418">
        <v>49</v>
      </c>
      <c r="B643" s="110"/>
      <c r="K643" s="59"/>
      <c r="L643" s="465" t="s">
        <v>265</v>
      </c>
      <c r="X643" s="455" t="s">
        <v>265</v>
      </c>
    </row>
    <row r="644" spans="1:25" ht="11.25" customHeight="1">
      <c r="A644" s="418">
        <v>50</v>
      </c>
      <c r="B644" s="110"/>
      <c r="K644" s="59"/>
      <c r="L644" s="465" t="s">
        <v>265</v>
      </c>
      <c r="X644" s="455" t="s">
        <v>265</v>
      </c>
    </row>
    <row r="645" spans="1:25" ht="11.25" customHeight="1">
      <c r="A645" s="418">
        <v>51</v>
      </c>
      <c r="B645" s="110"/>
      <c r="K645" s="59"/>
      <c r="L645" s="465" t="s">
        <v>265</v>
      </c>
      <c r="X645" s="455" t="s">
        <v>265</v>
      </c>
    </row>
    <row r="646" spans="1:25" ht="11.25" customHeight="1">
      <c r="A646" s="418">
        <v>52</v>
      </c>
      <c r="B646" s="110"/>
      <c r="K646" s="59"/>
      <c r="L646" s="465" t="s">
        <v>265</v>
      </c>
      <c r="X646" s="455" t="s">
        <v>265</v>
      </c>
      <c r="Y646" s="330"/>
    </row>
    <row r="647" spans="1:25" ht="11.25" customHeight="1">
      <c r="A647" s="418">
        <v>53</v>
      </c>
      <c r="B647" s="110"/>
      <c r="K647" s="59"/>
      <c r="L647" s="465" t="s">
        <v>265</v>
      </c>
      <c r="X647" s="455" t="s">
        <v>265</v>
      </c>
      <c r="Y647" s="330"/>
    </row>
    <row r="648" spans="1:25" ht="11.25" customHeight="1">
      <c r="A648" s="418">
        <v>54</v>
      </c>
      <c r="B648" s="110"/>
      <c r="K648" s="59"/>
      <c r="L648" s="465" t="s">
        <v>265</v>
      </c>
      <c r="X648" s="455" t="s">
        <v>265</v>
      </c>
      <c r="Y648" s="330"/>
    </row>
    <row r="649" spans="1:25" ht="11.25" customHeight="1">
      <c r="A649" s="418">
        <v>55</v>
      </c>
      <c r="B649" s="110"/>
      <c r="K649" s="59"/>
      <c r="L649" s="465" t="s">
        <v>265</v>
      </c>
      <c r="X649" s="455" t="s">
        <v>265</v>
      </c>
      <c r="Y649" s="330"/>
    </row>
    <row r="650" spans="1:25" ht="11.25" customHeight="1">
      <c r="A650" s="418">
        <v>56</v>
      </c>
      <c r="B650" s="110"/>
      <c r="K650" s="59"/>
      <c r="L650" s="465" t="s">
        <v>265</v>
      </c>
      <c r="X650" s="455" t="s">
        <v>265</v>
      </c>
      <c r="Y650" s="330"/>
    </row>
    <row r="651" spans="1:25" ht="11.25" customHeight="1">
      <c r="A651" s="418">
        <v>57</v>
      </c>
      <c r="B651" s="110"/>
      <c r="K651" s="59"/>
      <c r="L651" s="465" t="s">
        <v>265</v>
      </c>
      <c r="X651" s="455" t="s">
        <v>265</v>
      </c>
      <c r="Y651" s="330"/>
    </row>
    <row r="652" spans="1:25" ht="11.25" customHeight="1">
      <c r="A652" s="418">
        <v>58</v>
      </c>
      <c r="B652" s="110"/>
      <c r="K652" s="59"/>
      <c r="L652" s="465" t="s">
        <v>265</v>
      </c>
      <c r="X652" s="455" t="s">
        <v>265</v>
      </c>
      <c r="Y652" s="330"/>
    </row>
    <row r="653" spans="1:25" ht="11.25" customHeight="1">
      <c r="A653" s="418">
        <v>59</v>
      </c>
      <c r="B653" s="110"/>
      <c r="K653" s="59"/>
      <c r="L653" s="465" t="s">
        <v>265</v>
      </c>
      <c r="X653" s="455" t="s">
        <v>265</v>
      </c>
      <c r="Y653" s="330"/>
    </row>
    <row r="654" spans="1:25" ht="11.25" customHeight="1">
      <c r="A654" s="418">
        <v>60</v>
      </c>
      <c r="B654" s="110"/>
      <c r="K654" s="59"/>
      <c r="L654" s="465" t="s">
        <v>265</v>
      </c>
      <c r="X654" s="455" t="s">
        <v>265</v>
      </c>
      <c r="Y654" s="330"/>
    </row>
    <row r="655" spans="1:25" ht="11.25" customHeight="1">
      <c r="A655" s="418">
        <v>61</v>
      </c>
      <c r="B655" s="110"/>
      <c r="K655" s="59"/>
      <c r="L655" s="465" t="s">
        <v>265</v>
      </c>
      <c r="X655" s="455" t="s">
        <v>265</v>
      </c>
      <c r="Y655" s="330"/>
    </row>
    <row r="656" spans="1:25" ht="11.25" customHeight="1">
      <c r="A656" s="418">
        <v>62</v>
      </c>
      <c r="B656" s="110"/>
      <c r="K656" s="59"/>
      <c r="L656" s="465" t="s">
        <v>265</v>
      </c>
      <c r="X656" s="455" t="s">
        <v>265</v>
      </c>
      <c r="Y656" s="330"/>
    </row>
    <row r="657" spans="1:25" ht="11.25" customHeight="1">
      <c r="A657" s="418">
        <v>63</v>
      </c>
      <c r="B657" s="110"/>
      <c r="K657" s="59"/>
      <c r="L657" s="465" t="s">
        <v>265</v>
      </c>
      <c r="X657" s="455" t="s">
        <v>265</v>
      </c>
      <c r="Y657" s="330"/>
    </row>
    <row r="658" spans="1:25" ht="11.25" customHeight="1" thickBot="1">
      <c r="A658" s="418">
        <v>64</v>
      </c>
      <c r="B658" s="86"/>
      <c r="C658" s="71"/>
      <c r="D658" s="71"/>
      <c r="E658" s="71"/>
      <c r="F658" s="71"/>
      <c r="G658" s="71"/>
      <c r="H658" s="71"/>
      <c r="I658" s="71"/>
      <c r="J658" s="71"/>
      <c r="K658" s="74"/>
      <c r="L658" s="465" t="s">
        <v>265</v>
      </c>
      <c r="X658" s="455" t="s">
        <v>265</v>
      </c>
      <c r="Y658" s="330"/>
    </row>
    <row r="659" spans="1:25" ht="11.25" customHeight="1" thickTop="1">
      <c r="A659" s="418">
        <v>65</v>
      </c>
      <c r="B659" s="40" t="str">
        <f t="array" ref="B659:C660">$B$65:$C$66</f>
        <v>Date:</v>
      </c>
      <c r="C659" s="674" t="str">
        <v/>
      </c>
      <c r="D659" s="44"/>
      <c r="E659" s="37"/>
      <c r="F659" s="37"/>
      <c r="G659" s="37"/>
      <c r="H659" s="37"/>
      <c r="I659" s="40" t="str">
        <f t="array" ref="I659:J660">$I$65:$J$66</f>
        <v>Inspector:</v>
      </c>
      <c r="J659" s="303" t="str">
        <v>Eugene Mah</v>
      </c>
      <c r="L659" s="465" t="s">
        <v>265</v>
      </c>
      <c r="X659" s="455" t="s">
        <v>265</v>
      </c>
      <c r="Y659" s="330"/>
    </row>
    <row r="660" spans="1:25" ht="11.25" customHeight="1">
      <c r="A660" s="418">
        <v>66</v>
      </c>
      <c r="B660" s="40" t="str">
        <v>Room Number:</v>
      </c>
      <c r="C660" s="271" t="str">
        <v/>
      </c>
      <c r="D660" s="37"/>
      <c r="E660" s="37"/>
      <c r="F660" s="37"/>
      <c r="G660" s="37"/>
      <c r="H660" s="37"/>
      <c r="I660" s="40" t="str">
        <v>Survey ID:</v>
      </c>
      <c r="J660" s="615" t="str">
        <v/>
      </c>
      <c r="L660" s="465" t="s">
        <v>265</v>
      </c>
      <c r="X660" s="455" t="s">
        <v>265</v>
      </c>
      <c r="Y660" s="330"/>
    </row>
    <row r="661" spans="1:25" ht="11.25" customHeight="1">
      <c r="A661" s="418">
        <v>1</v>
      </c>
      <c r="B661" s="1"/>
      <c r="C661" s="1"/>
      <c r="D661" s="1"/>
      <c r="E661" s="1"/>
      <c r="F661" s="1"/>
      <c r="G661" s="1"/>
      <c r="H661" s="1"/>
      <c r="I661" s="1"/>
      <c r="J661" s="1"/>
      <c r="K661" s="114" t="str">
        <f>$F$2</f>
        <v>Medical University of South Carolina</v>
      </c>
      <c r="L661" s="465" t="s">
        <v>265</v>
      </c>
      <c r="X661" s="455" t="s">
        <v>265</v>
      </c>
    </row>
    <row r="662" spans="1:25" ht="11.25" customHeight="1" thickBot="1">
      <c r="A662" s="418">
        <v>2</v>
      </c>
      <c r="B662" s="1"/>
      <c r="C662" s="1"/>
      <c r="D662" s="1"/>
      <c r="E662" s="1"/>
      <c r="F662" s="70" t="str">
        <f>$F$332</f>
        <v>Measurement Data</v>
      </c>
      <c r="G662" s="1"/>
      <c r="H662" s="1"/>
      <c r="I662" s="1"/>
      <c r="J662" s="1"/>
      <c r="K662" s="115" t="str">
        <f>$F$5</f>
        <v>Radiation Oncology IGRT Compliance Inspection</v>
      </c>
      <c r="L662" s="465" t="s">
        <v>265</v>
      </c>
      <c r="X662" s="455" t="s">
        <v>265</v>
      </c>
    </row>
    <row r="663" spans="1:25" ht="11.25" customHeight="1" thickTop="1">
      <c r="A663" s="418">
        <v>3</v>
      </c>
      <c r="B663" s="569" t="s">
        <v>157</v>
      </c>
      <c r="C663" s="50"/>
      <c r="D663" s="224"/>
      <c r="E663" s="224" t="s">
        <v>160</v>
      </c>
      <c r="F663" s="224" t="s">
        <v>386</v>
      </c>
      <c r="G663" s="224"/>
      <c r="H663" s="224"/>
      <c r="I663" s="50"/>
      <c r="J663" s="50"/>
      <c r="K663" s="68"/>
      <c r="L663" s="465" t="s">
        <v>265</v>
      </c>
      <c r="X663" s="455" t="s">
        <v>265</v>
      </c>
    </row>
    <row r="664" spans="1:25" ht="11.25" customHeight="1">
      <c r="A664" s="418">
        <v>4</v>
      </c>
      <c r="B664" s="110"/>
      <c r="D664" s="1"/>
      <c r="E664" s="13" t="s">
        <v>513</v>
      </c>
      <c r="F664" s="1" t="s">
        <v>513</v>
      </c>
      <c r="G664" s="1"/>
      <c r="H664" s="1"/>
      <c r="I664" s="30"/>
      <c r="J664" s="1"/>
      <c r="K664" s="59"/>
      <c r="L664" s="465" t="s">
        <v>265</v>
      </c>
      <c r="X664" s="455" t="s">
        <v>265</v>
      </c>
    </row>
    <row r="665" spans="1:25" ht="11.25" customHeight="1">
      <c r="A665" s="418">
        <v>5</v>
      </c>
      <c r="B665" s="110"/>
      <c r="D665" s="4" t="s">
        <v>160</v>
      </c>
      <c r="E665" s="227" t="s">
        <v>164</v>
      </c>
      <c r="F665" s="233" t="s">
        <v>164</v>
      </c>
      <c r="G665" s="1"/>
      <c r="H665" s="12"/>
      <c r="K665" s="59"/>
      <c r="L665" s="465" t="s">
        <v>265</v>
      </c>
      <c r="X665" s="455" t="s">
        <v>265</v>
      </c>
    </row>
    <row r="666" spans="1:25" ht="11.25" customHeight="1">
      <c r="A666" s="418">
        <v>6</v>
      </c>
      <c r="B666" s="110"/>
      <c r="D666" s="4" t="s">
        <v>167</v>
      </c>
      <c r="E666" s="13" t="s">
        <v>298</v>
      </c>
      <c r="F666" s="1" t="s">
        <v>298</v>
      </c>
      <c r="G666" s="1" t="s">
        <v>348</v>
      </c>
      <c r="H666" s="12"/>
      <c r="K666" s="59"/>
      <c r="L666" s="465" t="s">
        <v>265</v>
      </c>
      <c r="X666" s="455" t="s">
        <v>265</v>
      </c>
    </row>
    <row r="667" spans="1:25" ht="11.25" customHeight="1" thickBot="1">
      <c r="A667" s="418">
        <v>7</v>
      </c>
      <c r="B667" s="110"/>
      <c r="D667" s="23" t="s">
        <v>298</v>
      </c>
      <c r="E667" s="26" t="s">
        <v>171</v>
      </c>
      <c r="F667" s="26" t="s">
        <v>171</v>
      </c>
      <c r="G667" s="5" t="s">
        <v>172</v>
      </c>
      <c r="H667" s="23" t="s">
        <v>373</v>
      </c>
      <c r="K667" s="59"/>
      <c r="L667" s="465" t="s">
        <v>265</v>
      </c>
      <c r="X667" s="455" t="s">
        <v>265</v>
      </c>
    </row>
    <row r="668" spans="1:25" ht="11.25" customHeight="1">
      <c r="A668" s="418">
        <v>8</v>
      </c>
      <c r="B668" s="110"/>
      <c r="D668" s="160" t="str">
        <f>IF(P485="","",P485)</f>
        <v/>
      </c>
      <c r="E668" s="656" t="str">
        <f>IF(R485="","",R485)</f>
        <v/>
      </c>
      <c r="F668" s="656" t="str">
        <f t="shared" ref="F668:F675" si="116">IF(OR(D668="",S485=""),"",S485)</f>
        <v/>
      </c>
      <c r="G668" s="228" t="str">
        <f t="shared" ref="G668:G675" si="117">IF(OR(E668="",F668=""),"",(E668-F668)/F668)</f>
        <v/>
      </c>
      <c r="H668" s="104" t="str">
        <f>IF(OR(E668="",F668=""),"",IF(ABS(G668)&gt;0.25,"NO","YES"))</f>
        <v/>
      </c>
      <c r="K668" s="59"/>
      <c r="L668" s="465" t="s">
        <v>265</v>
      </c>
      <c r="X668" s="455" t="s">
        <v>265</v>
      </c>
    </row>
    <row r="669" spans="1:25" ht="11.25" customHeight="1">
      <c r="A669" s="418">
        <v>9</v>
      </c>
      <c r="B669" s="110"/>
      <c r="D669" s="160" t="str">
        <f t="shared" ref="D669:D675" si="118">IF(OR(P486="",P486=P485),"",P486)</f>
        <v/>
      </c>
      <c r="E669" s="656" t="str">
        <f t="shared" ref="E669:E675" si="119">IF(R486=R485,"",R486)</f>
        <v/>
      </c>
      <c r="F669" s="656" t="str">
        <f t="shared" si="116"/>
        <v/>
      </c>
      <c r="G669" s="228" t="str">
        <f t="shared" si="117"/>
        <v/>
      </c>
      <c r="H669" s="104" t="str">
        <f t="shared" ref="H669:H675" si="120">IF(H668="TBD","TBD",IF(OR(E669="",F669=""),"",IF(ABS(G669)&gt;0.25,"NO","YES")))</f>
        <v/>
      </c>
      <c r="K669" s="59"/>
      <c r="L669" s="465" t="s">
        <v>265</v>
      </c>
      <c r="X669" s="455" t="s">
        <v>265</v>
      </c>
    </row>
    <row r="670" spans="1:25" ht="11.25" customHeight="1">
      <c r="A670" s="418">
        <v>10</v>
      </c>
      <c r="B670" s="110"/>
      <c r="D670" s="160" t="str">
        <f t="shared" si="118"/>
        <v/>
      </c>
      <c r="E670" s="656" t="str">
        <f t="shared" si="119"/>
        <v/>
      </c>
      <c r="F670" s="656" t="str">
        <f t="shared" si="116"/>
        <v/>
      </c>
      <c r="G670" s="228" t="str">
        <f t="shared" si="117"/>
        <v/>
      </c>
      <c r="H670" s="104" t="str">
        <f t="shared" si="120"/>
        <v/>
      </c>
      <c r="K670" s="59"/>
      <c r="L670" s="465" t="s">
        <v>265</v>
      </c>
      <c r="X670" s="455" t="s">
        <v>265</v>
      </c>
    </row>
    <row r="671" spans="1:25" ht="11.25" customHeight="1">
      <c r="A671" s="418">
        <v>11</v>
      </c>
      <c r="B671" s="110"/>
      <c r="D671" s="160" t="str">
        <f t="shared" si="118"/>
        <v/>
      </c>
      <c r="E671" s="656" t="str">
        <f t="shared" si="119"/>
        <v/>
      </c>
      <c r="F671" s="656" t="str">
        <f t="shared" si="116"/>
        <v/>
      </c>
      <c r="G671" s="228" t="str">
        <f t="shared" si="117"/>
        <v/>
      </c>
      <c r="H671" s="104" t="str">
        <f t="shared" si="120"/>
        <v/>
      </c>
      <c r="K671" s="59"/>
      <c r="L671" s="465" t="s">
        <v>265</v>
      </c>
      <c r="X671" s="455" t="s">
        <v>265</v>
      </c>
    </row>
    <row r="672" spans="1:25" ht="11.25" customHeight="1">
      <c r="A672" s="418">
        <v>12</v>
      </c>
      <c r="B672" s="110"/>
      <c r="D672" s="160" t="str">
        <f t="shared" si="118"/>
        <v/>
      </c>
      <c r="E672" s="656" t="str">
        <f t="shared" si="119"/>
        <v/>
      </c>
      <c r="F672" s="656" t="str">
        <f t="shared" si="116"/>
        <v/>
      </c>
      <c r="G672" s="228" t="str">
        <f t="shared" si="117"/>
        <v/>
      </c>
      <c r="H672" s="104" t="str">
        <f t="shared" si="120"/>
        <v/>
      </c>
      <c r="K672" s="59"/>
      <c r="L672" s="465" t="s">
        <v>265</v>
      </c>
      <c r="X672" s="455" t="s">
        <v>265</v>
      </c>
    </row>
    <row r="673" spans="1:25" ht="11.25" customHeight="1">
      <c r="A673" s="418">
        <v>13</v>
      </c>
      <c r="B673" s="110"/>
      <c r="D673" s="160" t="str">
        <f t="shared" si="118"/>
        <v/>
      </c>
      <c r="E673" s="656" t="str">
        <f t="shared" si="119"/>
        <v/>
      </c>
      <c r="F673" s="656" t="str">
        <f t="shared" si="116"/>
        <v/>
      </c>
      <c r="G673" s="228" t="str">
        <f t="shared" si="117"/>
        <v/>
      </c>
      <c r="H673" s="104" t="str">
        <f t="shared" si="120"/>
        <v/>
      </c>
      <c r="K673" s="59"/>
      <c r="L673" s="465" t="s">
        <v>265</v>
      </c>
      <c r="X673" s="455" t="s">
        <v>265</v>
      </c>
    </row>
    <row r="674" spans="1:25" ht="11.25" customHeight="1" thickBot="1">
      <c r="A674" s="418">
        <v>14</v>
      </c>
      <c r="B674" s="110"/>
      <c r="D674" s="160" t="str">
        <f t="shared" si="118"/>
        <v/>
      </c>
      <c r="E674" s="656" t="str">
        <f t="shared" si="119"/>
        <v/>
      </c>
      <c r="F674" s="656" t="str">
        <f t="shared" si="116"/>
        <v/>
      </c>
      <c r="G674" s="228" t="str">
        <f t="shared" si="117"/>
        <v/>
      </c>
      <c r="H674" s="104" t="str">
        <f t="shared" si="120"/>
        <v/>
      </c>
      <c r="K674" s="59"/>
      <c r="L674" s="465" t="s">
        <v>265</v>
      </c>
      <c r="X674" s="455" t="s">
        <v>265</v>
      </c>
    </row>
    <row r="675" spans="1:25" ht="11.25" customHeight="1" thickBot="1">
      <c r="A675" s="418">
        <v>15</v>
      </c>
      <c r="B675" s="110"/>
      <c r="D675" s="160" t="str">
        <f t="shared" si="118"/>
        <v/>
      </c>
      <c r="E675" s="656" t="str">
        <f t="shared" si="119"/>
        <v/>
      </c>
      <c r="F675" s="656" t="str">
        <f t="shared" si="116"/>
        <v/>
      </c>
      <c r="G675" s="228" t="str">
        <f t="shared" si="117"/>
        <v/>
      </c>
      <c r="H675" s="104" t="str">
        <f t="shared" si="120"/>
        <v/>
      </c>
      <c r="I675" s="192" t="s">
        <v>353</v>
      </c>
      <c r="J675" s="124" t="str">
        <f>V494</f>
        <v>NA</v>
      </c>
      <c r="K675" s="59"/>
      <c r="L675" s="465" t="s">
        <v>265</v>
      </c>
      <c r="X675" s="455" t="s">
        <v>265</v>
      </c>
    </row>
    <row r="676" spans="1:25" ht="11.25" customHeight="1">
      <c r="A676" s="418">
        <v>16</v>
      </c>
      <c r="B676" s="223" t="s">
        <v>176</v>
      </c>
      <c r="E676" s="1" t="s">
        <v>160</v>
      </c>
      <c r="F676" s="1" t="s">
        <v>386</v>
      </c>
      <c r="I676" s="1"/>
      <c r="K676" s="59"/>
      <c r="L676" s="465" t="s">
        <v>265</v>
      </c>
      <c r="X676" s="455" t="s">
        <v>265</v>
      </c>
    </row>
    <row r="677" spans="1:25" ht="11.25" customHeight="1">
      <c r="A677" s="418">
        <v>17</v>
      </c>
      <c r="B677" s="110"/>
      <c r="E677" s="13" t="s">
        <v>513</v>
      </c>
      <c r="F677" s="1" t="s">
        <v>513</v>
      </c>
      <c r="K677" s="59"/>
      <c r="L677" s="465" t="s">
        <v>265</v>
      </c>
      <c r="X677" s="455" t="s">
        <v>265</v>
      </c>
    </row>
    <row r="678" spans="1:25" ht="11.25" customHeight="1">
      <c r="A678" s="418">
        <v>18</v>
      </c>
      <c r="B678" s="110"/>
      <c r="D678" s="4" t="s">
        <v>160</v>
      </c>
      <c r="E678" s="227" t="s">
        <v>164</v>
      </c>
      <c r="F678" s="233" t="s">
        <v>164</v>
      </c>
      <c r="H678" s="12"/>
      <c r="K678" s="59"/>
      <c r="L678" s="465" t="s">
        <v>265</v>
      </c>
      <c r="X678" s="455" t="s">
        <v>265</v>
      </c>
    </row>
    <row r="679" spans="1:25" ht="11.25" customHeight="1">
      <c r="A679" s="418">
        <v>19</v>
      </c>
      <c r="B679" s="110"/>
      <c r="D679" s="4" t="s">
        <v>167</v>
      </c>
      <c r="E679" s="13" t="s">
        <v>298</v>
      </c>
      <c r="F679" s="1" t="s">
        <v>298</v>
      </c>
      <c r="G679" s="1" t="s">
        <v>348</v>
      </c>
      <c r="H679" s="12"/>
      <c r="K679" s="59"/>
      <c r="L679" s="465" t="s">
        <v>265</v>
      </c>
      <c r="X679" s="455" t="s">
        <v>265</v>
      </c>
    </row>
    <row r="680" spans="1:25" ht="11.25" customHeight="1" thickBot="1">
      <c r="A680" s="418">
        <v>20</v>
      </c>
      <c r="B680" s="110"/>
      <c r="D680" s="23" t="s">
        <v>298</v>
      </c>
      <c r="E680" s="26" t="s">
        <v>171</v>
      </c>
      <c r="F680" s="26" t="s">
        <v>171</v>
      </c>
      <c r="G680" s="5" t="s">
        <v>172</v>
      </c>
      <c r="H680" s="23" t="s">
        <v>373</v>
      </c>
      <c r="K680" s="59"/>
      <c r="L680" s="465" t="s">
        <v>265</v>
      </c>
      <c r="X680" s="455" t="s">
        <v>265</v>
      </c>
    </row>
    <row r="681" spans="1:25" ht="11.25" customHeight="1">
      <c r="A681" s="418">
        <v>21</v>
      </c>
      <c r="B681" s="110"/>
      <c r="D681" s="160" t="str">
        <f>IF(P502="","",P502)</f>
        <v/>
      </c>
      <c r="E681" s="656" t="str">
        <f>IF(R502="","",R502)</f>
        <v/>
      </c>
      <c r="F681" s="656" t="str">
        <f t="shared" ref="F681:F686" si="121">IF(OR(D681="",S502=""),"",S502)</f>
        <v/>
      </c>
      <c r="G681" s="228" t="str">
        <f t="shared" ref="G681:G686" si="122">IF(OR(E681="",F681=""),"",(E681-F681)/F681)</f>
        <v/>
      </c>
      <c r="H681" s="104" t="str">
        <f>IF(OR(E681="",F681=""),"",IF(ABS(G681)&gt;0.25,"NO","YES"))</f>
        <v/>
      </c>
      <c r="I681" s="37"/>
      <c r="J681" s="37"/>
      <c r="K681" s="59"/>
      <c r="L681" s="465" t="s">
        <v>265</v>
      </c>
      <c r="X681" s="455" t="s">
        <v>265</v>
      </c>
    </row>
    <row r="682" spans="1:25" ht="11.25" customHeight="1">
      <c r="A682" s="418">
        <v>22</v>
      </c>
      <c r="B682" s="110"/>
      <c r="D682" s="160" t="str">
        <f>IF(OR(P503="",P503=P502),"",P503)</f>
        <v/>
      </c>
      <c r="E682" s="656" t="str">
        <f>IF(R503=R502,"",R503)</f>
        <v/>
      </c>
      <c r="F682" s="656" t="str">
        <f t="shared" si="121"/>
        <v/>
      </c>
      <c r="G682" s="228" t="str">
        <f t="shared" si="122"/>
        <v/>
      </c>
      <c r="H682" s="104" t="str">
        <f>IF(H681="TBD","TBD",IF(OR(E682="",F682=""),"",IF(ABS(G682)&gt;0.25,"NO","YES")))</f>
        <v/>
      </c>
      <c r="I682" s="37"/>
      <c r="J682" s="37"/>
      <c r="K682" s="59"/>
      <c r="L682" s="465" t="s">
        <v>265</v>
      </c>
      <c r="X682" s="455" t="s">
        <v>265</v>
      </c>
    </row>
    <row r="683" spans="1:25" ht="11.25" customHeight="1">
      <c r="A683" s="418">
        <v>23</v>
      </c>
      <c r="B683" s="110"/>
      <c r="D683" s="160" t="str">
        <f>IF(OR(P504="",P504=P503),"",P504)</f>
        <v/>
      </c>
      <c r="E683" s="656" t="str">
        <f>IF(R504=R503,"",R504)</f>
        <v/>
      </c>
      <c r="F683" s="656" t="str">
        <f t="shared" si="121"/>
        <v/>
      </c>
      <c r="G683" s="228" t="str">
        <f t="shared" si="122"/>
        <v/>
      </c>
      <c r="H683" s="104" t="str">
        <f>IF(H682="TBD","TBD",IF(OR(E683="",F683=""),"",IF(ABS(G683)&gt;0.25,"NO","YES")))</f>
        <v/>
      </c>
      <c r="I683" s="37"/>
      <c r="J683" s="37"/>
      <c r="K683" s="59"/>
      <c r="L683" s="465" t="s">
        <v>265</v>
      </c>
      <c r="X683" s="455" t="s">
        <v>265</v>
      </c>
    </row>
    <row r="684" spans="1:25" ht="11.25" customHeight="1">
      <c r="A684" s="418">
        <v>24</v>
      </c>
      <c r="B684" s="110"/>
      <c r="D684" s="160" t="str">
        <f>IF(OR(P505="",P505=P504),"",P505)</f>
        <v/>
      </c>
      <c r="E684" s="656" t="str">
        <f>IF(R505=R504,"",R505)</f>
        <v/>
      </c>
      <c r="F684" s="656" t="str">
        <f t="shared" si="121"/>
        <v/>
      </c>
      <c r="G684" s="228" t="str">
        <f t="shared" si="122"/>
        <v/>
      </c>
      <c r="H684" s="104" t="str">
        <f>IF(H683="TBD","TBD",IF(OR(E684="",F684=""),"",IF(ABS(G684)&gt;0.25,"NO","YES")))</f>
        <v/>
      </c>
      <c r="I684" s="37"/>
      <c r="J684" s="37"/>
      <c r="K684" s="59"/>
      <c r="L684" s="465" t="s">
        <v>265</v>
      </c>
      <c r="X684" s="455" t="s">
        <v>265</v>
      </c>
    </row>
    <row r="685" spans="1:25" ht="11.25" customHeight="1" thickBot="1">
      <c r="A685" s="418">
        <v>25</v>
      </c>
      <c r="B685" s="110"/>
      <c r="D685" s="160" t="str">
        <f>IF(OR(P506="",P506=P505),"",P506)</f>
        <v/>
      </c>
      <c r="E685" s="656" t="str">
        <f>IF(R506=R505,"",R506)</f>
        <v/>
      </c>
      <c r="F685" s="656" t="str">
        <f t="shared" si="121"/>
        <v/>
      </c>
      <c r="G685" s="228" t="str">
        <f t="shared" si="122"/>
        <v/>
      </c>
      <c r="H685" s="104" t="str">
        <f>IF(H684="TBD","TBD",IF(OR(E685="",F685=""),"",IF(ABS(G685)&gt;0.25,"NO","YES")))</f>
        <v/>
      </c>
      <c r="I685" s="37"/>
      <c r="J685" s="37"/>
      <c r="K685" s="59"/>
      <c r="L685" s="465" t="s">
        <v>265</v>
      </c>
      <c r="X685" s="455" t="s">
        <v>265</v>
      </c>
      <c r="Y685" s="582"/>
    </row>
    <row r="686" spans="1:25" ht="11.25" customHeight="1" thickBot="1">
      <c r="A686" s="418">
        <v>26</v>
      </c>
      <c r="B686" s="110"/>
      <c r="D686" s="160" t="str">
        <f>IF(OR(P507="",P507=P506),"",P507)</f>
        <v/>
      </c>
      <c r="E686" s="656" t="str">
        <f>IF(R507=R506,"",R507)</f>
        <v/>
      </c>
      <c r="F686" s="656" t="str">
        <f t="shared" si="121"/>
        <v/>
      </c>
      <c r="G686" s="228" t="str">
        <f t="shared" si="122"/>
        <v/>
      </c>
      <c r="H686" s="104" t="str">
        <f>IF(H685="TBD","TBD",IF(OR(E686="",F686=""),"",IF(ABS(G686)&gt;0.25,"NO","YES")))</f>
        <v/>
      </c>
      <c r="I686" s="192" t="s">
        <v>353</v>
      </c>
      <c r="J686" s="124" t="str">
        <f>V509</f>
        <v>NA</v>
      </c>
      <c r="K686" s="59"/>
      <c r="L686" s="465" t="s">
        <v>265</v>
      </c>
      <c r="X686" s="455" t="s">
        <v>265</v>
      </c>
    </row>
    <row r="687" spans="1:25" ht="11.25" customHeight="1">
      <c r="A687" s="418">
        <v>27</v>
      </c>
      <c r="B687" s="110"/>
      <c r="K687" s="59"/>
      <c r="L687" s="465" t="s">
        <v>265</v>
      </c>
      <c r="X687" s="455" t="s">
        <v>265</v>
      </c>
    </row>
    <row r="688" spans="1:25" ht="11.25" customHeight="1">
      <c r="A688" s="418">
        <v>28</v>
      </c>
      <c r="B688" s="110"/>
      <c r="C688" s="115" t="s">
        <v>354</v>
      </c>
      <c r="D688" s="88" t="s">
        <v>318</v>
      </c>
      <c r="K688" s="57"/>
      <c r="L688" s="465" t="s">
        <v>265</v>
      </c>
      <c r="X688" s="455" t="s">
        <v>265</v>
      </c>
    </row>
    <row r="689" spans="1:24" ht="11.25" customHeight="1">
      <c r="A689" s="418">
        <v>29</v>
      </c>
      <c r="B689" s="90" t="s">
        <v>346</v>
      </c>
      <c r="C689" s="560" t="str">
        <f>IF(O510="","",IF(LEN(O510)&lt;=135,O510,IF(LEN(O510)&lt;=260,LEFT(O510,SEARCH(" ",O510,125)),LEFT(O510,SEARCH(" ",O510,130)))))</f>
        <v/>
      </c>
      <c r="D689" s="2"/>
      <c r="E689" s="2"/>
      <c r="F689" s="2"/>
      <c r="G689" s="2"/>
      <c r="H689" s="2"/>
      <c r="I689" s="2"/>
      <c r="J689" s="2"/>
      <c r="K689" s="57"/>
      <c r="L689" s="465" t="s">
        <v>265</v>
      </c>
      <c r="X689" s="455" t="s">
        <v>265</v>
      </c>
    </row>
    <row r="690" spans="1:24" ht="11.25" customHeight="1">
      <c r="A690" s="418">
        <v>30</v>
      </c>
      <c r="B690" s="34"/>
      <c r="C690" s="561" t="str">
        <f>IF(LEN(O510)&lt;=135,"",IF(LEN(O510)&lt;=260,RIGHT(O510,LEN(O510)-SEARCH(" ",O510,125)),MID(O510,SEARCH(" ",O510,130),IF(LEN(O510)&lt;=265,LEN(O510),SEARCH(" ",O510,255)-SEARCH(" ",O510,130)))))</f>
        <v/>
      </c>
      <c r="D690" s="2"/>
      <c r="E690" s="2"/>
      <c r="F690" s="2"/>
      <c r="G690" s="2"/>
      <c r="H690" s="2"/>
      <c r="I690" s="2"/>
      <c r="J690" s="2"/>
      <c r="K690" s="57"/>
      <c r="L690" s="465" t="s">
        <v>265</v>
      </c>
      <c r="X690" s="455" t="s">
        <v>265</v>
      </c>
    </row>
    <row r="691" spans="1:24" ht="11.25" customHeight="1">
      <c r="A691" s="418">
        <v>31</v>
      </c>
      <c r="B691" s="34"/>
      <c r="C691" s="560" t="str">
        <f>IF(LEN(O510)&lt;=265,"",RIGHT(O510,LEN(O510)-SEARCH(" ",O510,255)))</f>
        <v/>
      </c>
      <c r="D691" s="2"/>
      <c r="E691" s="2"/>
      <c r="F691" s="2"/>
      <c r="G691" s="2"/>
      <c r="H691" s="2"/>
      <c r="I691" s="2"/>
      <c r="J691" s="2"/>
      <c r="K691" s="57"/>
      <c r="L691" s="465" t="s">
        <v>265</v>
      </c>
      <c r="X691" s="455" t="s">
        <v>265</v>
      </c>
    </row>
    <row r="692" spans="1:24" ht="11.25" customHeight="1">
      <c r="A692" s="418">
        <v>32</v>
      </c>
      <c r="B692" s="110"/>
      <c r="K692" s="57"/>
      <c r="L692" s="465" t="s">
        <v>265</v>
      </c>
      <c r="X692" s="455" t="s">
        <v>265</v>
      </c>
    </row>
    <row r="693" spans="1:24" ht="11.25" customHeight="1">
      <c r="A693" s="418">
        <v>33</v>
      </c>
      <c r="B693" s="110"/>
      <c r="C693" s="1"/>
      <c r="D693" s="13" t="s">
        <v>179</v>
      </c>
      <c r="H693" s="1"/>
      <c r="I693" s="13" t="s">
        <v>180</v>
      </c>
      <c r="K693" s="57"/>
      <c r="L693" s="465" t="s">
        <v>265</v>
      </c>
      <c r="X693" s="455" t="s">
        <v>265</v>
      </c>
    </row>
    <row r="694" spans="1:24" ht="11.25" customHeight="1">
      <c r="A694" s="418">
        <v>34</v>
      </c>
      <c r="B694" s="110"/>
      <c r="C694" s="1"/>
      <c r="D694" s="13" t="s">
        <v>160</v>
      </c>
      <c r="H694" s="1"/>
      <c r="I694" s="13" t="s">
        <v>160</v>
      </c>
      <c r="J694" s="37"/>
      <c r="K694" s="59"/>
      <c r="L694" s="465" t="s">
        <v>265</v>
      </c>
      <c r="X694" s="455" t="s">
        <v>265</v>
      </c>
    </row>
    <row r="695" spans="1:24" ht="11.25" customHeight="1">
      <c r="A695" s="418">
        <v>35</v>
      </c>
      <c r="B695" s="110"/>
      <c r="C695" s="1"/>
      <c r="D695" s="13" t="s">
        <v>513</v>
      </c>
      <c r="H695" s="1"/>
      <c r="I695" s="13" t="s">
        <v>513</v>
      </c>
      <c r="K695" s="59"/>
      <c r="L695" s="465" t="s">
        <v>265</v>
      </c>
      <c r="X695" s="455" t="s">
        <v>265</v>
      </c>
    </row>
    <row r="696" spans="1:24" ht="11.25" customHeight="1" thickBot="1">
      <c r="A696" s="418">
        <v>36</v>
      </c>
      <c r="B696" s="110"/>
      <c r="C696" s="23" t="s">
        <v>298</v>
      </c>
      <c r="D696" s="26" t="s">
        <v>171</v>
      </c>
      <c r="H696" s="23" t="s">
        <v>298</v>
      </c>
      <c r="I696" s="26" t="s">
        <v>171</v>
      </c>
      <c r="K696" s="32"/>
      <c r="L696" s="465" t="s">
        <v>265</v>
      </c>
      <c r="X696" s="455" t="s">
        <v>265</v>
      </c>
    </row>
    <row r="697" spans="1:24" ht="11.25" customHeight="1">
      <c r="A697" s="418">
        <v>37</v>
      </c>
      <c r="B697" s="110"/>
      <c r="C697" s="159">
        <f>IF(AND($R$234="",T234=""),50,10*(TRUNC((MIN($Q$234:$Q$241)-10)/10,0))+5)</f>
        <v>55</v>
      </c>
      <c r="D697" s="656" t="str">
        <f t="array" ref="D697:D706">IF(OR(P485="",Q485="",P486="",Q486=""),"",EXP(TREND(LN(R485:R492),LN(P485:P492),LN(C697:C706))))</f>
        <v/>
      </c>
      <c r="H697" s="159">
        <f>IF(AND($R$252="",T252=""),55,10*(TRUNC((MIN($Q$252:$Q$257)-10)/10,0))+5)</f>
        <v>45</v>
      </c>
      <c r="I697" s="656" t="str">
        <f t="array" ref="I697:I706">IF(OR(P502="",Q502="",P503="",Q503=""),"",EXP(TREND(LN(R502:R507),LN(P502:P507),LN(H697:H706))))</f>
        <v/>
      </c>
      <c r="K697" s="59"/>
      <c r="L697" s="465" t="s">
        <v>265</v>
      </c>
      <c r="X697" s="455" t="s">
        <v>265</v>
      </c>
    </row>
    <row r="698" spans="1:24" ht="11.25" customHeight="1">
      <c r="A698" s="418">
        <v>38</v>
      </c>
      <c r="B698" s="110"/>
      <c r="C698" s="159">
        <f>IF(AND($R$234="",T234=""),60,IF(MAX($Q$234:$Q$241)+5&lt;C697+5,C697,10*TRUNC((C697+10)/10,0)))</f>
        <v>60</v>
      </c>
      <c r="D698" s="656" t="str">
        <v/>
      </c>
      <c r="H698" s="159">
        <f>IF(AND($R$252="",T253=""),65,IF(MAX($Q$252:$Q$257)+5&lt;H697+10,H697,H697+10))</f>
        <v>55</v>
      </c>
      <c r="I698" s="656" t="str">
        <v/>
      </c>
      <c r="K698" s="59"/>
      <c r="L698" s="465" t="s">
        <v>265</v>
      </c>
      <c r="X698" s="455" t="s">
        <v>265</v>
      </c>
    </row>
    <row r="699" spans="1:24" ht="11.25" customHeight="1">
      <c r="A699" s="418">
        <v>39</v>
      </c>
      <c r="B699" s="110"/>
      <c r="C699" s="159">
        <f>IF(AND($R$234="",T235=""),70,IF(MAX($Q$234:$Q$241)+5&lt;C698+5,C698,10*TRUNC((C698+10)/10,0)))</f>
        <v>70</v>
      </c>
      <c r="D699" s="656" t="str">
        <v/>
      </c>
      <c r="H699" s="159">
        <f>IF(AND($R$252="",T254=""),75,IF(MAX($Q$252:$Q$257)+5&lt;H698+10,H698,H698+10))</f>
        <v>65</v>
      </c>
      <c r="I699" s="656" t="str">
        <v/>
      </c>
      <c r="K699" s="59"/>
      <c r="L699" s="465" t="s">
        <v>265</v>
      </c>
      <c r="X699" s="455" t="s">
        <v>265</v>
      </c>
    </row>
    <row r="700" spans="1:24" ht="11.25" customHeight="1">
      <c r="A700" s="418">
        <v>40</v>
      </c>
      <c r="B700" s="110"/>
      <c r="C700" s="159">
        <f>IF(AND($R$234="",T236=""),80,IF(MAX($Q$234:$Q$241)+5&lt;C699+5,C699,10*TRUNC((C699+10)/10,0)))</f>
        <v>80</v>
      </c>
      <c r="D700" s="656" t="str">
        <v/>
      </c>
      <c r="H700" s="159">
        <f>IF(AND($R$252="",T255=""),85,IF(MAX($Q$252:$Q$257)+5&lt;H699+10,H699,H699+10))</f>
        <v>75</v>
      </c>
      <c r="I700" s="656" t="str">
        <v/>
      </c>
      <c r="K700" s="59"/>
      <c r="L700" s="465" t="s">
        <v>265</v>
      </c>
      <c r="X700" s="455" t="s">
        <v>265</v>
      </c>
    </row>
    <row r="701" spans="1:24" ht="11.25" customHeight="1">
      <c r="A701" s="418">
        <v>41</v>
      </c>
      <c r="B701" s="110"/>
      <c r="C701" s="159">
        <f>IF(AND($R$234="",T237=""),90,IF(MAX($Q$234:$Q$241)+5&lt;C700+5,C700,10*TRUNC((C700+10)/10,0)))</f>
        <v>90</v>
      </c>
      <c r="D701" s="656" t="str">
        <v/>
      </c>
      <c r="H701" s="159">
        <f>IF(AND($R$252="",T256=""),95,IF(MAX($Q$252:$Q$257)+5&lt;H700+10,H700,H700+10))</f>
        <v>85</v>
      </c>
      <c r="I701" s="656" t="str">
        <v/>
      </c>
      <c r="K701" s="59"/>
      <c r="L701" s="465" t="s">
        <v>265</v>
      </c>
      <c r="X701" s="455" t="s">
        <v>265</v>
      </c>
    </row>
    <row r="702" spans="1:24" ht="11.25" customHeight="1">
      <c r="A702" s="418">
        <v>42</v>
      </c>
      <c r="B702" s="110"/>
      <c r="C702" s="159">
        <f>IF(AND($R$234="",T238=""),100,IF(MAX($Q$234:$Q$241)+5&lt;C701+5,C701,10*TRUNC((C701+10)/10,0)))</f>
        <v>100</v>
      </c>
      <c r="D702" s="656" t="str">
        <v/>
      </c>
      <c r="H702" s="159">
        <f>IF(AND($R$252="",T257=""),105,IF(MAX($Q$252:$Q$257)+5&lt;H701+10,H701,H701+10))</f>
        <v>95</v>
      </c>
      <c r="I702" s="656" t="str">
        <v/>
      </c>
      <c r="K702" s="59"/>
      <c r="L702" s="465" t="s">
        <v>265</v>
      </c>
      <c r="X702" s="455" t="s">
        <v>265</v>
      </c>
    </row>
    <row r="703" spans="1:24" ht="11.25" customHeight="1">
      <c r="A703" s="418">
        <v>43</v>
      </c>
      <c r="B703" s="110"/>
      <c r="C703" s="159">
        <f>IF(AND($R$234="",T239=""),110,IF(MAX($Q$234:$Q$241)+5&lt;C702+5,C702,10*TRUNC((C702+10)/10,0)))</f>
        <v>110</v>
      </c>
      <c r="D703" s="656" t="str">
        <v/>
      </c>
      <c r="H703" s="159">
        <f>IF(AND($R$252="",T258=""),115,IF(MAX($Q$252:$Q$257)+5&lt;H702+10,H702,H702+10))</f>
        <v>105</v>
      </c>
      <c r="I703" s="656" t="str">
        <v/>
      </c>
      <c r="K703" s="59"/>
      <c r="L703" s="465" t="s">
        <v>265</v>
      </c>
      <c r="X703" s="455" t="s">
        <v>265</v>
      </c>
    </row>
    <row r="704" spans="1:24" ht="11.25" customHeight="1">
      <c r="A704" s="418">
        <v>44</v>
      </c>
      <c r="B704" s="110"/>
      <c r="C704" s="159">
        <f>IF(AND($R$234="",T240=""),120,IF(MAX($Q$234:$Q$241)+5&lt;C703+5,C703,10*TRUNC((C703+10)/10,0)))</f>
        <v>120</v>
      </c>
      <c r="D704" s="656" t="str">
        <v/>
      </c>
      <c r="H704" s="159">
        <f>IF(AND($R$252="",T259=""),125,IF(MAX($Q$252:$Q$257)+5&lt;H703+10,H703,H703+10))</f>
        <v>115</v>
      </c>
      <c r="I704" s="656" t="str">
        <v/>
      </c>
      <c r="K704" s="59"/>
      <c r="L704" s="465" t="s">
        <v>265</v>
      </c>
      <c r="X704" s="455" t="s">
        <v>265</v>
      </c>
    </row>
    <row r="705" spans="1:24" ht="11.25" customHeight="1">
      <c r="A705" s="418">
        <v>45</v>
      </c>
      <c r="B705" s="110"/>
      <c r="C705" s="159">
        <f>IF(AND($R$234="",T241=""),130,IF(MAX($Q$234:$Q$241)+5&lt;C704+5,C704,10*TRUNC((C704+10)/10,0)))</f>
        <v>130</v>
      </c>
      <c r="D705" s="656" t="str">
        <v/>
      </c>
      <c r="H705" s="159">
        <f>IF(AND($R$252="",T260=""),135,IF(MAX($Q$252:$Q$257)+5&lt;H704+10,H704,H704+10))</f>
        <v>125</v>
      </c>
      <c r="I705" s="656" t="str">
        <v/>
      </c>
      <c r="K705" s="59"/>
      <c r="L705" s="465" t="s">
        <v>265</v>
      </c>
      <c r="X705" s="455" t="s">
        <v>265</v>
      </c>
    </row>
    <row r="706" spans="1:24" ht="11.25" customHeight="1">
      <c r="A706" s="418">
        <v>46</v>
      </c>
      <c r="B706" s="110"/>
      <c r="C706" s="159">
        <f>IF(AND($R$234="",T242=""),140,IF(MAX($Q$234:$Q$241)+5&lt;C705+5,C705,10*TRUNC((C705+10)/10,0)))</f>
        <v>140</v>
      </c>
      <c r="D706" s="656" t="str">
        <v/>
      </c>
      <c r="H706" s="159">
        <f>IF(AND($R$252="",T261=""),145,IF(MAX($Q$252:$Q$257)+5&lt;H705+10,H705,H705+10))</f>
        <v>135</v>
      </c>
      <c r="I706" s="656" t="str">
        <v/>
      </c>
      <c r="K706" s="59"/>
      <c r="L706" s="465" t="s">
        <v>265</v>
      </c>
      <c r="X706" s="455" t="s">
        <v>265</v>
      </c>
    </row>
    <row r="707" spans="1:24" ht="11.25" customHeight="1">
      <c r="A707" s="418">
        <v>47</v>
      </c>
      <c r="B707" s="110"/>
      <c r="I707" s="233"/>
      <c r="K707" s="59"/>
      <c r="L707" s="465" t="s">
        <v>265</v>
      </c>
      <c r="X707" s="455" t="s">
        <v>265</v>
      </c>
    </row>
    <row r="708" spans="1:24" ht="11.25" customHeight="1">
      <c r="A708" s="418">
        <v>48</v>
      </c>
      <c r="B708" s="110"/>
      <c r="I708" s="37"/>
      <c r="K708" s="59"/>
      <c r="L708" s="465" t="s">
        <v>265</v>
      </c>
      <c r="X708" s="455" t="s">
        <v>265</v>
      </c>
    </row>
    <row r="709" spans="1:24" ht="11.25" customHeight="1">
      <c r="A709" s="418">
        <v>49</v>
      </c>
      <c r="B709" s="110"/>
      <c r="I709" s="37"/>
      <c r="K709" s="59"/>
      <c r="L709" s="465" t="s">
        <v>265</v>
      </c>
      <c r="X709" s="455" t="s">
        <v>265</v>
      </c>
    </row>
    <row r="710" spans="1:24" ht="11.25" customHeight="1">
      <c r="A710" s="418">
        <v>50</v>
      </c>
      <c r="B710" s="110"/>
      <c r="I710" s="37"/>
      <c r="K710" s="59"/>
      <c r="L710" s="465" t="s">
        <v>265</v>
      </c>
      <c r="X710" s="455" t="s">
        <v>265</v>
      </c>
    </row>
    <row r="711" spans="1:24" ht="11.25" customHeight="1">
      <c r="A711" s="418">
        <v>51</v>
      </c>
      <c r="B711" s="110"/>
      <c r="I711" s="37"/>
      <c r="K711" s="59"/>
      <c r="L711" s="465" t="s">
        <v>265</v>
      </c>
      <c r="X711" s="455" t="s">
        <v>265</v>
      </c>
    </row>
    <row r="712" spans="1:24" ht="11.25" customHeight="1">
      <c r="A712" s="418">
        <v>52</v>
      </c>
      <c r="B712" s="110"/>
      <c r="I712" s="37"/>
      <c r="K712" s="59"/>
      <c r="L712" s="465" t="s">
        <v>265</v>
      </c>
      <c r="X712" s="455" t="s">
        <v>265</v>
      </c>
    </row>
    <row r="713" spans="1:24" ht="11.25" customHeight="1">
      <c r="A713" s="418">
        <v>53</v>
      </c>
      <c r="B713" s="110"/>
      <c r="I713" s="37"/>
      <c r="K713" s="59"/>
      <c r="L713" s="465" t="s">
        <v>265</v>
      </c>
      <c r="X713" s="455" t="s">
        <v>265</v>
      </c>
    </row>
    <row r="714" spans="1:24" ht="11.25" customHeight="1">
      <c r="A714" s="418">
        <v>54</v>
      </c>
      <c r="B714" s="110"/>
      <c r="I714" s="37"/>
      <c r="K714" s="59"/>
      <c r="L714" s="465" t="s">
        <v>265</v>
      </c>
      <c r="X714" s="455" t="s">
        <v>265</v>
      </c>
    </row>
    <row r="715" spans="1:24" ht="11.25" customHeight="1">
      <c r="A715" s="418">
        <v>55</v>
      </c>
      <c r="B715" s="110"/>
      <c r="I715" s="37"/>
      <c r="K715" s="59"/>
      <c r="L715" s="465" t="s">
        <v>265</v>
      </c>
      <c r="X715" s="455" t="s">
        <v>265</v>
      </c>
    </row>
    <row r="716" spans="1:24" ht="11.25" customHeight="1">
      <c r="A716" s="418">
        <v>56</v>
      </c>
      <c r="B716" s="110"/>
      <c r="I716" s="37"/>
      <c r="K716" s="59"/>
      <c r="L716" s="465" t="s">
        <v>265</v>
      </c>
      <c r="X716" s="455" t="s">
        <v>265</v>
      </c>
    </row>
    <row r="717" spans="1:24" ht="11.25" customHeight="1">
      <c r="A717" s="418">
        <v>57</v>
      </c>
      <c r="B717" s="110"/>
      <c r="I717" s="37"/>
      <c r="K717" s="59"/>
      <c r="L717" s="465" t="s">
        <v>265</v>
      </c>
      <c r="X717" s="455" t="s">
        <v>265</v>
      </c>
    </row>
    <row r="718" spans="1:24" ht="11.25" customHeight="1">
      <c r="A718" s="418">
        <v>58</v>
      </c>
      <c r="B718" s="110"/>
      <c r="C718" s="37"/>
      <c r="D718" s="37"/>
      <c r="G718" s="37"/>
      <c r="H718" s="37"/>
      <c r="I718" s="37"/>
      <c r="K718" s="59"/>
      <c r="L718" s="465" t="s">
        <v>265</v>
      </c>
      <c r="X718" s="455" t="s">
        <v>265</v>
      </c>
    </row>
    <row r="719" spans="1:24" ht="11.25" customHeight="1">
      <c r="A719" s="418">
        <v>59</v>
      </c>
      <c r="B719" s="110"/>
      <c r="K719" s="59"/>
      <c r="L719" s="465" t="s">
        <v>265</v>
      </c>
      <c r="X719" s="455" t="s">
        <v>265</v>
      </c>
    </row>
    <row r="720" spans="1:24" ht="11.25" customHeight="1">
      <c r="A720" s="418">
        <v>60</v>
      </c>
      <c r="B720" s="110"/>
      <c r="K720" s="59"/>
      <c r="L720" s="465" t="s">
        <v>265</v>
      </c>
      <c r="X720" s="455" t="s">
        <v>265</v>
      </c>
    </row>
    <row r="721" spans="1:24" ht="11.25" customHeight="1">
      <c r="A721" s="418">
        <v>61</v>
      </c>
      <c r="B721" s="110"/>
      <c r="K721" s="59"/>
      <c r="L721" s="465" t="s">
        <v>265</v>
      </c>
      <c r="X721" s="455" t="s">
        <v>265</v>
      </c>
    </row>
    <row r="722" spans="1:24" ht="11.25" customHeight="1">
      <c r="A722" s="418">
        <v>62</v>
      </c>
      <c r="B722" s="110"/>
      <c r="K722" s="59"/>
      <c r="L722" s="465" t="s">
        <v>265</v>
      </c>
      <c r="X722" s="455" t="s">
        <v>265</v>
      </c>
    </row>
    <row r="723" spans="1:24" ht="11.25" customHeight="1">
      <c r="A723" s="418">
        <v>63</v>
      </c>
      <c r="B723" s="110"/>
      <c r="K723" s="59"/>
      <c r="L723" s="465" t="s">
        <v>265</v>
      </c>
      <c r="X723" s="455" t="s">
        <v>265</v>
      </c>
    </row>
    <row r="724" spans="1:24" ht="11.25" customHeight="1" thickBot="1">
      <c r="A724" s="418">
        <v>64</v>
      </c>
      <c r="B724" s="27"/>
      <c r="C724" s="221"/>
      <c r="D724" s="221"/>
      <c r="E724" s="221"/>
      <c r="F724" s="221"/>
      <c r="G724" s="221"/>
      <c r="H724" s="221"/>
      <c r="I724" s="221"/>
      <c r="J724" s="221"/>
      <c r="K724" s="74"/>
      <c r="L724" s="465" t="s">
        <v>265</v>
      </c>
      <c r="X724" s="455" t="s">
        <v>265</v>
      </c>
    </row>
    <row r="725" spans="1:24" ht="11.25" customHeight="1" thickTop="1">
      <c r="A725" s="418">
        <v>65</v>
      </c>
      <c r="B725" s="40" t="str">
        <f t="array" ref="B725:C726">$B$65:$C$66</f>
        <v>Date:</v>
      </c>
      <c r="C725" s="674" t="str">
        <v/>
      </c>
      <c r="D725" s="102"/>
      <c r="E725" s="39"/>
      <c r="F725" s="39"/>
      <c r="G725" s="39"/>
      <c r="H725" s="39"/>
      <c r="I725" s="40" t="str">
        <f t="array" ref="I725:J726">$I$65:$J$66</f>
        <v>Inspector:</v>
      </c>
      <c r="J725" s="303" t="str">
        <v>Eugene Mah</v>
      </c>
      <c r="L725" s="465" t="s">
        <v>265</v>
      </c>
      <c r="X725" s="455" t="s">
        <v>265</v>
      </c>
    </row>
    <row r="726" spans="1:24" ht="11.25" customHeight="1">
      <c r="A726" s="418">
        <v>66</v>
      </c>
      <c r="B726" s="40" t="str">
        <v>Room Number:</v>
      </c>
      <c r="C726" s="271" t="str">
        <v/>
      </c>
      <c r="E726" s="39"/>
      <c r="F726" s="39"/>
      <c r="G726" s="39"/>
      <c r="H726" s="39"/>
      <c r="I726" s="40" t="str">
        <v>Survey ID:</v>
      </c>
      <c r="J726" s="615" t="str">
        <v/>
      </c>
      <c r="L726" s="465" t="s">
        <v>265</v>
      </c>
      <c r="X726" s="455" t="s">
        <v>265</v>
      </c>
    </row>
    <row r="727" spans="1:24" ht="11.25" customHeight="1">
      <c r="A727" s="418">
        <v>1</v>
      </c>
      <c r="K727" s="114" t="str">
        <f>$F$2</f>
        <v>Medical University of South Carolina</v>
      </c>
      <c r="L727" s="465" t="s">
        <v>265</v>
      </c>
      <c r="X727" s="455" t="s">
        <v>265</v>
      </c>
    </row>
    <row r="728" spans="1:24" ht="11.25" customHeight="1" thickBot="1">
      <c r="A728" s="418">
        <v>2</v>
      </c>
      <c r="F728" s="70" t="str">
        <f>$F$332</f>
        <v>Measurement Data</v>
      </c>
      <c r="K728" s="115" t="str">
        <f>$F$5</f>
        <v>Radiation Oncology IGRT Compliance Inspection</v>
      </c>
      <c r="L728" s="465" t="s">
        <v>265</v>
      </c>
      <c r="X728" s="455" t="s">
        <v>265</v>
      </c>
    </row>
    <row r="729" spans="1:24" ht="11.25" customHeight="1" thickTop="1" thickBot="1">
      <c r="A729" s="418">
        <v>3</v>
      </c>
      <c r="B729" s="772" t="s">
        <v>632</v>
      </c>
      <c r="C729" s="768"/>
      <c r="D729" s="100" t="str">
        <f>$P$541</f>
        <v>Abdomen</v>
      </c>
      <c r="E729" s="100" t="str">
        <f>$Q$541</f>
        <v>Pelvis</v>
      </c>
      <c r="F729" s="100" t="str">
        <f>$R$541</f>
        <v>Head</v>
      </c>
      <c r="G729" s="50"/>
      <c r="H729" s="50"/>
      <c r="I729" s="50"/>
      <c r="J729" s="50"/>
      <c r="K729" s="68"/>
      <c r="L729" s="465" t="s">
        <v>265</v>
      </c>
      <c r="X729" s="455" t="s">
        <v>265</v>
      </c>
    </row>
    <row r="730" spans="1:24" ht="11.25" customHeight="1">
      <c r="A730" s="418">
        <v>4</v>
      </c>
      <c r="B730" s="110"/>
      <c r="C730" s="42" t="s">
        <v>640</v>
      </c>
      <c r="D730" s="753" t="str">
        <f t="shared" ref="D730:D746" si="123">IF(P542="","",P542)</f>
        <v>125 kV Half Fan</v>
      </c>
      <c r="E730" s="754" t="str">
        <f t="shared" ref="E730:E746" si="124">IF(Q542="","",Q542)</f>
        <v>125 kV Full fan</v>
      </c>
      <c r="F730" s="759" t="str">
        <f t="shared" ref="F730:F746" si="125">IF(R542="","",R542)</f>
        <v/>
      </c>
      <c r="K730" s="59"/>
      <c r="L730" s="465" t="s">
        <v>265</v>
      </c>
      <c r="X730" s="455" t="s">
        <v>265</v>
      </c>
    </row>
    <row r="731" spans="1:24" ht="11.25" customHeight="1">
      <c r="A731" s="418">
        <v>5</v>
      </c>
      <c r="B731" s="110"/>
      <c r="C731" s="42" t="s">
        <v>359</v>
      </c>
      <c r="D731" s="755">
        <f t="shared" si="123"/>
        <v>125</v>
      </c>
      <c r="E731" s="756">
        <f t="shared" si="124"/>
        <v>125</v>
      </c>
      <c r="F731" s="760" t="str">
        <f t="shared" si="125"/>
        <v/>
      </c>
      <c r="K731" s="59"/>
      <c r="L731" s="465" t="s">
        <v>265</v>
      </c>
      <c r="X731" s="455" t="s">
        <v>265</v>
      </c>
    </row>
    <row r="732" spans="1:24" ht="11.25" customHeight="1">
      <c r="A732" s="418">
        <v>6</v>
      </c>
      <c r="B732" s="110"/>
      <c r="C732" s="42" t="s">
        <v>360</v>
      </c>
      <c r="D732" s="755">
        <f t="shared" si="123"/>
        <v>60</v>
      </c>
      <c r="E732" s="756">
        <f t="shared" si="124"/>
        <v>60</v>
      </c>
      <c r="F732" s="760" t="str">
        <f t="shared" si="125"/>
        <v/>
      </c>
      <c r="K732" s="59"/>
      <c r="L732" s="465" t="s">
        <v>265</v>
      </c>
      <c r="X732" s="455" t="s">
        <v>265</v>
      </c>
    </row>
    <row r="733" spans="1:24" ht="11.25" customHeight="1">
      <c r="A733" s="418">
        <v>7</v>
      </c>
      <c r="B733" s="110"/>
      <c r="C733" s="42" t="s">
        <v>658</v>
      </c>
      <c r="D733" s="755">
        <f t="shared" si="123"/>
        <v>1.2</v>
      </c>
      <c r="E733" s="756">
        <f t="shared" si="124"/>
        <v>1.2</v>
      </c>
      <c r="F733" s="760" t="str">
        <f t="shared" si="125"/>
        <v/>
      </c>
      <c r="K733" s="59"/>
      <c r="L733" s="465" t="s">
        <v>265</v>
      </c>
      <c r="X733" s="455" t="s">
        <v>265</v>
      </c>
    </row>
    <row r="734" spans="1:24" ht="11.25" customHeight="1">
      <c r="A734" s="418">
        <v>8</v>
      </c>
      <c r="B734" s="110"/>
      <c r="C734" s="42" t="s">
        <v>361</v>
      </c>
      <c r="D734" s="755" t="str">
        <f t="shared" si="123"/>
        <v/>
      </c>
      <c r="E734" s="756" t="str">
        <f t="shared" si="124"/>
        <v/>
      </c>
      <c r="F734" s="760" t="str">
        <f t="shared" si="125"/>
        <v/>
      </c>
      <c r="K734" s="59"/>
      <c r="L734" s="465" t="s">
        <v>265</v>
      </c>
      <c r="X734" s="455" t="s">
        <v>265</v>
      </c>
    </row>
    <row r="735" spans="1:24" ht="11.25" customHeight="1">
      <c r="A735" s="418">
        <v>9</v>
      </c>
      <c r="B735" s="110"/>
      <c r="C735" s="42" t="s">
        <v>641</v>
      </c>
      <c r="D735" s="755" t="str">
        <f t="shared" si="123"/>
        <v/>
      </c>
      <c r="E735" s="756" t="str">
        <f t="shared" si="124"/>
        <v/>
      </c>
      <c r="F735" s="760" t="str">
        <f t="shared" si="125"/>
        <v/>
      </c>
      <c r="K735" s="59"/>
      <c r="L735" s="465" t="s">
        <v>265</v>
      </c>
      <c r="X735" s="455" t="s">
        <v>265</v>
      </c>
    </row>
    <row r="736" spans="1:24" ht="11.25" customHeight="1">
      <c r="A736" s="418">
        <v>10</v>
      </c>
      <c r="B736" s="110"/>
      <c r="C736" s="42" t="s">
        <v>642</v>
      </c>
      <c r="D736" s="755" t="str">
        <f t="shared" si="123"/>
        <v/>
      </c>
      <c r="E736" s="756" t="str">
        <f t="shared" si="124"/>
        <v/>
      </c>
      <c r="F736" s="760" t="str">
        <f t="shared" si="125"/>
        <v/>
      </c>
      <c r="K736" s="59"/>
      <c r="L736" s="465" t="s">
        <v>265</v>
      </c>
      <c r="X736" s="455" t="s">
        <v>265</v>
      </c>
    </row>
    <row r="737" spans="1:24" ht="11.25" customHeight="1">
      <c r="A737" s="418">
        <v>11</v>
      </c>
      <c r="B737" s="110"/>
      <c r="C737" s="42" t="s">
        <v>643</v>
      </c>
      <c r="D737" s="755" t="str">
        <f t="shared" si="123"/>
        <v/>
      </c>
      <c r="E737" s="756" t="str">
        <f t="shared" si="124"/>
        <v/>
      </c>
      <c r="F737" s="760" t="str">
        <f t="shared" si="125"/>
        <v/>
      </c>
      <c r="K737" s="59"/>
      <c r="L737" s="465" t="s">
        <v>265</v>
      </c>
      <c r="X737" s="455" t="s">
        <v>265</v>
      </c>
    </row>
    <row r="738" spans="1:24" ht="11.25" customHeight="1">
      <c r="A738" s="418">
        <v>12</v>
      </c>
      <c r="B738" s="110"/>
      <c r="C738" s="42" t="s">
        <v>644</v>
      </c>
      <c r="D738" s="755" t="str">
        <f t="shared" si="123"/>
        <v/>
      </c>
      <c r="E738" s="756" t="str">
        <f t="shared" si="124"/>
        <v/>
      </c>
      <c r="F738" s="760" t="str">
        <f t="shared" si="125"/>
        <v/>
      </c>
      <c r="K738" s="59"/>
      <c r="L738" s="465" t="s">
        <v>265</v>
      </c>
      <c r="X738" s="455" t="s">
        <v>265</v>
      </c>
    </row>
    <row r="739" spans="1:24" ht="11.25" customHeight="1">
      <c r="A739" s="418">
        <v>13</v>
      </c>
      <c r="B739" s="110"/>
      <c r="C739" s="42" t="s">
        <v>645</v>
      </c>
      <c r="D739" s="755" t="str">
        <f t="shared" si="123"/>
        <v>A</v>
      </c>
      <c r="E739" s="756" t="str">
        <f t="shared" si="124"/>
        <v>A</v>
      </c>
      <c r="F739" s="760" t="str">
        <f t="shared" si="125"/>
        <v/>
      </c>
      <c r="K739" s="59"/>
      <c r="L739" s="465" t="s">
        <v>265</v>
      </c>
      <c r="X739" s="455" t="s">
        <v>265</v>
      </c>
    </row>
    <row r="740" spans="1:24" ht="11.25" customHeight="1">
      <c r="A740" s="418">
        <v>14</v>
      </c>
      <c r="B740" s="110"/>
      <c r="C740" s="42" t="s">
        <v>637</v>
      </c>
      <c r="D740" s="755">
        <f t="shared" si="123"/>
        <v>280</v>
      </c>
      <c r="E740" s="756">
        <f t="shared" si="124"/>
        <v>280</v>
      </c>
      <c r="F740" s="760" t="str">
        <f t="shared" si="125"/>
        <v/>
      </c>
      <c r="K740" s="59"/>
      <c r="L740" s="465" t="s">
        <v>265</v>
      </c>
      <c r="X740" s="455" t="s">
        <v>265</v>
      </c>
    </row>
    <row r="741" spans="1:24" ht="11.25" customHeight="1">
      <c r="A741" s="418">
        <v>15</v>
      </c>
      <c r="B741" s="110"/>
      <c r="C741" s="42" t="s">
        <v>638</v>
      </c>
      <c r="D741" s="755">
        <f t="shared" si="123"/>
        <v>1</v>
      </c>
      <c r="E741" s="756">
        <f t="shared" si="124"/>
        <v>1</v>
      </c>
      <c r="F741" s="760" t="str">
        <f t="shared" si="125"/>
        <v/>
      </c>
      <c r="K741" s="59"/>
      <c r="L741" s="465" t="s">
        <v>265</v>
      </c>
      <c r="X741" s="455" t="s">
        <v>265</v>
      </c>
    </row>
    <row r="742" spans="1:24" ht="11.25" customHeight="1">
      <c r="A742" s="418">
        <v>16</v>
      </c>
      <c r="B742" s="110"/>
      <c r="C742" s="42" t="s">
        <v>650</v>
      </c>
      <c r="D742" s="755">
        <f t="shared" si="123"/>
        <v>280</v>
      </c>
      <c r="E742" s="756">
        <f t="shared" si="124"/>
        <v>280</v>
      </c>
      <c r="F742" s="760" t="str">
        <f t="shared" si="125"/>
        <v/>
      </c>
      <c r="K742" s="59"/>
      <c r="L742" s="465" t="s">
        <v>265</v>
      </c>
      <c r="X742" s="455" t="s">
        <v>265</v>
      </c>
    </row>
    <row r="743" spans="1:24" ht="11.25" customHeight="1">
      <c r="A743" s="418">
        <v>17</v>
      </c>
      <c r="B743" s="110"/>
      <c r="C743" s="42" t="s">
        <v>639</v>
      </c>
      <c r="D743" s="755">
        <f t="shared" si="123"/>
        <v>1</v>
      </c>
      <c r="E743" s="756">
        <f t="shared" si="124"/>
        <v>1</v>
      </c>
      <c r="F743" s="760" t="str">
        <f t="shared" si="125"/>
        <v/>
      </c>
      <c r="K743" s="59"/>
      <c r="L743" s="465" t="s">
        <v>265</v>
      </c>
      <c r="X743" s="455" t="s">
        <v>265</v>
      </c>
    </row>
    <row r="744" spans="1:24" ht="11.25" customHeight="1">
      <c r="A744" s="418">
        <v>18</v>
      </c>
      <c r="B744" s="110"/>
      <c r="C744" s="42" t="s">
        <v>646</v>
      </c>
      <c r="D744" s="755" t="str">
        <f t="shared" si="123"/>
        <v/>
      </c>
      <c r="E744" s="756" t="str">
        <f t="shared" si="124"/>
        <v/>
      </c>
      <c r="F744" s="760" t="str">
        <f t="shared" si="125"/>
        <v/>
      </c>
      <c r="K744" s="59"/>
      <c r="L744" s="465" t="s">
        <v>265</v>
      </c>
      <c r="X744" s="455" t="s">
        <v>265</v>
      </c>
    </row>
    <row r="745" spans="1:24" ht="11.25" customHeight="1">
      <c r="A745" s="418">
        <v>19</v>
      </c>
      <c r="B745" s="110"/>
      <c r="C745" s="42" t="s">
        <v>647</v>
      </c>
      <c r="D745" s="755" t="str">
        <f t="shared" si="123"/>
        <v/>
      </c>
      <c r="E745" s="756" t="str">
        <f t="shared" si="124"/>
        <v/>
      </c>
      <c r="F745" s="760" t="str">
        <f t="shared" si="125"/>
        <v/>
      </c>
      <c r="K745" s="59"/>
      <c r="L745" s="465" t="s">
        <v>265</v>
      </c>
      <c r="X745" s="455" t="s">
        <v>265</v>
      </c>
    </row>
    <row r="746" spans="1:24" ht="11.25" customHeight="1" thickBot="1">
      <c r="A746" s="418">
        <v>20</v>
      </c>
      <c r="B746" s="110"/>
      <c r="C746" s="42" t="s">
        <v>648</v>
      </c>
      <c r="D746" s="757" t="str">
        <f t="shared" si="123"/>
        <v/>
      </c>
      <c r="E746" s="758" t="str">
        <f t="shared" si="124"/>
        <v/>
      </c>
      <c r="F746" s="761" t="str">
        <f t="shared" si="125"/>
        <v/>
      </c>
      <c r="K746" s="59"/>
      <c r="L746" s="465" t="s">
        <v>265</v>
      </c>
      <c r="X746" s="455" t="s">
        <v>265</v>
      </c>
    </row>
    <row r="747" spans="1:24" ht="11.25" customHeight="1">
      <c r="A747" s="418">
        <v>21</v>
      </c>
      <c r="B747" s="110"/>
      <c r="C747" s="42" t="s">
        <v>649</v>
      </c>
      <c r="K747" s="59"/>
      <c r="L747" s="465" t="s">
        <v>265</v>
      </c>
      <c r="X747" s="455" t="s">
        <v>265</v>
      </c>
    </row>
    <row r="748" spans="1:24" ht="11.25" customHeight="1">
      <c r="A748" s="418">
        <v>22</v>
      </c>
      <c r="B748" s="749" t="s">
        <v>607</v>
      </c>
      <c r="K748" s="59"/>
      <c r="L748" s="465" t="s">
        <v>265</v>
      </c>
      <c r="X748" s="455" t="s">
        <v>265</v>
      </c>
    </row>
    <row r="749" spans="1:24" ht="11.25" customHeight="1">
      <c r="A749" s="418">
        <v>23</v>
      </c>
      <c r="B749" s="769"/>
      <c r="C749" s="42" t="s">
        <v>21</v>
      </c>
      <c r="D749" s="47" t="str">
        <f>IF($O$227="","",$O$227)</f>
        <v>Piranha CB2-19020491</v>
      </c>
      <c r="E749" s="36"/>
      <c r="F749" s="36"/>
      <c r="K749" s="59"/>
      <c r="L749" s="465" t="s">
        <v>265</v>
      </c>
      <c r="X749" s="455" t="s">
        <v>265</v>
      </c>
    </row>
    <row r="750" spans="1:24" ht="11.25" customHeight="1">
      <c r="A750" s="418">
        <v>24</v>
      </c>
      <c r="B750" s="110"/>
      <c r="K750" s="59"/>
      <c r="L750" s="465" t="s">
        <v>265</v>
      </c>
      <c r="X750" s="455" t="s">
        <v>265</v>
      </c>
    </row>
    <row r="751" spans="1:24" ht="11.25" customHeight="1" thickBot="1">
      <c r="A751" s="418">
        <v>25</v>
      </c>
      <c r="B751" s="110"/>
      <c r="C751" s="254"/>
      <c r="D751" s="254"/>
      <c r="E751" s="767"/>
      <c r="F751" s="767"/>
      <c r="G751" s="767"/>
      <c r="K751" s="59"/>
      <c r="L751" s="465" t="s">
        <v>265</v>
      </c>
      <c r="X751" s="455" t="s">
        <v>265</v>
      </c>
    </row>
    <row r="752" spans="1:24" ht="11.25" customHeight="1" thickBot="1">
      <c r="A752" s="418">
        <v>26</v>
      </c>
      <c r="B752" s="110"/>
      <c r="C752" s="254"/>
      <c r="D752" s="254"/>
      <c r="E752" s="204" t="s">
        <v>583</v>
      </c>
      <c r="F752" s="120" t="s">
        <v>659</v>
      </c>
      <c r="G752" s="724" t="s">
        <v>584</v>
      </c>
      <c r="I752" s="254"/>
      <c r="J752" s="740" t="s">
        <v>617</v>
      </c>
      <c r="K752" s="765" t="s">
        <v>618</v>
      </c>
      <c r="L752" s="465" t="s">
        <v>265</v>
      </c>
      <c r="X752" s="455" t="s">
        <v>265</v>
      </c>
    </row>
    <row r="753" spans="1:24" ht="11.25" customHeight="1" thickBot="1">
      <c r="A753" s="418">
        <v>27</v>
      </c>
      <c r="B753" s="110"/>
      <c r="C753" s="254"/>
      <c r="D753" s="42" t="s">
        <v>628</v>
      </c>
      <c r="E753" s="725" t="str">
        <f>IF(O567="","",O567)</f>
        <v/>
      </c>
      <c r="F753" s="726" t="str">
        <f>IF(P567="","",P567)</f>
        <v/>
      </c>
      <c r="G753" s="727" t="str">
        <f>IF(Q567="","",Q567)</f>
        <v/>
      </c>
      <c r="I753" s="254"/>
      <c r="J753" s="204" t="s">
        <v>619</v>
      </c>
      <c r="K753" s="766" t="s">
        <v>619</v>
      </c>
      <c r="L753" s="465" t="s">
        <v>265</v>
      </c>
      <c r="X753" s="455" t="s">
        <v>265</v>
      </c>
    </row>
    <row r="754" spans="1:24" ht="11.25" customHeight="1">
      <c r="A754" s="418">
        <v>28</v>
      </c>
      <c r="B754" s="110"/>
      <c r="C754" s="736"/>
      <c r="D754" s="737" t="s">
        <v>651</v>
      </c>
      <c r="E754" s="762" t="str">
        <f>IF(O571="","",O571)</f>
        <v/>
      </c>
      <c r="F754" s="742" t="str">
        <f>IF(P571="","",AVERAGE(P571:P574))</f>
        <v/>
      </c>
      <c r="G754" s="743" t="str">
        <f>IF(Q571="","",AVERAGE(Q571:Q574))</f>
        <v/>
      </c>
      <c r="I754" s="741" t="s">
        <v>600</v>
      </c>
      <c r="J754" s="771">
        <v>25</v>
      </c>
      <c r="K754" s="786">
        <v>30</v>
      </c>
      <c r="L754" s="465" t="s">
        <v>265</v>
      </c>
      <c r="X754" s="455" t="s">
        <v>265</v>
      </c>
    </row>
    <row r="755" spans="1:24" ht="11.25" customHeight="1">
      <c r="A755" s="418">
        <v>29</v>
      </c>
      <c r="B755" s="110"/>
      <c r="C755" s="736"/>
      <c r="D755" s="737" t="s">
        <v>652</v>
      </c>
      <c r="E755" s="728" t="e">
        <f t="shared" ref="E755:G757" si="126">IF(O576="","",O576)</f>
        <v>#DIV/0!</v>
      </c>
      <c r="F755" s="105" t="e">
        <f t="shared" si="126"/>
        <v>#DIV/0!</v>
      </c>
      <c r="G755" s="729" t="e">
        <f t="shared" si="126"/>
        <v>#DIV/0!</v>
      </c>
      <c r="I755" s="744" t="s">
        <v>620</v>
      </c>
      <c r="J755" s="721">
        <v>75</v>
      </c>
      <c r="K755" s="787">
        <v>80</v>
      </c>
      <c r="L755" s="465" t="s">
        <v>265</v>
      </c>
      <c r="X755" s="455" t="s">
        <v>265</v>
      </c>
    </row>
    <row r="756" spans="1:24" ht="11.25" customHeight="1">
      <c r="A756" s="418">
        <v>30</v>
      </c>
      <c r="B756" s="110"/>
      <c r="C756" s="736"/>
      <c r="D756" s="42" t="s">
        <v>662</v>
      </c>
      <c r="E756" s="763" t="str">
        <f t="shared" si="126"/>
        <v/>
      </c>
      <c r="F756" s="103" t="str">
        <f t="shared" si="126"/>
        <v/>
      </c>
      <c r="G756" s="764" t="str">
        <f t="shared" si="126"/>
        <v/>
      </c>
      <c r="I756" s="744" t="s">
        <v>621</v>
      </c>
      <c r="J756" s="721">
        <v>15</v>
      </c>
      <c r="K756" s="787">
        <v>20</v>
      </c>
      <c r="L756" s="465" t="s">
        <v>265</v>
      </c>
      <c r="X756" s="455" t="s">
        <v>265</v>
      </c>
    </row>
    <row r="757" spans="1:24" ht="11.25" customHeight="1" thickBot="1">
      <c r="A757" s="418">
        <v>31</v>
      </c>
      <c r="B757" s="110"/>
      <c r="C757" s="254"/>
      <c r="D757" s="42" t="s">
        <v>629</v>
      </c>
      <c r="E757" s="783">
        <f t="shared" si="126"/>
        <v>32</v>
      </c>
      <c r="F757" s="784">
        <f t="shared" si="126"/>
        <v>32</v>
      </c>
      <c r="G757" s="785" t="str">
        <f t="shared" si="126"/>
        <v/>
      </c>
      <c r="I757" s="744" t="s">
        <v>622</v>
      </c>
      <c r="J757" s="721">
        <v>7.5</v>
      </c>
      <c r="K757" s="787">
        <v>10</v>
      </c>
      <c r="L757" s="465" t="s">
        <v>265</v>
      </c>
      <c r="X757" s="455" t="s">
        <v>265</v>
      </c>
    </row>
    <row r="758" spans="1:24" ht="11.25" customHeight="1" thickBot="1">
      <c r="A758" s="418">
        <v>32</v>
      </c>
      <c r="B758" s="110"/>
      <c r="C758" s="254"/>
      <c r="D758" s="42" t="s">
        <v>630</v>
      </c>
      <c r="E758" s="730" t="str">
        <f t="shared" ref="E758:G761" si="127">IF(O580="","",O580)</f>
        <v/>
      </c>
      <c r="F758" s="731" t="str">
        <f t="shared" si="127"/>
        <v/>
      </c>
      <c r="G758" s="732" t="str">
        <f t="shared" si="127"/>
        <v/>
      </c>
      <c r="I758" s="745" t="s">
        <v>623</v>
      </c>
      <c r="J758" s="784">
        <v>35</v>
      </c>
      <c r="K758" s="788">
        <v>40</v>
      </c>
      <c r="L758" s="465" t="s">
        <v>265</v>
      </c>
      <c r="X758" s="455" t="s">
        <v>265</v>
      </c>
    </row>
    <row r="759" spans="1:24" ht="11.25" customHeight="1" thickBot="1">
      <c r="A759" s="418">
        <v>33</v>
      </c>
      <c r="B759" s="110"/>
      <c r="C759" s="254"/>
      <c r="D759" s="42" t="s">
        <v>631</v>
      </c>
      <c r="E759" s="733" t="str">
        <f t="shared" si="127"/>
        <v/>
      </c>
      <c r="F759" s="734" t="str">
        <f t="shared" si="127"/>
        <v/>
      </c>
      <c r="G759" s="735" t="str">
        <f t="shared" si="127"/>
        <v/>
      </c>
      <c r="K759" s="59"/>
      <c r="L759" s="465" t="s">
        <v>265</v>
      </c>
      <c r="X759" s="455" t="s">
        <v>265</v>
      </c>
    </row>
    <row r="760" spans="1:24" ht="11.25" customHeight="1" thickBot="1">
      <c r="A760" s="418">
        <v>34</v>
      </c>
      <c r="B760" s="110"/>
      <c r="C760" s="254"/>
      <c r="D760" s="42" t="s">
        <v>353</v>
      </c>
      <c r="E760" s="725" t="str">
        <f t="shared" si="127"/>
        <v/>
      </c>
      <c r="F760" s="726" t="str">
        <f t="shared" si="127"/>
        <v/>
      </c>
      <c r="G760" s="727" t="str">
        <f t="shared" si="127"/>
        <v/>
      </c>
      <c r="K760" s="59"/>
      <c r="L760" s="465" t="s">
        <v>265</v>
      </c>
      <c r="X760" s="455" t="s">
        <v>265</v>
      </c>
    </row>
    <row r="761" spans="1:24" ht="11.25" customHeight="1" thickBot="1">
      <c r="A761" s="418">
        <v>35</v>
      </c>
      <c r="B761" s="110"/>
      <c r="C761" s="254"/>
      <c r="D761" s="42" t="s">
        <v>663</v>
      </c>
      <c r="E761" s="725" t="str">
        <f t="shared" si="127"/>
        <v/>
      </c>
      <c r="F761" s="726" t="str">
        <f t="shared" si="127"/>
        <v/>
      </c>
      <c r="G761" s="727" t="str">
        <f t="shared" si="127"/>
        <v/>
      </c>
      <c r="K761" s="59"/>
      <c r="L761" s="465" t="s">
        <v>265</v>
      </c>
      <c r="X761" s="455" t="s">
        <v>265</v>
      </c>
    </row>
    <row r="762" spans="1:24" ht="11.25" customHeight="1">
      <c r="A762" s="418">
        <v>36</v>
      </c>
      <c r="B762" s="110"/>
      <c r="C762" s="254"/>
      <c r="D762" s="115" t="str">
        <f>N585</f>
        <v>Criteria:</v>
      </c>
      <c r="E762" s="254" t="str">
        <f>O585</f>
        <v>CTDI is within 5% of previous year.</v>
      </c>
      <c r="F762" s="254"/>
      <c r="G762" s="254"/>
      <c r="K762" s="59"/>
      <c r="L762" s="465" t="s">
        <v>265</v>
      </c>
      <c r="X762" s="455" t="s">
        <v>265</v>
      </c>
    </row>
    <row r="763" spans="1:24" ht="11.25" customHeight="1">
      <c r="A763" s="418">
        <v>37</v>
      </c>
      <c r="B763" s="110"/>
      <c r="C763" s="254"/>
      <c r="D763" s="254"/>
      <c r="E763" s="254" t="str">
        <f>O586</f>
        <v>Measured CTDI is within 20% of indicated CTDI</v>
      </c>
      <c r="F763" s="254"/>
      <c r="G763" s="254"/>
      <c r="K763" s="59"/>
      <c r="L763" s="465" t="s">
        <v>265</v>
      </c>
      <c r="X763" s="455" t="s">
        <v>265</v>
      </c>
    </row>
    <row r="764" spans="1:24" ht="11.25" customHeight="1">
      <c r="A764" s="418">
        <v>38</v>
      </c>
      <c r="B764" s="110"/>
      <c r="C764" s="254"/>
      <c r="D764" s="254"/>
      <c r="E764" s="254"/>
      <c r="F764" s="254"/>
      <c r="G764" s="254"/>
      <c r="K764" s="59"/>
      <c r="L764" s="465" t="s">
        <v>265</v>
      </c>
      <c r="X764" s="455" t="s">
        <v>265</v>
      </c>
    </row>
    <row r="765" spans="1:24" ht="11.25" customHeight="1">
      <c r="A765" s="418">
        <v>39</v>
      </c>
      <c r="B765" s="110"/>
      <c r="C765" s="254"/>
      <c r="E765" s="254"/>
      <c r="K765" s="59"/>
      <c r="L765" s="465" t="s">
        <v>265</v>
      </c>
      <c r="X765" s="455" t="s">
        <v>265</v>
      </c>
    </row>
    <row r="766" spans="1:24" ht="11.25" customHeight="1">
      <c r="A766" s="418">
        <v>40</v>
      </c>
      <c r="B766" s="110"/>
      <c r="K766" s="59"/>
      <c r="L766" s="465" t="s">
        <v>265</v>
      </c>
      <c r="X766" s="455" t="s">
        <v>265</v>
      </c>
    </row>
    <row r="767" spans="1:24" ht="11.25" customHeight="1">
      <c r="A767" s="418">
        <v>41</v>
      </c>
      <c r="B767" s="110"/>
      <c r="K767" s="59"/>
      <c r="L767" s="465" t="s">
        <v>265</v>
      </c>
      <c r="X767" s="455" t="s">
        <v>265</v>
      </c>
    </row>
    <row r="768" spans="1:24" ht="11.25" customHeight="1">
      <c r="A768" s="418">
        <v>42</v>
      </c>
      <c r="B768" s="749"/>
      <c r="C768" s="254"/>
      <c r="D768" s="254"/>
      <c r="E768" s="254"/>
      <c r="F768" s="254"/>
      <c r="G768" s="254"/>
      <c r="K768" s="59"/>
      <c r="L768" s="465" t="s">
        <v>265</v>
      </c>
      <c r="X768" s="455" t="s">
        <v>265</v>
      </c>
    </row>
    <row r="769" spans="1:24" ht="11.25" customHeight="1">
      <c r="A769" s="418">
        <v>43</v>
      </c>
      <c r="B769" s="751"/>
      <c r="C769" s="42"/>
      <c r="D769" s="37"/>
      <c r="E769" s="37"/>
      <c r="F769" s="37"/>
      <c r="G769" s="37"/>
      <c r="K769" s="59"/>
      <c r="L769" s="465" t="s">
        <v>265</v>
      </c>
      <c r="X769" s="455" t="s">
        <v>265</v>
      </c>
    </row>
    <row r="770" spans="1:24" ht="11.25" customHeight="1">
      <c r="A770" s="418">
        <v>44</v>
      </c>
      <c r="B770" s="751"/>
      <c r="C770" s="42"/>
      <c r="D770" s="37"/>
      <c r="E770" s="37"/>
      <c r="F770" s="37"/>
      <c r="G770" s="37"/>
      <c r="K770" s="59"/>
      <c r="L770" s="465" t="s">
        <v>265</v>
      </c>
      <c r="X770" s="455" t="s">
        <v>265</v>
      </c>
    </row>
    <row r="771" spans="1:24" ht="11.25" customHeight="1">
      <c r="A771" s="418">
        <v>45</v>
      </c>
      <c r="B771" s="751"/>
      <c r="C771" s="42"/>
      <c r="D771" s="37"/>
      <c r="E771" s="37"/>
      <c r="F771" s="37"/>
      <c r="G771" s="37"/>
      <c r="K771" s="59"/>
      <c r="L771" s="465" t="s">
        <v>265</v>
      </c>
      <c r="X771" s="455" t="s">
        <v>265</v>
      </c>
    </row>
    <row r="772" spans="1:24" ht="11.25" customHeight="1">
      <c r="A772" s="418">
        <v>46</v>
      </c>
      <c r="B772" s="751"/>
      <c r="C772" s="42"/>
      <c r="D772" s="37"/>
      <c r="E772" s="37"/>
      <c r="F772" s="37"/>
      <c r="G772" s="37"/>
      <c r="K772" s="59"/>
      <c r="L772" s="465" t="s">
        <v>265</v>
      </c>
      <c r="X772" s="455" t="s">
        <v>265</v>
      </c>
    </row>
    <row r="773" spans="1:24" ht="11.25" customHeight="1">
      <c r="A773" s="418">
        <v>47</v>
      </c>
      <c r="B773" s="751"/>
      <c r="C773" s="42"/>
      <c r="D773" s="259"/>
      <c r="E773" s="259"/>
      <c r="F773" s="259"/>
      <c r="G773" s="259"/>
      <c r="K773" s="59"/>
      <c r="L773" s="465" t="s">
        <v>265</v>
      </c>
      <c r="X773" s="455" t="s">
        <v>265</v>
      </c>
    </row>
    <row r="774" spans="1:24" ht="11.25" customHeight="1">
      <c r="A774" s="418">
        <v>48</v>
      </c>
      <c r="B774" s="751"/>
      <c r="C774" s="770"/>
      <c r="D774" s="37"/>
      <c r="E774" s="37"/>
      <c r="F774" s="37"/>
      <c r="G774" s="37"/>
      <c r="K774" s="59"/>
      <c r="L774" s="465" t="s">
        <v>265</v>
      </c>
      <c r="X774" s="455" t="s">
        <v>265</v>
      </c>
    </row>
    <row r="775" spans="1:24" ht="11.25" customHeight="1">
      <c r="A775" s="418">
        <v>49</v>
      </c>
      <c r="B775" s="751"/>
      <c r="C775" s="42"/>
      <c r="D775" s="37"/>
      <c r="E775" s="37"/>
      <c r="F775" s="37"/>
      <c r="G775" s="37"/>
      <c r="K775" s="59"/>
      <c r="L775" s="465" t="s">
        <v>265</v>
      </c>
      <c r="X775" s="455" t="s">
        <v>265</v>
      </c>
    </row>
    <row r="776" spans="1:24" ht="11.25" customHeight="1">
      <c r="A776" s="418">
        <v>50</v>
      </c>
      <c r="B776" s="751"/>
      <c r="C776" s="254"/>
      <c r="D776" s="115"/>
      <c r="E776" s="254"/>
      <c r="F776" s="254"/>
      <c r="G776" s="254"/>
      <c r="K776" s="59"/>
      <c r="L776" s="465" t="s">
        <v>265</v>
      </c>
      <c r="X776" s="455" t="s">
        <v>265</v>
      </c>
    </row>
    <row r="777" spans="1:24" ht="11.25" customHeight="1">
      <c r="A777" s="418">
        <v>51</v>
      </c>
      <c r="B777" s="110"/>
      <c r="K777" s="59"/>
      <c r="L777" s="465" t="s">
        <v>265</v>
      </c>
      <c r="X777" s="455" t="s">
        <v>265</v>
      </c>
    </row>
    <row r="778" spans="1:24" ht="11.25" customHeight="1">
      <c r="A778" s="418">
        <v>52</v>
      </c>
      <c r="B778" s="749"/>
      <c r="C778" s="723"/>
      <c r="K778" s="59"/>
      <c r="L778" s="465" t="s">
        <v>265</v>
      </c>
      <c r="X778" s="455" t="s">
        <v>265</v>
      </c>
    </row>
    <row r="779" spans="1:24" ht="11.25" customHeight="1">
      <c r="A779" s="418">
        <v>53</v>
      </c>
      <c r="B779" s="834"/>
      <c r="C779" s="254"/>
      <c r="K779" s="59"/>
      <c r="L779" s="465" t="s">
        <v>265</v>
      </c>
      <c r="X779" s="455" t="s">
        <v>265</v>
      </c>
    </row>
    <row r="780" spans="1:24" ht="11.25" customHeight="1">
      <c r="A780" s="418">
        <v>54</v>
      </c>
      <c r="B780" s="110"/>
      <c r="K780" s="59"/>
      <c r="L780" s="465" t="s">
        <v>265</v>
      </c>
      <c r="X780" s="455" t="s">
        <v>265</v>
      </c>
    </row>
    <row r="781" spans="1:24" ht="11.25" customHeight="1">
      <c r="A781" s="418">
        <v>55</v>
      </c>
      <c r="B781" s="110"/>
      <c r="K781" s="59"/>
      <c r="L781" s="465" t="s">
        <v>265</v>
      </c>
      <c r="X781" s="455" t="s">
        <v>265</v>
      </c>
    </row>
    <row r="782" spans="1:24" ht="11.25" customHeight="1">
      <c r="A782" s="418">
        <v>56</v>
      </c>
      <c r="B782" s="110"/>
      <c r="K782" s="59"/>
      <c r="L782" s="465" t="s">
        <v>265</v>
      </c>
      <c r="X782" s="455" t="s">
        <v>265</v>
      </c>
    </row>
    <row r="783" spans="1:24" ht="11.25" customHeight="1">
      <c r="A783" s="418">
        <v>57</v>
      </c>
      <c r="B783" s="110"/>
      <c r="K783" s="59"/>
      <c r="L783" s="465" t="s">
        <v>265</v>
      </c>
      <c r="X783" s="455" t="s">
        <v>265</v>
      </c>
    </row>
    <row r="784" spans="1:24" ht="11.25" customHeight="1">
      <c r="A784" s="418">
        <v>58</v>
      </c>
      <c r="B784" s="110"/>
      <c r="K784" s="59"/>
      <c r="L784" s="465" t="s">
        <v>265</v>
      </c>
      <c r="X784" s="455" t="s">
        <v>265</v>
      </c>
    </row>
    <row r="785" spans="1:24" ht="11.25" customHeight="1">
      <c r="A785" s="418">
        <v>59</v>
      </c>
      <c r="B785" s="110"/>
      <c r="K785" s="59"/>
      <c r="L785" s="465" t="s">
        <v>265</v>
      </c>
      <c r="X785" s="455" t="s">
        <v>265</v>
      </c>
    </row>
    <row r="786" spans="1:24" ht="11.25" customHeight="1">
      <c r="A786" s="418">
        <v>60</v>
      </c>
      <c r="B786" s="110"/>
      <c r="K786" s="59"/>
      <c r="L786" s="465" t="s">
        <v>265</v>
      </c>
      <c r="X786" s="455" t="s">
        <v>265</v>
      </c>
    </row>
    <row r="787" spans="1:24" ht="11.25" customHeight="1">
      <c r="A787" s="418">
        <v>61</v>
      </c>
      <c r="B787" s="110"/>
      <c r="K787" s="59"/>
      <c r="L787" s="465" t="s">
        <v>265</v>
      </c>
      <c r="X787" s="455" t="s">
        <v>265</v>
      </c>
    </row>
    <row r="788" spans="1:24" ht="11.25" customHeight="1">
      <c r="A788" s="418">
        <v>62</v>
      </c>
      <c r="B788" s="110"/>
      <c r="K788" s="59"/>
      <c r="L788" s="465" t="s">
        <v>265</v>
      </c>
      <c r="X788" s="455" t="s">
        <v>265</v>
      </c>
    </row>
    <row r="789" spans="1:24" ht="11.25" customHeight="1">
      <c r="A789" s="418">
        <v>63</v>
      </c>
      <c r="B789" s="110"/>
      <c r="K789" s="59"/>
      <c r="L789" s="465" t="s">
        <v>265</v>
      </c>
      <c r="X789" s="455" t="s">
        <v>265</v>
      </c>
    </row>
    <row r="790" spans="1:24" ht="11.25" customHeight="1" thickBot="1">
      <c r="A790" s="418">
        <v>64</v>
      </c>
      <c r="B790" s="86"/>
      <c r="C790" s="71"/>
      <c r="D790" s="71"/>
      <c r="E790" s="71"/>
      <c r="F790" s="71"/>
      <c r="G790" s="71"/>
      <c r="H790" s="71"/>
      <c r="I790" s="71"/>
      <c r="J790" s="71"/>
      <c r="K790" s="74"/>
      <c r="L790" s="465" t="s">
        <v>265</v>
      </c>
      <c r="X790" s="455" t="s">
        <v>265</v>
      </c>
    </row>
    <row r="791" spans="1:24" ht="11.25" customHeight="1" thickTop="1">
      <c r="A791" s="418">
        <v>65</v>
      </c>
      <c r="B791" s="40" t="str">
        <f t="array" ref="B791:C792">$B$65:$C$66</f>
        <v>Date:</v>
      </c>
      <c r="C791" s="674" t="str">
        <v/>
      </c>
      <c r="D791" s="44"/>
      <c r="E791" s="37"/>
      <c r="F791" s="37"/>
      <c r="G791" s="37"/>
      <c r="H791" s="37"/>
      <c r="I791" s="40" t="str">
        <f t="array" ref="I791:J792">$I$65:$J$66</f>
        <v>Inspector:</v>
      </c>
      <c r="J791" s="303" t="str">
        <v>Eugene Mah</v>
      </c>
      <c r="L791" s="465" t="s">
        <v>265</v>
      </c>
      <c r="X791" s="455" t="s">
        <v>265</v>
      </c>
    </row>
    <row r="792" spans="1:24" ht="11.25" customHeight="1">
      <c r="A792" s="418">
        <v>66</v>
      </c>
      <c r="B792" s="40" t="str">
        <v>Room Number:</v>
      </c>
      <c r="C792" s="271" t="str">
        <v/>
      </c>
      <c r="D792" s="37"/>
      <c r="E792" s="37"/>
      <c r="F792" s="37"/>
      <c r="G792" s="37"/>
      <c r="H792" s="37"/>
      <c r="I792" s="40" t="str">
        <v>Survey ID:</v>
      </c>
      <c r="J792" s="615" t="str">
        <v/>
      </c>
      <c r="L792" s="465" t="s">
        <v>265</v>
      </c>
      <c r="X792" s="455" t="s">
        <v>265</v>
      </c>
    </row>
  </sheetData>
  <customSheetViews>
    <customSheetView guid="{E3496B94-97EB-4AAE-9FD7-F66109A2B11F}">
      <rowBreaks count="25" manualBreakCount="25">
        <brk id="66" max="16383" man="1"/>
        <brk id="132" max="65535" man="1"/>
        <brk id="198" max="16383" man="1"/>
        <brk id="264" max="16383" man="1"/>
        <brk id="330" max="16383" man="1"/>
        <brk id="396" max="65535" man="1"/>
        <brk id="462" max="65535" man="1"/>
        <brk id="528" max="65535" man="1"/>
        <brk id="594" max="16383" man="1"/>
        <brk id="660" max="65535" man="1"/>
        <brk id="726" max="65535" man="1"/>
        <brk id="792" max="65535" man="1"/>
        <brk id="858" max="65535" man="1"/>
        <brk id="924" max="65535" man="1"/>
        <brk id="990" max="65535" man="1"/>
        <brk id="1056" max="65535" man="1"/>
        <brk id="1122" max="65535" man="1"/>
        <brk id="1188" max="65535" man="1"/>
        <brk id="1254" max="65535" man="1"/>
        <brk id="1320" max="65535" man="1"/>
        <brk id="1386" max="65535" man="1"/>
        <brk id="1452" max="16383" man="1"/>
        <brk id="1518" max="16383" man="1"/>
        <brk id="1584" max="16383" man="1"/>
        <brk id="1650" max="16383" man="1"/>
      </rowBreaks>
      <colBreaks count="1" manualBreakCount="1">
        <brk id="12" max="1048575" man="1"/>
      </colBreaks>
      <pageMargins left="0.51181102362204722" right="0.51181102362204722" top="0.51181102362204722" bottom="0.51181102362204722" header="0.51181102362204722" footer="0.51181102362204722"/>
      <printOptions horizontalCentered="1"/>
      <pageSetup scale="95" orientation="portrait" r:id="rId1"/>
      <headerFooter alignWithMargins="0">
        <oddFooter>Page &amp;P</oddFooter>
      </headerFooter>
    </customSheetView>
  </customSheetViews>
  <mergeCells count="19">
    <mergeCell ref="J71:K71"/>
    <mergeCell ref="U67:V67"/>
    <mergeCell ref="U186:V186"/>
    <mergeCell ref="O187:P187"/>
    <mergeCell ref="Q187:R187"/>
    <mergeCell ref="S187:T187"/>
    <mergeCell ref="U187:V187"/>
    <mergeCell ref="M187:N187"/>
    <mergeCell ref="O186:P186"/>
    <mergeCell ref="Q186:R186"/>
    <mergeCell ref="S186:T186"/>
    <mergeCell ref="J540:J541"/>
    <mergeCell ref="AH126:AI126"/>
    <mergeCell ref="H311:I311"/>
    <mergeCell ref="E626:E627"/>
    <mergeCell ref="F626:F627"/>
    <mergeCell ref="J542:J544"/>
    <mergeCell ref="J555:J556"/>
    <mergeCell ref="J557:J559"/>
  </mergeCells>
  <phoneticPr fontId="18" type="noConversion"/>
  <conditionalFormatting sqref="B779">
    <cfRule type="cellIs" dxfId="45" priority="12" operator="equal">
      <formula>"Fail"</formula>
    </cfRule>
    <cfRule type="cellIs" dxfId="44" priority="13" operator="equal">
      <formula>"Pass"</formula>
    </cfRule>
  </conditionalFormatting>
  <conditionalFormatting sqref="D775:G775">
    <cfRule type="cellIs" dxfId="43" priority="14" operator="equal">
      <formula>"Fail"</formula>
    </cfRule>
  </conditionalFormatting>
  <conditionalFormatting sqref="E386 J386">
    <cfRule type="cellIs" dxfId="42" priority="71" operator="equal">
      <formula>"NO"</formula>
    </cfRule>
  </conditionalFormatting>
  <conditionalFormatting sqref="E571">
    <cfRule type="cellIs" dxfId="41" priority="65" operator="greaterThan">
      <formula>0.1</formula>
    </cfRule>
  </conditionalFormatting>
  <conditionalFormatting sqref="E428:F428 I428:J428">
    <cfRule type="cellIs" dxfId="40" priority="69" operator="greaterThan">
      <formula>0.05</formula>
    </cfRule>
  </conditionalFormatting>
  <conditionalFormatting sqref="E430:F430 I430:J430">
    <cfRule type="cellIs" dxfId="39" priority="68" operator="equal">
      <formula>"NO"</formula>
    </cfRule>
  </conditionalFormatting>
  <conditionalFormatting sqref="E760:G760">
    <cfRule type="cellIs" dxfId="38" priority="1" operator="equal">
      <formula>"Fail"</formula>
    </cfRule>
  </conditionalFormatting>
  <conditionalFormatting sqref="F314:G315">
    <cfRule type="cellIs" dxfId="37" priority="77" operator="greaterThan">
      <formula>0.02</formula>
    </cfRule>
  </conditionalFormatting>
  <conditionalFormatting sqref="H484:H493 H499 K499">
    <cfRule type="cellIs" dxfId="36" priority="67" operator="equal">
      <formula>"NO"</formula>
    </cfRule>
  </conditionalFormatting>
  <conditionalFormatting sqref="H668:H675 J675 H681:H686 J686">
    <cfRule type="cellIs" dxfId="35" priority="57" operator="equal">
      <formula>"NO"</formula>
    </cfRule>
  </conditionalFormatting>
  <conditionalFormatting sqref="H314:I315">
    <cfRule type="cellIs" dxfId="34" priority="79" operator="equal">
      <formula>"NO"</formula>
    </cfRule>
  </conditionalFormatting>
  <conditionalFormatting sqref="I607">
    <cfRule type="cellIs" dxfId="33" priority="64" operator="equal">
      <formula>"NO"</formula>
    </cfRule>
  </conditionalFormatting>
  <conditionalFormatting sqref="J54:J63 J72:J84 J87:J88 J91:J103 J106:J112 J129 E386 J386 E428:F428 I428:J428 H484:H493 K497 K541 K544 K556 K559 J583:J590 I606:I607">
    <cfRule type="cellIs" dxfId="32" priority="84" operator="equal">
      <formula>"TBD"</formula>
    </cfRule>
  </conditionalFormatting>
  <conditionalFormatting sqref="J169">
    <cfRule type="cellIs" dxfId="31" priority="55" operator="equal">
      <formula>"TBD"</formula>
    </cfRule>
  </conditionalFormatting>
  <conditionalFormatting sqref="J349">
    <cfRule type="cellIs" dxfId="30" priority="72" operator="equal">
      <formula>"NO"</formula>
    </cfRule>
  </conditionalFormatting>
  <conditionalFormatting sqref="J377:J382 E377:E384">
    <cfRule type="cellIs" dxfId="29" priority="70" operator="greaterThan">
      <formula>0.05</formula>
    </cfRule>
  </conditionalFormatting>
  <conditionalFormatting sqref="K54:K63 K72:K84 K87:K88 K91:K103 K106:K114 K129 K583:K590">
    <cfRule type="cellIs" dxfId="28" priority="83" operator="equal">
      <formula>"NO"</formula>
    </cfRule>
  </conditionalFormatting>
  <conditionalFormatting sqref="K169">
    <cfRule type="cellIs" dxfId="27" priority="54" operator="equal">
      <formula>"NO"</formula>
    </cfRule>
  </conditionalFormatting>
  <conditionalFormatting sqref="K541 K544 K556 K559 G571">
    <cfRule type="cellIs" dxfId="26" priority="66" operator="equal">
      <formula>"NO"</formula>
    </cfRule>
  </conditionalFormatting>
  <conditionalFormatting sqref="O580:Q580">
    <cfRule type="cellIs" dxfId="25" priority="3" operator="lessThan">
      <formula>0.05</formula>
    </cfRule>
    <cfRule type="cellIs" dxfId="24" priority="4" operator="greaterThan">
      <formula>0.05</formula>
    </cfRule>
  </conditionalFormatting>
  <conditionalFormatting sqref="O581:Q581">
    <cfRule type="cellIs" dxfId="23" priority="2" operator="lessThan">
      <formula>0.2</formula>
    </cfRule>
    <cfRule type="cellIs" dxfId="22" priority="5" operator="greaterThan">
      <formula>0.2</formula>
    </cfRule>
  </conditionalFormatting>
  <conditionalFormatting sqref="O582:Q582">
    <cfRule type="cellIs" dxfId="21" priority="6" operator="equal">
      <formula>"Fail"</formula>
    </cfRule>
  </conditionalFormatting>
  <conditionalFormatting sqref="Q494:S494 Q509:S509">
    <cfRule type="cellIs" dxfId="20" priority="43" operator="between">
      <formula>-0.25</formula>
      <formula>0.25</formula>
    </cfRule>
    <cfRule type="cellIs" dxfId="19" priority="42" operator="greaterThan">
      <formula>0.25</formula>
    </cfRule>
    <cfRule type="cellIs" dxfId="18" priority="41" operator="lessThan">
      <formula>-0.25</formula>
    </cfRule>
  </conditionalFormatting>
  <conditionalFormatting sqref="Q494:S494 V494 Q509:S509 V509">
    <cfRule type="cellIs" dxfId="17" priority="38" operator="equal">
      <formula>"NA"</formula>
    </cfRule>
  </conditionalFormatting>
  <conditionalFormatting sqref="T1">
    <cfRule type="expression" dxfId="16" priority="139" stopIfTrue="1">
      <formula>AND($T$1="",$T$2="",$T$3="",$T$4="",$T$5="",$T$6="")</formula>
    </cfRule>
  </conditionalFormatting>
  <conditionalFormatting sqref="T2:T5">
    <cfRule type="expression" dxfId="15" priority="137" stopIfTrue="1">
      <formula>AND($T$1="",$T$2="",$T$3="",$T$4="",$T$5="",$T$6="")</formula>
    </cfRule>
  </conditionalFormatting>
  <conditionalFormatting sqref="T6">
    <cfRule type="expression" dxfId="14" priority="138" stopIfTrue="1">
      <formula>AND($T$1="",$T$2="",$T$3="",$T$4="",$T$5="",$T$6="")</formula>
    </cfRule>
  </conditionalFormatting>
  <conditionalFormatting sqref="U352">
    <cfRule type="expression" dxfId="13" priority="187" stopIfTrue="1">
      <formula>AND(OR($O$331=3,$O$331="HF",$O$331="CP"),OR(U354="NO",U355="NO",U356="NO",U357="NO",U358="NO",U359="NO",U360="NO",U361="NO",U362="NO",U363="NO"))</formula>
    </cfRule>
  </conditionalFormatting>
  <conditionalFormatting sqref="U353">
    <cfRule type="expression" dxfId="12" priority="188" stopIfTrue="1">
      <formula>AND(OR($O$331=3,$O$331="HF",$O$331="CP"),OR(U354="NO",U355="NO",U356="NO",U357="NO",U358="NO",U359="NO",U360="NO",U361="NO",U362="NO",U363="NO"))</formula>
    </cfRule>
  </conditionalFormatting>
  <conditionalFormatting sqref="U189:V190">
    <cfRule type="cellIs" dxfId="11" priority="48" operator="equal">
      <formula>"NA"</formula>
    </cfRule>
    <cfRule type="cellIs" dxfId="10" priority="47" operator="equal">
      <formula>"NO"</formula>
    </cfRule>
    <cfRule type="cellIs" dxfId="9" priority="49" operator="equal">
      <formula>"YES"</formula>
    </cfRule>
  </conditionalFormatting>
  <conditionalFormatting sqref="U354:W363">
    <cfRule type="cellIs" dxfId="8" priority="40" operator="equal">
      <formula>"NO"</formula>
    </cfRule>
    <cfRule type="cellIs" dxfId="7" priority="39" operator="equal">
      <formula>"YES"</formula>
    </cfRule>
  </conditionalFormatting>
  <conditionalFormatting sqref="V244 V261 U294:W294 V314:W314 V395 V398 V411 V413 V421 S472:S473 V494 V509">
    <cfRule type="cellIs" dxfId="6" priority="46" operator="equal">
      <formula>"NO"</formula>
    </cfRule>
    <cfRule type="cellIs" dxfId="5" priority="45" operator="equal">
      <formula>"YES"</formula>
    </cfRule>
    <cfRule type="cellIs" dxfId="4" priority="44" operator="equal">
      <formula>"TBD"</formula>
    </cfRule>
  </conditionalFormatting>
  <conditionalFormatting sqref="V352">
    <cfRule type="expression" dxfId="3" priority="189" stopIfTrue="1">
      <formula>AND($O$331=1,OR(V354="NO",V355="NO",V356="NO",V357="NO",V358="NO",V359="NO",V360="NO",V361="NO",V362="NO",V363="NO"))</formula>
    </cfRule>
  </conditionalFormatting>
  <conditionalFormatting sqref="V353">
    <cfRule type="expression" dxfId="2" priority="190" stopIfTrue="1">
      <formula>AND($O$331=1,OR(V354="NO",V355="NO",V356="NO",V357="NO",V358="NO",V359="NO",V360="NO",V361="NO",V362="NO",V363="NO"))</formula>
    </cfRule>
  </conditionalFormatting>
  <conditionalFormatting sqref="W352">
    <cfRule type="expression" dxfId="1" priority="191" stopIfTrue="1">
      <formula>AND($O$331="Dent",OR(W354="NO",W355="NO",W356="NO",W357="NO",W358="NO",W359="NO",W360="NO",W361="NO",W362="NO",W363="NO"))</formula>
    </cfRule>
  </conditionalFormatting>
  <conditionalFormatting sqref="W353">
    <cfRule type="expression" dxfId="0" priority="192" stopIfTrue="1">
      <formula>AND($O$331="Dent",OR(W354="NO",W355="NO",W356="NO",W357="NO",W358="NO",W359="NO",W360="NO",W361="NO",W362="NO",W363="NO"))</formula>
    </cfRule>
  </conditionalFormatting>
  <printOptions horizontalCentered="1"/>
  <pageMargins left="0.511811023622047" right="0.511811023622047" top="0.511811023622047" bottom="0.511811023622047" header="0.511811023622047" footer="0.511811023622047"/>
  <pageSetup scale="95" orientation="portrait" r:id="rId2"/>
  <headerFooter alignWithMargins="0">
    <oddFooter>Page &amp;P</oddFooter>
  </headerFooter>
  <rowBreaks count="11" manualBreakCount="11">
    <brk id="66" max="16383" man="1"/>
    <brk id="132" max="65535" man="1"/>
    <brk id="198" max="16383" man="1"/>
    <brk id="264" max="16383" man="1"/>
    <brk id="330" max="16383" man="1"/>
    <brk id="396" max="65535" man="1"/>
    <brk id="462" max="65535" man="1"/>
    <brk id="528" max="65535" man="1"/>
    <brk id="594" max="16383" man="1"/>
    <brk id="660" max="65535" man="1"/>
    <brk id="726" max="65535" man="1"/>
  </rowBreaks>
  <colBreaks count="1" manualBreakCount="1">
    <brk id="12" max="1048575" man="1"/>
  </colBreaks>
  <drawing r:id="rId3"/>
  <legacyDrawing r:id="rId4"/>
  <extLst>
    <ext xmlns:x14="http://schemas.microsoft.com/office/spreadsheetml/2009/9/main" uri="{CCE6A557-97BC-4b89-ADB6-D9C93CAAB3DF}">
      <x14:dataValidations xmlns:xm="http://schemas.microsoft.com/office/excel/2006/main" count="2">
        <x14:dataValidation type="list" allowBlank="1" showErrorMessage="1" xr:uid="{00000000-0002-0000-0000-000000000000}">
          <x14:formula1>
            <xm:f>Tables!$B$2:$B$22</xm:f>
          </x14:formula1>
          <xm:sqref>U209 U214</xm:sqref>
        </x14:dataValidation>
        <x14:dataValidation type="list" allowBlank="1" showInputMessage="1" showErrorMessage="1" xr:uid="{02FA1455-F7DE-45CE-A0E4-832B2C6E3D6A}">
          <x14:formula1>
            <xm:f>Tables!$B$25:$B$26</xm:f>
          </x14:formula1>
          <xm:sqref>O228</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0"/>
  <sheetViews>
    <sheetView zoomScale="70" zoomScaleNormal="70" workbookViewId="0">
      <selection sqref="A1:B1"/>
    </sheetView>
  </sheetViews>
  <sheetFormatPr defaultRowHeight="15.6"/>
  <sheetData>
    <row r="1" spans="1:12">
      <c r="A1" s="861" t="s">
        <v>523</v>
      </c>
      <c r="B1" s="861"/>
      <c r="D1" s="3"/>
      <c r="E1" s="312" t="s">
        <v>3</v>
      </c>
      <c r="F1" s="41"/>
      <c r="G1" s="1"/>
      <c r="H1" s="1"/>
      <c r="I1" s="380"/>
      <c r="J1" s="382" t="s">
        <v>2</v>
      </c>
      <c r="K1" s="383"/>
      <c r="L1" s="379"/>
    </row>
    <row r="2" spans="1:12">
      <c r="A2">
        <v>1.1000000000000001</v>
      </c>
      <c r="B2">
        <v>0.5</v>
      </c>
      <c r="D2" s="1"/>
      <c r="E2" s="245" t="s">
        <v>354</v>
      </c>
      <c r="H2" s="1"/>
      <c r="I2" s="379"/>
      <c r="J2" s="384" t="s">
        <v>354</v>
      </c>
      <c r="K2" s="379"/>
      <c r="L2" s="379"/>
    </row>
    <row r="3" spans="1:12">
      <c r="A3">
        <v>1.2</v>
      </c>
      <c r="B3">
        <v>0.56000000000000005</v>
      </c>
      <c r="D3" s="1"/>
      <c r="E3" s="241" t="s">
        <v>140</v>
      </c>
      <c r="F3" s="241" t="s">
        <v>141</v>
      </c>
      <c r="G3" s="297" t="s">
        <v>142</v>
      </c>
      <c r="H3" s="1"/>
      <c r="I3" s="379"/>
      <c r="J3" s="385" t="s">
        <v>140</v>
      </c>
      <c r="K3" s="385" t="s">
        <v>141</v>
      </c>
      <c r="L3" s="386" t="s">
        <v>142</v>
      </c>
    </row>
    <row r="4" spans="1:12">
      <c r="A4">
        <v>1.3</v>
      </c>
      <c r="B4">
        <v>0.63</v>
      </c>
      <c r="D4" s="247" t="s">
        <v>298</v>
      </c>
      <c r="E4" s="243" t="s">
        <v>144</v>
      </c>
      <c r="F4" s="243" t="s">
        <v>144</v>
      </c>
      <c r="G4" s="374" t="s">
        <v>144</v>
      </c>
      <c r="H4" s="1"/>
      <c r="I4" s="387" t="s">
        <v>298</v>
      </c>
      <c r="J4" s="388" t="s">
        <v>144</v>
      </c>
      <c r="K4" s="388" t="s">
        <v>144</v>
      </c>
      <c r="L4" s="389" t="s">
        <v>144</v>
      </c>
    </row>
    <row r="5" spans="1:12">
      <c r="A5">
        <v>2.1</v>
      </c>
      <c r="B5">
        <v>0.71</v>
      </c>
      <c r="D5" s="249">
        <v>60</v>
      </c>
      <c r="E5" s="313">
        <v>2.1854545454545447</v>
      </c>
      <c r="F5" s="244">
        <f t="shared" ref="F5:F12" si="0">TRUNC(TREND($E$5:$E$12,$D$5:$D$12,0.9*D5),1)</f>
        <v>1.9</v>
      </c>
      <c r="G5" s="299">
        <f t="shared" ref="G5:G12" si="1">MAX(TRUNC(TREND($E$5:$E$12,$D$5:$D$12,1.1*D5),1),ROUND(TREND($E$5:$E$12,$D$5:$D$12,1.1*D5),1))</f>
        <v>2.4</v>
      </c>
      <c r="H5" s="1"/>
      <c r="I5" s="390">
        <v>50</v>
      </c>
      <c r="J5" s="391">
        <v>1.5</v>
      </c>
      <c r="K5" s="391">
        <v>1.5</v>
      </c>
      <c r="L5" s="392">
        <v>1.7</v>
      </c>
    </row>
    <row r="6" spans="1:12">
      <c r="A6">
        <v>2.2000000000000002</v>
      </c>
      <c r="B6">
        <v>0.8</v>
      </c>
      <c r="D6" s="249">
        <v>70</v>
      </c>
      <c r="E6" s="313">
        <v>2.6109090909090904</v>
      </c>
      <c r="F6" s="244">
        <f t="shared" si="0"/>
        <v>2.2999999999999998</v>
      </c>
      <c r="G6" s="299">
        <f t="shared" si="1"/>
        <v>2.9</v>
      </c>
      <c r="I6" s="390">
        <v>60</v>
      </c>
      <c r="J6" s="391">
        <v>1.5</v>
      </c>
      <c r="K6" s="391">
        <v>1.5</v>
      </c>
      <c r="L6" s="392">
        <v>1.7</v>
      </c>
    </row>
    <row r="7" spans="1:12" ht="16.2" thickBot="1">
      <c r="A7">
        <v>2.2999999999999998</v>
      </c>
      <c r="B7">
        <v>0.9</v>
      </c>
      <c r="D7" s="249">
        <v>80</v>
      </c>
      <c r="E7" s="313">
        <v>3.0363636363636357</v>
      </c>
      <c r="F7" s="244">
        <f t="shared" si="0"/>
        <v>2.6</v>
      </c>
      <c r="G7" s="299">
        <f t="shared" si="1"/>
        <v>3.4</v>
      </c>
      <c r="H7" s="1"/>
      <c r="I7" s="393">
        <v>70</v>
      </c>
      <c r="J7" s="394">
        <v>1.5</v>
      </c>
      <c r="K7" s="394">
        <v>1.5</v>
      </c>
      <c r="L7" s="395">
        <v>1.7</v>
      </c>
    </row>
    <row r="8" spans="1:12">
      <c r="A8">
        <v>3.1</v>
      </c>
      <c r="B8">
        <v>1</v>
      </c>
      <c r="D8" s="249">
        <v>90</v>
      </c>
      <c r="E8" s="313">
        <v>3.4618181818181815</v>
      </c>
      <c r="F8" s="244">
        <f t="shared" si="0"/>
        <v>3</v>
      </c>
      <c r="G8" s="299">
        <f t="shared" si="1"/>
        <v>3.8</v>
      </c>
      <c r="H8" s="1"/>
      <c r="I8" s="390">
        <v>80</v>
      </c>
      <c r="J8" s="391">
        <v>2.2999999999999998</v>
      </c>
      <c r="K8" s="391">
        <v>2.2999999999999998</v>
      </c>
      <c r="L8" s="392">
        <v>2.7</v>
      </c>
    </row>
    <row r="9" spans="1:12">
      <c r="A9">
        <v>3.2</v>
      </c>
      <c r="B9">
        <v>1.1200000000000001</v>
      </c>
      <c r="D9" s="249">
        <v>100</v>
      </c>
      <c r="E9" s="313">
        <v>3.8872727272727272</v>
      </c>
      <c r="F9" s="244">
        <f t="shared" si="0"/>
        <v>3.4</v>
      </c>
      <c r="G9" s="299">
        <f t="shared" si="1"/>
        <v>4.3</v>
      </c>
      <c r="H9" s="1"/>
      <c r="I9" s="390">
        <v>90</v>
      </c>
      <c r="J9" s="391">
        <v>2.5</v>
      </c>
      <c r="K9" s="391">
        <v>2.5</v>
      </c>
      <c r="L9" s="392">
        <v>3</v>
      </c>
    </row>
    <row r="10" spans="1:12">
      <c r="A10">
        <v>3.3</v>
      </c>
      <c r="B10">
        <v>1.25</v>
      </c>
      <c r="D10" s="249">
        <v>110</v>
      </c>
      <c r="E10" s="313">
        <v>4.3127272727272734</v>
      </c>
      <c r="F10" s="244">
        <f t="shared" si="0"/>
        <v>3.8</v>
      </c>
      <c r="G10" s="299">
        <f t="shared" si="1"/>
        <v>4.8</v>
      </c>
      <c r="I10" s="390">
        <v>100</v>
      </c>
      <c r="J10" s="391">
        <v>2.7</v>
      </c>
      <c r="K10" s="391">
        <v>2.7</v>
      </c>
      <c r="L10" s="392">
        <v>3.2</v>
      </c>
    </row>
    <row r="11" spans="1:12">
      <c r="A11">
        <v>4.0999999999999996</v>
      </c>
      <c r="B11">
        <v>1.4</v>
      </c>
      <c r="D11" s="249">
        <v>120</v>
      </c>
      <c r="E11" s="313">
        <v>4.7381818181818192</v>
      </c>
      <c r="F11" s="244">
        <f t="shared" si="0"/>
        <v>4.2</v>
      </c>
      <c r="G11" s="299">
        <f t="shared" si="1"/>
        <v>5.2</v>
      </c>
      <c r="I11" s="390">
        <v>110</v>
      </c>
      <c r="J11" s="391">
        <v>3</v>
      </c>
      <c r="K11" s="391">
        <v>3</v>
      </c>
      <c r="L11" s="396">
        <v>3.5</v>
      </c>
    </row>
    <row r="12" spans="1:12">
      <c r="A12">
        <v>4.2</v>
      </c>
      <c r="B12">
        <v>1.6</v>
      </c>
      <c r="D12" s="249">
        <v>130</v>
      </c>
      <c r="E12" s="313">
        <v>5.1636363636363649</v>
      </c>
      <c r="F12" s="244">
        <f t="shared" si="0"/>
        <v>4.5999999999999996</v>
      </c>
      <c r="G12" s="299">
        <f t="shared" si="1"/>
        <v>5.7</v>
      </c>
      <c r="H12" s="1"/>
      <c r="I12" s="390">
        <v>120</v>
      </c>
      <c r="J12" s="396">
        <f>TREND(J8:J11,I8:I11,I12)</f>
        <v>3.2</v>
      </c>
      <c r="K12" s="391">
        <v>3.2</v>
      </c>
      <c r="L12" s="392">
        <f>TREND(L8:L11,I8:I11,I12)</f>
        <v>3.7499999999999996</v>
      </c>
    </row>
    <row r="13" spans="1:12">
      <c r="A13">
        <v>4.3</v>
      </c>
      <c r="B13">
        <v>1.8</v>
      </c>
    </row>
    <row r="14" spans="1:12">
      <c r="A14">
        <v>5.0999999999999996</v>
      </c>
      <c r="B14">
        <v>2</v>
      </c>
    </row>
    <row r="15" spans="1:12">
      <c r="A15">
        <v>5.2</v>
      </c>
      <c r="B15">
        <v>2.2400000000000002</v>
      </c>
    </row>
    <row r="16" spans="1:12">
      <c r="A16">
        <v>5.3</v>
      </c>
      <c r="B16">
        <v>2.5</v>
      </c>
    </row>
    <row r="17" spans="1:2">
      <c r="A17">
        <v>6.1</v>
      </c>
      <c r="B17">
        <v>2.8</v>
      </c>
    </row>
    <row r="18" spans="1:2">
      <c r="A18">
        <v>6.2</v>
      </c>
      <c r="B18">
        <v>3.15</v>
      </c>
    </row>
    <row r="19" spans="1:2">
      <c r="A19">
        <v>6.3</v>
      </c>
      <c r="B19">
        <v>3.55</v>
      </c>
    </row>
    <row r="20" spans="1:2">
      <c r="A20">
        <v>7.1</v>
      </c>
      <c r="B20">
        <v>4</v>
      </c>
    </row>
    <row r="21" spans="1:2">
      <c r="A21">
        <v>7.2</v>
      </c>
      <c r="B21">
        <v>4.5</v>
      </c>
    </row>
    <row r="22" spans="1:2">
      <c r="A22">
        <v>7.3</v>
      </c>
      <c r="B22">
        <v>5</v>
      </c>
    </row>
    <row r="24" spans="1:2">
      <c r="A24" s="723" t="s">
        <v>828</v>
      </c>
    </row>
    <row r="25" spans="1:2">
      <c r="A25" s="723" t="s">
        <v>665</v>
      </c>
      <c r="B25" s="723" t="s">
        <v>829</v>
      </c>
    </row>
    <row r="26" spans="1:2">
      <c r="A26" s="723" t="s">
        <v>830</v>
      </c>
      <c r="B26" s="723" t="s">
        <v>831</v>
      </c>
    </row>
    <row r="28" spans="1:2">
      <c r="A28" s="723" t="s">
        <v>832</v>
      </c>
    </row>
    <row r="29" spans="1:2">
      <c r="A29" s="723" t="s">
        <v>833</v>
      </c>
      <c r="B29" s="838" t="s">
        <v>834</v>
      </c>
    </row>
    <row r="30" spans="1:2">
      <c r="A30" s="723" t="s">
        <v>835</v>
      </c>
      <c r="B30" s="838" t="s">
        <v>836</v>
      </c>
    </row>
  </sheetData>
  <mergeCells count="1">
    <mergeCell ref="A1:B1"/>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AC44"/>
  <sheetViews>
    <sheetView zoomScaleNormal="100" workbookViewId="0"/>
  </sheetViews>
  <sheetFormatPr defaultRowHeight="15.6"/>
  <sheetData>
    <row r="1" spans="1:29">
      <c r="A1" s="151" t="s">
        <v>666</v>
      </c>
      <c r="P1" s="792"/>
      <c r="Q1" s="792" t="s">
        <v>673</v>
      </c>
      <c r="R1" s="792" t="s">
        <v>674</v>
      </c>
      <c r="S1" s="792" t="s">
        <v>675</v>
      </c>
      <c r="T1" s="792" t="s">
        <v>676</v>
      </c>
      <c r="X1" s="151" t="s">
        <v>666</v>
      </c>
    </row>
    <row r="2" spans="1:29">
      <c r="P2" s="792" t="s">
        <v>38</v>
      </c>
      <c r="Q2" s="792">
        <v>125</v>
      </c>
      <c r="R2" s="792">
        <v>125</v>
      </c>
      <c r="S2" s="792">
        <v>140</v>
      </c>
      <c r="T2" s="792">
        <v>100</v>
      </c>
    </row>
    <row r="3" spans="1:29">
      <c r="A3" s="793" t="s">
        <v>667</v>
      </c>
      <c r="B3" s="793" t="s">
        <v>714</v>
      </c>
      <c r="C3" s="793" t="s">
        <v>715</v>
      </c>
      <c r="D3" s="793" t="s">
        <v>716</v>
      </c>
      <c r="E3" s="793" t="s">
        <v>717</v>
      </c>
      <c r="F3" s="793" t="s">
        <v>718</v>
      </c>
      <c r="G3" s="793" t="s">
        <v>719</v>
      </c>
      <c r="H3" s="793" t="s">
        <v>720</v>
      </c>
      <c r="I3" s="793" t="s">
        <v>671</v>
      </c>
      <c r="J3" s="793" t="s">
        <v>672</v>
      </c>
      <c r="K3" s="793" t="s">
        <v>721</v>
      </c>
      <c r="L3" s="793" t="s">
        <v>722</v>
      </c>
      <c r="M3" s="793" t="s">
        <v>723</v>
      </c>
      <c r="N3" s="793" t="s">
        <v>724</v>
      </c>
      <c r="P3" s="792" t="s">
        <v>677</v>
      </c>
      <c r="Q3" s="792">
        <v>1.2</v>
      </c>
      <c r="R3" s="792">
        <v>1.2</v>
      </c>
      <c r="S3" s="792">
        <v>1.88</v>
      </c>
      <c r="T3" s="792">
        <v>0.3</v>
      </c>
      <c r="X3" s="793" t="s">
        <v>667</v>
      </c>
      <c r="Y3" s="793" t="s">
        <v>668</v>
      </c>
      <c r="Z3" s="793" t="s">
        <v>669</v>
      </c>
      <c r="AA3" s="793" t="s">
        <v>670</v>
      </c>
      <c r="AB3" s="793" t="s">
        <v>671</v>
      </c>
      <c r="AC3" s="793" t="s">
        <v>672</v>
      </c>
    </row>
    <row r="4" spans="1:29">
      <c r="A4">
        <v>60</v>
      </c>
      <c r="B4">
        <v>400</v>
      </c>
      <c r="C4">
        <v>20</v>
      </c>
      <c r="D4">
        <v>0.05</v>
      </c>
      <c r="E4">
        <v>0</v>
      </c>
      <c r="F4" t="s">
        <v>25</v>
      </c>
      <c r="P4" s="792" t="s">
        <v>678</v>
      </c>
      <c r="Q4" s="792">
        <v>60</v>
      </c>
      <c r="R4" s="792">
        <v>60</v>
      </c>
      <c r="S4" s="792">
        <v>75</v>
      </c>
      <c r="T4" s="792">
        <v>15</v>
      </c>
    </row>
    <row r="5" spans="1:29">
      <c r="A5">
        <v>80</v>
      </c>
      <c r="B5">
        <v>400</v>
      </c>
      <c r="C5">
        <v>20</v>
      </c>
      <c r="D5">
        <v>0.05</v>
      </c>
      <c r="E5">
        <v>0</v>
      </c>
      <c r="F5" t="s">
        <v>25</v>
      </c>
      <c r="P5" s="792" t="s">
        <v>679</v>
      </c>
      <c r="Q5" s="792">
        <v>20</v>
      </c>
      <c r="R5" s="792">
        <v>20</v>
      </c>
      <c r="S5" s="792">
        <v>25</v>
      </c>
      <c r="T5" s="792">
        <v>20</v>
      </c>
    </row>
    <row r="6" spans="1:29">
      <c r="A6">
        <v>80</v>
      </c>
      <c r="B6">
        <v>400</v>
      </c>
      <c r="C6">
        <v>20</v>
      </c>
      <c r="D6">
        <v>0.05</v>
      </c>
      <c r="E6">
        <v>0</v>
      </c>
      <c r="F6" t="s">
        <v>25</v>
      </c>
      <c r="P6" s="792" t="s">
        <v>680</v>
      </c>
      <c r="Q6" s="792">
        <v>15</v>
      </c>
      <c r="R6" s="792">
        <v>15</v>
      </c>
      <c r="S6" s="792">
        <v>15</v>
      </c>
      <c r="T6" s="792">
        <v>15</v>
      </c>
    </row>
    <row r="7" spans="1:29">
      <c r="A7">
        <v>80</v>
      </c>
      <c r="B7">
        <v>400</v>
      </c>
      <c r="C7">
        <v>20</v>
      </c>
      <c r="D7">
        <v>0.05</v>
      </c>
      <c r="E7">
        <v>0</v>
      </c>
      <c r="F7" t="s">
        <v>25</v>
      </c>
      <c r="P7" s="792" t="s">
        <v>681</v>
      </c>
      <c r="Q7" s="792">
        <v>-24.7</v>
      </c>
      <c r="R7" s="792">
        <v>-14</v>
      </c>
      <c r="S7" s="792">
        <v>-24.7</v>
      </c>
      <c r="T7" s="792">
        <v>-14</v>
      </c>
    </row>
    <row r="8" spans="1:29">
      <c r="A8">
        <v>80</v>
      </c>
      <c r="B8">
        <v>400</v>
      </c>
      <c r="C8">
        <v>20</v>
      </c>
      <c r="D8">
        <v>0.05</v>
      </c>
      <c r="E8">
        <v>0</v>
      </c>
      <c r="F8" t="s">
        <v>25</v>
      </c>
      <c r="P8" s="792" t="s">
        <v>682</v>
      </c>
      <c r="Q8" s="792">
        <v>3.3</v>
      </c>
      <c r="R8" s="792">
        <v>14</v>
      </c>
      <c r="S8" s="792">
        <v>3.3</v>
      </c>
      <c r="T8" s="792">
        <v>14</v>
      </c>
    </row>
    <row r="9" spans="1:29">
      <c r="A9">
        <v>80</v>
      </c>
      <c r="B9">
        <v>400</v>
      </c>
      <c r="C9">
        <v>20</v>
      </c>
      <c r="D9">
        <v>0.05</v>
      </c>
      <c r="E9">
        <v>0</v>
      </c>
      <c r="F9" t="s">
        <v>25</v>
      </c>
      <c r="P9" s="792" t="s">
        <v>683</v>
      </c>
      <c r="Q9" s="792">
        <v>-10.7</v>
      </c>
      <c r="R9" s="792">
        <v>-10.7</v>
      </c>
      <c r="S9" s="792">
        <v>-10.7</v>
      </c>
      <c r="T9" s="792">
        <v>-10.7</v>
      </c>
    </row>
    <row r="10" spans="1:29">
      <c r="A10">
        <v>80</v>
      </c>
      <c r="B10">
        <v>400</v>
      </c>
      <c r="C10">
        <v>20</v>
      </c>
      <c r="D10">
        <v>0.05</v>
      </c>
      <c r="E10">
        <v>3</v>
      </c>
      <c r="F10" t="s">
        <v>25</v>
      </c>
      <c r="P10" s="792" t="s">
        <v>399</v>
      </c>
      <c r="Q10" s="792">
        <v>10.7</v>
      </c>
      <c r="R10" s="792">
        <v>10.7</v>
      </c>
      <c r="S10" s="792">
        <v>10.7</v>
      </c>
      <c r="T10" s="792">
        <v>10.7</v>
      </c>
    </row>
    <row r="11" spans="1:29">
      <c r="A11">
        <v>80</v>
      </c>
      <c r="B11">
        <v>400</v>
      </c>
      <c r="C11">
        <v>20</v>
      </c>
      <c r="D11">
        <v>0.05</v>
      </c>
      <c r="E11">
        <v>3</v>
      </c>
      <c r="F11" t="s">
        <v>25</v>
      </c>
    </row>
    <row r="12" spans="1:29">
      <c r="A12">
        <v>80</v>
      </c>
      <c r="B12">
        <v>400</v>
      </c>
      <c r="C12">
        <v>20</v>
      </c>
      <c r="D12">
        <v>0.05</v>
      </c>
      <c r="E12">
        <v>3.5</v>
      </c>
      <c r="F12" t="s">
        <v>25</v>
      </c>
      <c r="P12" s="792" t="s">
        <v>684</v>
      </c>
      <c r="Q12" s="795"/>
      <c r="R12" s="795"/>
      <c r="S12" s="792"/>
      <c r="T12" s="792"/>
    </row>
    <row r="13" spans="1:29">
      <c r="A13">
        <v>80</v>
      </c>
      <c r="B13">
        <v>400</v>
      </c>
      <c r="C13">
        <v>20</v>
      </c>
      <c r="D13">
        <v>0.05</v>
      </c>
      <c r="E13">
        <v>3.5</v>
      </c>
      <c r="F13" t="s">
        <v>25</v>
      </c>
      <c r="P13" s="792" t="s">
        <v>685</v>
      </c>
      <c r="Q13" s="795"/>
      <c r="R13" s="795"/>
      <c r="S13" s="792"/>
      <c r="T13" s="792"/>
    </row>
    <row r="14" spans="1:29">
      <c r="A14">
        <v>80</v>
      </c>
      <c r="B14">
        <v>400</v>
      </c>
      <c r="C14">
        <v>20</v>
      </c>
      <c r="D14">
        <v>0.05</v>
      </c>
      <c r="E14">
        <v>2.5</v>
      </c>
      <c r="F14" t="s">
        <v>25</v>
      </c>
      <c r="P14" s="792" t="s">
        <v>686</v>
      </c>
      <c r="Q14" s="795"/>
      <c r="R14" s="795"/>
      <c r="S14" s="792"/>
      <c r="T14" s="792"/>
    </row>
    <row r="15" spans="1:29">
      <c r="A15">
        <v>80</v>
      </c>
      <c r="B15">
        <v>400</v>
      </c>
      <c r="C15">
        <v>20</v>
      </c>
      <c r="D15">
        <v>0.05</v>
      </c>
      <c r="E15">
        <v>2.5</v>
      </c>
      <c r="F15" t="s">
        <v>25</v>
      </c>
      <c r="P15" s="792" t="s">
        <v>687</v>
      </c>
      <c r="Q15" s="795"/>
      <c r="R15" s="795"/>
      <c r="S15" s="792"/>
      <c r="T15" s="792"/>
    </row>
    <row r="16" spans="1:29">
      <c r="A16">
        <v>80</v>
      </c>
      <c r="B16">
        <v>500</v>
      </c>
      <c r="C16">
        <v>25</v>
      </c>
      <c r="D16">
        <v>0.05</v>
      </c>
      <c r="E16">
        <v>0</v>
      </c>
      <c r="F16" t="s">
        <v>25</v>
      </c>
      <c r="P16" s="792" t="s">
        <v>688</v>
      </c>
      <c r="Q16" s="795"/>
      <c r="R16" s="795"/>
      <c r="S16" s="792"/>
      <c r="T16" s="792"/>
    </row>
    <row r="17" spans="1:6">
      <c r="A17">
        <v>80</v>
      </c>
      <c r="B17">
        <v>50</v>
      </c>
      <c r="C17">
        <v>2.5</v>
      </c>
      <c r="D17">
        <v>0.05</v>
      </c>
      <c r="E17">
        <v>0</v>
      </c>
      <c r="F17" t="s">
        <v>25</v>
      </c>
    </row>
    <row r="18" spans="1:6">
      <c r="A18">
        <v>80</v>
      </c>
      <c r="B18">
        <v>800</v>
      </c>
      <c r="C18">
        <v>40</v>
      </c>
      <c r="D18">
        <v>0.05</v>
      </c>
      <c r="E18">
        <v>0</v>
      </c>
      <c r="F18" t="s">
        <v>25</v>
      </c>
    </row>
    <row r="19" spans="1:6">
      <c r="A19">
        <v>80</v>
      </c>
      <c r="B19">
        <v>250</v>
      </c>
      <c r="C19">
        <v>12.5</v>
      </c>
      <c r="D19">
        <v>0.05</v>
      </c>
      <c r="E19">
        <v>0</v>
      </c>
      <c r="F19" t="s">
        <v>25</v>
      </c>
    </row>
    <row r="20" spans="1:6">
      <c r="A20">
        <v>100</v>
      </c>
      <c r="B20">
        <v>400</v>
      </c>
      <c r="C20">
        <v>20</v>
      </c>
      <c r="D20">
        <v>0.05</v>
      </c>
      <c r="E20">
        <v>0</v>
      </c>
      <c r="F20" t="s">
        <v>25</v>
      </c>
    </row>
    <row r="21" spans="1:6">
      <c r="A21">
        <v>120</v>
      </c>
      <c r="B21">
        <v>400</v>
      </c>
      <c r="C21">
        <v>20</v>
      </c>
      <c r="D21">
        <v>0.05</v>
      </c>
      <c r="E21">
        <v>0</v>
      </c>
      <c r="F21" t="s">
        <v>25</v>
      </c>
    </row>
    <row r="22" spans="1:6">
      <c r="A22">
        <v>140</v>
      </c>
      <c r="B22">
        <v>400</v>
      </c>
      <c r="C22">
        <v>20</v>
      </c>
      <c r="D22">
        <v>0.05</v>
      </c>
      <c r="E22">
        <v>0</v>
      </c>
      <c r="F22" t="s">
        <v>25</v>
      </c>
    </row>
    <row r="23" spans="1:6">
      <c r="A23">
        <v>50</v>
      </c>
      <c r="B23">
        <v>100</v>
      </c>
      <c r="C23">
        <v>10</v>
      </c>
      <c r="D23">
        <v>0.1</v>
      </c>
      <c r="E23">
        <v>0</v>
      </c>
      <c r="F23" t="s">
        <v>51</v>
      </c>
    </row>
    <row r="24" spans="1:6">
      <c r="A24">
        <v>70</v>
      </c>
      <c r="B24">
        <v>100</v>
      </c>
      <c r="C24">
        <v>10</v>
      </c>
      <c r="D24">
        <v>0.1</v>
      </c>
      <c r="E24">
        <v>0</v>
      </c>
      <c r="F24" t="s">
        <v>51</v>
      </c>
    </row>
    <row r="25" spans="1:6">
      <c r="A25">
        <v>90</v>
      </c>
      <c r="B25">
        <v>100</v>
      </c>
      <c r="C25">
        <v>10</v>
      </c>
      <c r="D25">
        <v>0.1</v>
      </c>
      <c r="E25">
        <v>0</v>
      </c>
      <c r="F25" t="s">
        <v>51</v>
      </c>
    </row>
    <row r="26" spans="1:6">
      <c r="A26">
        <v>90</v>
      </c>
      <c r="B26">
        <v>100</v>
      </c>
      <c r="C26">
        <v>10</v>
      </c>
      <c r="D26">
        <v>0.1</v>
      </c>
      <c r="E26">
        <v>0</v>
      </c>
      <c r="F26" t="s">
        <v>51</v>
      </c>
    </row>
    <row r="27" spans="1:6">
      <c r="A27">
        <v>90</v>
      </c>
      <c r="B27">
        <v>100</v>
      </c>
      <c r="C27">
        <v>10</v>
      </c>
      <c r="D27">
        <v>0.1</v>
      </c>
      <c r="E27">
        <v>0</v>
      </c>
      <c r="F27" t="s">
        <v>51</v>
      </c>
    </row>
    <row r="28" spans="1:6">
      <c r="A28">
        <v>90</v>
      </c>
      <c r="B28">
        <v>100</v>
      </c>
      <c r="C28">
        <v>10</v>
      </c>
      <c r="D28">
        <v>0.1</v>
      </c>
      <c r="E28">
        <v>0</v>
      </c>
      <c r="F28" t="s">
        <v>51</v>
      </c>
    </row>
    <row r="29" spans="1:6">
      <c r="A29">
        <v>90</v>
      </c>
      <c r="B29">
        <v>100</v>
      </c>
      <c r="C29">
        <v>10</v>
      </c>
      <c r="D29">
        <v>0.1</v>
      </c>
      <c r="E29">
        <v>0</v>
      </c>
      <c r="F29" t="s">
        <v>51</v>
      </c>
    </row>
    <row r="30" spans="1:6">
      <c r="A30">
        <v>80</v>
      </c>
      <c r="B30">
        <v>100</v>
      </c>
      <c r="C30">
        <v>10</v>
      </c>
      <c r="D30">
        <v>0.1</v>
      </c>
      <c r="E30">
        <v>0</v>
      </c>
      <c r="F30" t="s">
        <v>51</v>
      </c>
    </row>
    <row r="31" spans="1:6">
      <c r="A31">
        <v>80</v>
      </c>
      <c r="B31">
        <v>110</v>
      </c>
      <c r="C31">
        <v>11</v>
      </c>
      <c r="D31">
        <v>0.1</v>
      </c>
      <c r="E31">
        <v>0</v>
      </c>
      <c r="F31" t="s">
        <v>51</v>
      </c>
    </row>
    <row r="32" spans="1:6">
      <c r="A32">
        <v>80</v>
      </c>
      <c r="B32">
        <v>250</v>
      </c>
      <c r="C32">
        <v>25</v>
      </c>
      <c r="D32">
        <v>0.1</v>
      </c>
      <c r="E32">
        <v>0</v>
      </c>
      <c r="F32" t="s">
        <v>51</v>
      </c>
    </row>
    <row r="33" spans="1:6">
      <c r="A33">
        <v>80</v>
      </c>
      <c r="B33">
        <v>50</v>
      </c>
      <c r="C33">
        <v>2.5</v>
      </c>
      <c r="D33">
        <v>0.1</v>
      </c>
      <c r="E33">
        <v>0</v>
      </c>
      <c r="F33" t="s">
        <v>51</v>
      </c>
    </row>
    <row r="34" spans="1:6">
      <c r="A34">
        <v>80</v>
      </c>
      <c r="B34">
        <v>160</v>
      </c>
      <c r="C34">
        <v>16</v>
      </c>
      <c r="D34">
        <v>0.1</v>
      </c>
      <c r="E34">
        <v>0</v>
      </c>
      <c r="F34" t="s">
        <v>51</v>
      </c>
    </row>
    <row r="35" spans="1:6">
      <c r="A35">
        <v>110</v>
      </c>
      <c r="B35">
        <v>100</v>
      </c>
      <c r="C35">
        <v>10</v>
      </c>
      <c r="D35">
        <v>0.1</v>
      </c>
      <c r="E35">
        <v>0</v>
      </c>
      <c r="F35" t="s">
        <v>51</v>
      </c>
    </row>
    <row r="36" spans="1:6">
      <c r="A36">
        <v>130</v>
      </c>
      <c r="B36">
        <v>100</v>
      </c>
      <c r="C36">
        <v>10</v>
      </c>
      <c r="D36">
        <v>0.1</v>
      </c>
      <c r="E36">
        <v>0</v>
      </c>
      <c r="F36" t="s">
        <v>51</v>
      </c>
    </row>
    <row r="37" spans="1:6">
      <c r="A37">
        <v>80</v>
      </c>
      <c r="B37">
        <v>200</v>
      </c>
      <c r="C37">
        <v>2</v>
      </c>
      <c r="D37">
        <v>0.01</v>
      </c>
      <c r="E37">
        <v>0</v>
      </c>
      <c r="F37" t="s">
        <v>25</v>
      </c>
    </row>
    <row r="38" spans="1:6">
      <c r="A38">
        <v>80</v>
      </c>
      <c r="B38">
        <v>200</v>
      </c>
      <c r="C38">
        <v>4</v>
      </c>
      <c r="D38">
        <v>0.02</v>
      </c>
      <c r="E38">
        <v>0</v>
      </c>
      <c r="F38" t="s">
        <v>25</v>
      </c>
    </row>
    <row r="39" spans="1:6">
      <c r="A39">
        <v>80</v>
      </c>
      <c r="B39">
        <v>200</v>
      </c>
      <c r="C39">
        <v>8</v>
      </c>
      <c r="D39">
        <v>0.04</v>
      </c>
      <c r="E39">
        <v>0</v>
      </c>
      <c r="F39" t="s">
        <v>25</v>
      </c>
    </row>
    <row r="40" spans="1:6">
      <c r="A40">
        <v>80</v>
      </c>
      <c r="B40">
        <v>200</v>
      </c>
      <c r="C40">
        <v>20</v>
      </c>
      <c r="D40">
        <v>0.1</v>
      </c>
      <c r="E40">
        <v>0</v>
      </c>
      <c r="F40" t="s">
        <v>25</v>
      </c>
    </row>
    <row r="41" spans="1:6">
      <c r="A41">
        <v>80</v>
      </c>
      <c r="B41">
        <v>200</v>
      </c>
      <c r="C41">
        <v>50</v>
      </c>
      <c r="D41">
        <v>0.25</v>
      </c>
      <c r="E41">
        <v>0</v>
      </c>
      <c r="F41" t="s">
        <v>25</v>
      </c>
    </row>
    <row r="42" spans="1:6">
      <c r="A42">
        <v>80</v>
      </c>
      <c r="B42">
        <v>200</v>
      </c>
      <c r="C42">
        <v>80</v>
      </c>
      <c r="D42">
        <v>0.4</v>
      </c>
      <c r="E42">
        <v>0</v>
      </c>
      <c r="F42" t="s">
        <v>25</v>
      </c>
    </row>
    <row r="44" spans="1:6">
      <c r="A44" s="151" t="s">
        <v>725</v>
      </c>
    </row>
  </sheetData>
  <customSheetViews>
    <customSheetView guid="{E3496B94-97EB-4AAE-9FD7-F66109A2B11F}">
      <pageMargins left="0.7" right="0.7" top="0.75" bottom="0.75" header="0.3" footer="0.3"/>
    </customSheetView>
  </customSheetView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AC72"/>
  <sheetViews>
    <sheetView workbookViewId="0"/>
  </sheetViews>
  <sheetFormatPr defaultRowHeight="15.6"/>
  <sheetData>
    <row r="1" spans="1:5">
      <c r="A1" t="s">
        <v>534</v>
      </c>
      <c r="B1" s="453" t="s">
        <v>535</v>
      </c>
    </row>
    <row r="2" spans="1:5">
      <c r="A2" t="s">
        <v>536</v>
      </c>
      <c r="B2" s="453" t="str">
        <f>Gen_form!E14</f>
        <v/>
      </c>
    </row>
    <row r="3" spans="1:5">
      <c r="A3" t="s">
        <v>528</v>
      </c>
      <c r="B3" s="453">
        <f>Gen_form!U209</f>
        <v>0</v>
      </c>
    </row>
    <row r="4" spans="1:5">
      <c r="A4" t="s">
        <v>529</v>
      </c>
      <c r="B4" s="453">
        <f>Gen_form!U214</f>
        <v>0</v>
      </c>
    </row>
    <row r="5" spans="1:5">
      <c r="A5" t="s">
        <v>530</v>
      </c>
      <c r="B5" s="453">
        <f>Gen_form!B314</f>
        <v>5</v>
      </c>
      <c r="C5" s="453">
        <f>Gen_form!C314</f>
        <v>5</v>
      </c>
      <c r="D5" s="453" t="str">
        <f>Gen_form!D314</f>
        <v/>
      </c>
      <c r="E5" s="453" t="str">
        <f>Gen_form!E314</f>
        <v/>
      </c>
    </row>
    <row r="6" spans="1:5">
      <c r="B6" s="453">
        <f>Gen_form!B315</f>
        <v>10</v>
      </c>
      <c r="C6" s="453">
        <f>Gen_form!C315</f>
        <v>10</v>
      </c>
      <c r="D6" s="453" t="str">
        <f>Gen_form!D315</f>
        <v/>
      </c>
      <c r="E6" s="453" t="str">
        <f>Gen_form!E315</f>
        <v/>
      </c>
    </row>
    <row r="7" spans="1:5">
      <c r="A7" t="s">
        <v>531</v>
      </c>
      <c r="B7" s="453" t="str">
        <f>Gen_form!D668</f>
        <v/>
      </c>
      <c r="C7" s="453" t="str">
        <f>Gen_form!E668</f>
        <v/>
      </c>
    </row>
    <row r="8" spans="1:5">
      <c r="B8" s="453" t="str">
        <f>Gen_form!D669</f>
        <v/>
      </c>
      <c r="C8" s="453" t="str">
        <f>Gen_form!E669</f>
        <v/>
      </c>
    </row>
    <row r="9" spans="1:5">
      <c r="B9" s="453" t="str">
        <f>Gen_form!D670</f>
        <v/>
      </c>
      <c r="C9" s="453" t="str">
        <f>Gen_form!E670</f>
        <v/>
      </c>
    </row>
    <row r="10" spans="1:5">
      <c r="B10" s="453" t="str">
        <f>Gen_form!D671</f>
        <v/>
      </c>
      <c r="C10" s="453" t="str">
        <f>Gen_form!E671</f>
        <v/>
      </c>
    </row>
    <row r="11" spans="1:5">
      <c r="B11" s="453" t="str">
        <f>Gen_form!D672</f>
        <v/>
      </c>
      <c r="C11" s="453" t="str">
        <f>Gen_form!E672</f>
        <v/>
      </c>
    </row>
    <row r="12" spans="1:5">
      <c r="B12" s="453" t="str">
        <f>Gen_form!D673</f>
        <v/>
      </c>
      <c r="C12" s="453" t="str">
        <f>Gen_form!E673</f>
        <v/>
      </c>
    </row>
    <row r="13" spans="1:5">
      <c r="B13" s="453" t="str">
        <f>Gen_form!D674</f>
        <v/>
      </c>
      <c r="C13" s="453" t="str">
        <f>Gen_form!E674</f>
        <v/>
      </c>
    </row>
    <row r="14" spans="1:5">
      <c r="B14" s="453" t="str">
        <f>Gen_form!D675</f>
        <v/>
      </c>
      <c r="C14" s="453" t="str">
        <f>Gen_form!E675</f>
        <v/>
      </c>
    </row>
    <row r="15" spans="1:5">
      <c r="A15" t="s">
        <v>532</v>
      </c>
      <c r="B15" s="453" t="str">
        <f>Gen_form!D681</f>
        <v/>
      </c>
      <c r="C15" s="453" t="str">
        <f>Gen_form!E681</f>
        <v/>
      </c>
    </row>
    <row r="16" spans="1:5">
      <c r="B16" s="453" t="str">
        <f>Gen_form!D682</f>
        <v/>
      </c>
      <c r="C16" s="453" t="str">
        <f>Gen_form!E682</f>
        <v/>
      </c>
    </row>
    <row r="17" spans="1:29">
      <c r="B17" s="453" t="str">
        <f>Gen_form!D683</f>
        <v/>
      </c>
      <c r="C17" s="453" t="str">
        <f>Gen_form!E683</f>
        <v/>
      </c>
    </row>
    <row r="18" spans="1:29">
      <c r="B18" s="453" t="str">
        <f>Gen_form!D684</f>
        <v/>
      </c>
      <c r="C18" s="453" t="str">
        <f>Gen_form!E684</f>
        <v/>
      </c>
    </row>
    <row r="19" spans="1:29">
      <c r="B19" s="453" t="str">
        <f>Gen_form!D685</f>
        <v/>
      </c>
      <c r="C19" s="453" t="str">
        <f>Gen_form!E685</f>
        <v/>
      </c>
    </row>
    <row r="20" spans="1:29">
      <c r="B20" s="671" t="str">
        <f>Gen_form!D686</f>
        <v/>
      </c>
      <c r="C20" s="671" t="str">
        <f>Gen_form!E686</f>
        <v/>
      </c>
    </row>
    <row r="21" spans="1:29">
      <c r="A21" t="s">
        <v>533</v>
      </c>
      <c r="B21" s="453">
        <f>Tables!B49</f>
        <v>0</v>
      </c>
      <c r="C21" s="453">
        <f>Tables!C49</f>
        <v>0</v>
      </c>
      <c r="D21" s="453">
        <f>Tables!D49</f>
        <v>0</v>
      </c>
      <c r="E21" s="453">
        <f>Tables!E49</f>
        <v>0</v>
      </c>
      <c r="F21" s="453">
        <f>Tables!F49</f>
        <v>0</v>
      </c>
      <c r="G21" s="453">
        <f>Tables!G49</f>
        <v>0</v>
      </c>
      <c r="H21" s="453">
        <f>Tables!H49</f>
        <v>0</v>
      </c>
      <c r="I21" s="453">
        <f>Tables!I49</f>
        <v>0</v>
      </c>
      <c r="J21" s="453">
        <f>Tables!J49</f>
        <v>0</v>
      </c>
      <c r="K21" s="453">
        <f>Tables!K49</f>
        <v>0</v>
      </c>
      <c r="L21" s="453">
        <f>Tables!L49</f>
        <v>0</v>
      </c>
      <c r="M21" s="453">
        <f>Tables!M49</f>
        <v>0</v>
      </c>
      <c r="N21" s="453">
        <f>Tables!N49</f>
        <v>0</v>
      </c>
      <c r="O21" s="453">
        <f>Tables!O49</f>
        <v>0</v>
      </c>
      <c r="P21" s="453">
        <f>Tables!P49</f>
        <v>0</v>
      </c>
      <c r="Q21" s="453">
        <f>Tables!Q49</f>
        <v>0</v>
      </c>
      <c r="R21" s="453">
        <f>Tables!R49</f>
        <v>0</v>
      </c>
      <c r="S21" s="453">
        <f>Tables!S49</f>
        <v>0</v>
      </c>
      <c r="T21" s="453">
        <f>Tables!T49</f>
        <v>0</v>
      </c>
      <c r="U21" s="453">
        <f>Tables!U49</f>
        <v>0</v>
      </c>
      <c r="V21" s="453">
        <f>Tables!V49</f>
        <v>0</v>
      </c>
      <c r="W21" s="453">
        <f>Tables!W49</f>
        <v>0</v>
      </c>
      <c r="X21" s="453">
        <f>Tables!X49</f>
        <v>0</v>
      </c>
      <c r="Y21" s="453">
        <f>Tables!Y49</f>
        <v>0</v>
      </c>
      <c r="Z21" s="453">
        <f>Tables!Z49</f>
        <v>0</v>
      </c>
      <c r="AA21" s="453">
        <f>Tables!AA49</f>
        <v>0</v>
      </c>
      <c r="AB21" s="453">
        <f>Tables!AB49</f>
        <v>0</v>
      </c>
      <c r="AC21" s="453">
        <f>Tables!AC49</f>
        <v>0</v>
      </c>
    </row>
    <row r="22" spans="1:29">
      <c r="B22" s="453">
        <f>Tables!B50</f>
        <v>0</v>
      </c>
      <c r="C22" s="453">
        <f>Tables!C50</f>
        <v>0</v>
      </c>
      <c r="D22" s="453">
        <f>Tables!D50</f>
        <v>0</v>
      </c>
      <c r="E22" s="453">
        <f>Tables!E50</f>
        <v>0</v>
      </c>
      <c r="F22" s="453">
        <f>Tables!F50</f>
        <v>0</v>
      </c>
      <c r="G22" s="453">
        <f>Tables!G50</f>
        <v>0</v>
      </c>
      <c r="H22" s="453">
        <f>Tables!H50</f>
        <v>0</v>
      </c>
      <c r="I22" s="453">
        <f>Tables!I50</f>
        <v>0</v>
      </c>
      <c r="J22" s="453">
        <f>Tables!J50</f>
        <v>0</v>
      </c>
      <c r="K22" s="453">
        <f>Tables!K50</f>
        <v>0</v>
      </c>
      <c r="L22" s="453">
        <f>Tables!L50</f>
        <v>0</v>
      </c>
      <c r="M22" s="453">
        <f>Tables!M50</f>
        <v>0</v>
      </c>
      <c r="N22" s="453">
        <f>Tables!N50</f>
        <v>0</v>
      </c>
      <c r="O22" s="453">
        <f>Tables!O50</f>
        <v>0</v>
      </c>
      <c r="P22" s="453">
        <f>Tables!P50</f>
        <v>0</v>
      </c>
      <c r="Q22" s="453">
        <f>Tables!Q50</f>
        <v>0</v>
      </c>
      <c r="R22" s="453">
        <f>Tables!R50</f>
        <v>0</v>
      </c>
      <c r="S22" s="453">
        <f>Tables!S50</f>
        <v>0</v>
      </c>
      <c r="T22" s="453">
        <f>Tables!T50</f>
        <v>0</v>
      </c>
      <c r="U22" s="453">
        <f>Tables!U50</f>
        <v>0</v>
      </c>
      <c r="V22" s="453">
        <f>Tables!V50</f>
        <v>0</v>
      </c>
      <c r="W22" s="453">
        <f>Tables!W50</f>
        <v>0</v>
      </c>
      <c r="X22" s="453">
        <f>Tables!X50</f>
        <v>0</v>
      </c>
      <c r="Y22" s="453">
        <f>Tables!Y50</f>
        <v>0</v>
      </c>
      <c r="Z22" s="453">
        <f>Tables!Z50</f>
        <v>0</v>
      </c>
      <c r="AA22" s="453">
        <f>Tables!AA50</f>
        <v>0</v>
      </c>
      <c r="AB22" s="453">
        <f>Tables!AB50</f>
        <v>0</v>
      </c>
      <c r="AC22" s="453">
        <f>Tables!AC50</f>
        <v>0</v>
      </c>
    </row>
    <row r="23" spans="1:29">
      <c r="B23" s="453">
        <f>Tables!B51</f>
        <v>0</v>
      </c>
      <c r="C23" s="453">
        <f>Tables!C51</f>
        <v>0</v>
      </c>
      <c r="D23" s="453">
        <f>Tables!D51</f>
        <v>0</v>
      </c>
      <c r="E23" s="453">
        <f>Tables!E51</f>
        <v>0</v>
      </c>
      <c r="F23" s="453">
        <f>Tables!F51</f>
        <v>0</v>
      </c>
      <c r="G23" s="453">
        <f>Tables!G51</f>
        <v>0</v>
      </c>
      <c r="H23" s="453">
        <f>Tables!H51</f>
        <v>0</v>
      </c>
      <c r="I23" s="453">
        <f>Tables!I51</f>
        <v>0</v>
      </c>
      <c r="J23" s="453">
        <f>Tables!J51</f>
        <v>0</v>
      </c>
      <c r="K23" s="453">
        <f>Tables!K51</f>
        <v>0</v>
      </c>
      <c r="L23" s="453">
        <f>Tables!L51</f>
        <v>0</v>
      </c>
      <c r="M23" s="453">
        <f>Tables!M51</f>
        <v>0</v>
      </c>
      <c r="N23" s="453">
        <f>Tables!N51</f>
        <v>0</v>
      </c>
      <c r="O23" s="453">
        <f>Tables!O51</f>
        <v>0</v>
      </c>
      <c r="P23" s="453">
        <f>Tables!P51</f>
        <v>0</v>
      </c>
      <c r="Q23" s="453">
        <f>Tables!Q51</f>
        <v>0</v>
      </c>
      <c r="R23" s="453">
        <f>Tables!R51</f>
        <v>0</v>
      </c>
      <c r="S23" s="453">
        <f>Tables!S51</f>
        <v>0</v>
      </c>
      <c r="T23" s="453">
        <f>Tables!T51</f>
        <v>0</v>
      </c>
      <c r="U23" s="453">
        <f>Tables!U51</f>
        <v>0</v>
      </c>
      <c r="V23" s="453">
        <f>Tables!V51</f>
        <v>0</v>
      </c>
      <c r="W23" s="453">
        <f>Tables!W51</f>
        <v>0</v>
      </c>
      <c r="X23" s="453">
        <f>Tables!X51</f>
        <v>0</v>
      </c>
      <c r="Y23" s="453">
        <f>Tables!Y51</f>
        <v>0</v>
      </c>
      <c r="Z23" s="453">
        <f>Tables!Z51</f>
        <v>0</v>
      </c>
      <c r="AA23" s="453">
        <f>Tables!AA51</f>
        <v>0</v>
      </c>
      <c r="AB23" s="453">
        <f>Tables!AB51</f>
        <v>0</v>
      </c>
      <c r="AC23" s="453">
        <f>Tables!AC51</f>
        <v>0</v>
      </c>
    </row>
    <row r="24" spans="1:29">
      <c r="B24" s="453">
        <f>Tables!B52</f>
        <v>0</v>
      </c>
      <c r="C24" s="453">
        <f>Tables!C52</f>
        <v>0</v>
      </c>
      <c r="D24" s="453">
        <f>Tables!D52</f>
        <v>0</v>
      </c>
      <c r="E24" s="453">
        <f>Tables!E52</f>
        <v>0</v>
      </c>
      <c r="F24" s="453">
        <f>Tables!F52</f>
        <v>0</v>
      </c>
      <c r="G24" s="453">
        <f>Tables!G52</f>
        <v>0</v>
      </c>
      <c r="H24" s="453">
        <f>Tables!H52</f>
        <v>0</v>
      </c>
      <c r="I24" s="453">
        <f>Tables!I52</f>
        <v>0</v>
      </c>
      <c r="J24" s="453">
        <f>Tables!J52</f>
        <v>0</v>
      </c>
      <c r="K24" s="453">
        <f>Tables!K52</f>
        <v>0</v>
      </c>
      <c r="L24" s="453">
        <f>Tables!L52</f>
        <v>0</v>
      </c>
      <c r="M24" s="453">
        <f>Tables!M52</f>
        <v>0</v>
      </c>
      <c r="N24" s="453">
        <f>Tables!N52</f>
        <v>0</v>
      </c>
      <c r="O24" s="453">
        <f>Tables!O52</f>
        <v>0</v>
      </c>
      <c r="P24" s="453">
        <f>Tables!P52</f>
        <v>0</v>
      </c>
      <c r="Q24" s="453">
        <f>Tables!Q52</f>
        <v>0</v>
      </c>
      <c r="R24" s="453">
        <f>Tables!R52</f>
        <v>0</v>
      </c>
      <c r="S24" s="453">
        <f>Tables!S52</f>
        <v>0</v>
      </c>
      <c r="T24" s="453">
        <f>Tables!T52</f>
        <v>0</v>
      </c>
      <c r="U24" s="453">
        <f>Tables!U52</f>
        <v>0</v>
      </c>
      <c r="V24" s="453">
        <f>Tables!V52</f>
        <v>0</v>
      </c>
      <c r="W24" s="453">
        <f>Tables!W52</f>
        <v>0</v>
      </c>
      <c r="X24" s="453">
        <f>Tables!X52</f>
        <v>0</v>
      </c>
      <c r="Y24" s="453">
        <f>Tables!Y52</f>
        <v>0</v>
      </c>
      <c r="Z24" s="453">
        <f>Tables!Z52</f>
        <v>0</v>
      </c>
      <c r="AA24" s="453">
        <f>Tables!AA52</f>
        <v>0</v>
      </c>
      <c r="AB24" s="453">
        <f>Tables!AB52</f>
        <v>0</v>
      </c>
      <c r="AC24" s="453">
        <f>Tables!AC52</f>
        <v>0</v>
      </c>
    </row>
    <row r="25" spans="1:29">
      <c r="B25" s="453">
        <f>Tables!B53</f>
        <v>0</v>
      </c>
      <c r="C25" s="453">
        <f>Tables!C53</f>
        <v>0</v>
      </c>
      <c r="D25" s="453">
        <f>Tables!D53</f>
        <v>0</v>
      </c>
      <c r="E25" s="453">
        <f>Tables!E53</f>
        <v>0</v>
      </c>
      <c r="F25" s="453">
        <f>Tables!F53</f>
        <v>0</v>
      </c>
      <c r="G25" s="453">
        <f>Tables!G53</f>
        <v>0</v>
      </c>
      <c r="H25" s="453">
        <f>Tables!H53</f>
        <v>0</v>
      </c>
      <c r="I25" s="453">
        <f>Tables!I53</f>
        <v>0</v>
      </c>
      <c r="J25" s="453">
        <f>Tables!J53</f>
        <v>0</v>
      </c>
      <c r="K25" s="453">
        <f>Tables!K53</f>
        <v>0</v>
      </c>
      <c r="L25" s="453">
        <f>Tables!L53</f>
        <v>0</v>
      </c>
      <c r="M25" s="453">
        <f>Tables!M53</f>
        <v>0</v>
      </c>
      <c r="N25" s="453">
        <f>Tables!N53</f>
        <v>0</v>
      </c>
      <c r="O25" s="453">
        <f>Tables!O53</f>
        <v>0</v>
      </c>
      <c r="P25" s="453">
        <f>Tables!P53</f>
        <v>0</v>
      </c>
      <c r="Q25" s="453">
        <f>Tables!Q53</f>
        <v>0</v>
      </c>
      <c r="R25" s="453">
        <f>Tables!R53</f>
        <v>0</v>
      </c>
      <c r="S25" s="453">
        <f>Tables!S53</f>
        <v>0</v>
      </c>
      <c r="T25" s="453">
        <f>Tables!T53</f>
        <v>0</v>
      </c>
      <c r="U25" s="453">
        <f>Tables!U53</f>
        <v>0</v>
      </c>
      <c r="V25" s="453">
        <f>Tables!V53</f>
        <v>0</v>
      </c>
      <c r="W25" s="453">
        <f>Tables!W53</f>
        <v>0</v>
      </c>
      <c r="X25" s="453">
        <f>Tables!X53</f>
        <v>0</v>
      </c>
      <c r="Y25" s="453">
        <f>Tables!Y53</f>
        <v>0</v>
      </c>
      <c r="Z25" s="453">
        <f>Tables!Z53</f>
        <v>0</v>
      </c>
      <c r="AA25" s="453">
        <f>Tables!AA53</f>
        <v>0</v>
      </c>
      <c r="AB25" s="453">
        <f>Tables!AB53</f>
        <v>0</v>
      </c>
      <c r="AC25" s="453">
        <f>Tables!AC53</f>
        <v>0</v>
      </c>
    </row>
    <row r="26" spans="1:29">
      <c r="B26" s="453">
        <f>Tables!B54</f>
        <v>0</v>
      </c>
      <c r="C26" s="453">
        <f>Tables!C54</f>
        <v>0</v>
      </c>
      <c r="D26" s="453">
        <f>Tables!D54</f>
        <v>0</v>
      </c>
      <c r="E26" s="453">
        <f>Tables!E54</f>
        <v>0</v>
      </c>
      <c r="F26" s="453">
        <f>Tables!F54</f>
        <v>0</v>
      </c>
      <c r="G26" s="453">
        <f>Tables!G54</f>
        <v>0</v>
      </c>
      <c r="H26" s="453">
        <f>Tables!H54</f>
        <v>0</v>
      </c>
      <c r="I26" s="453">
        <f>Tables!I54</f>
        <v>0</v>
      </c>
      <c r="J26" s="453">
        <f>Tables!J54</f>
        <v>0</v>
      </c>
      <c r="K26" s="453">
        <f>Tables!K54</f>
        <v>0</v>
      </c>
      <c r="L26" s="453">
        <f>Tables!L54</f>
        <v>0</v>
      </c>
      <c r="M26" s="453">
        <f>Tables!M54</f>
        <v>0</v>
      </c>
      <c r="N26" s="453">
        <f>Tables!N54</f>
        <v>0</v>
      </c>
      <c r="O26" s="453">
        <f>Tables!O54</f>
        <v>0</v>
      </c>
      <c r="P26" s="453">
        <f>Tables!P54</f>
        <v>0</v>
      </c>
      <c r="Q26" s="453">
        <f>Tables!Q54</f>
        <v>0</v>
      </c>
      <c r="R26" s="453">
        <f>Tables!R54</f>
        <v>0</v>
      </c>
      <c r="S26" s="453">
        <f>Tables!S54</f>
        <v>0</v>
      </c>
      <c r="T26" s="453">
        <f>Tables!T54</f>
        <v>0</v>
      </c>
      <c r="U26" s="453">
        <f>Tables!U54</f>
        <v>0</v>
      </c>
      <c r="V26" s="453">
        <f>Tables!V54</f>
        <v>0</v>
      </c>
      <c r="W26" s="453">
        <f>Tables!W54</f>
        <v>0</v>
      </c>
      <c r="X26" s="453">
        <f>Tables!X54</f>
        <v>0</v>
      </c>
      <c r="Y26" s="453">
        <f>Tables!Y54</f>
        <v>0</v>
      </c>
      <c r="Z26" s="453">
        <f>Tables!Z54</f>
        <v>0</v>
      </c>
      <c r="AA26" s="453">
        <f>Tables!AA54</f>
        <v>0</v>
      </c>
      <c r="AB26" s="453">
        <f>Tables!AB54</f>
        <v>0</v>
      </c>
      <c r="AC26" s="453">
        <f>Tables!AC54</f>
        <v>0</v>
      </c>
    </row>
    <row r="27" spans="1:29">
      <c r="B27" s="453">
        <f>Tables!B55</f>
        <v>0</v>
      </c>
      <c r="C27" s="453">
        <f>Tables!C55</f>
        <v>0</v>
      </c>
      <c r="D27" s="453">
        <f>Tables!D55</f>
        <v>0</v>
      </c>
      <c r="E27" s="453">
        <f>Tables!E55</f>
        <v>0</v>
      </c>
      <c r="F27" s="453">
        <f>Tables!F55</f>
        <v>0</v>
      </c>
      <c r="G27" s="453">
        <f>Tables!G55</f>
        <v>0</v>
      </c>
      <c r="H27" s="453">
        <f>Tables!H55</f>
        <v>0</v>
      </c>
      <c r="I27" s="453">
        <f>Tables!I55</f>
        <v>0</v>
      </c>
      <c r="J27" s="453">
        <f>Tables!J55</f>
        <v>0</v>
      </c>
      <c r="K27" s="453">
        <f>Tables!K55</f>
        <v>0</v>
      </c>
      <c r="L27" s="453">
        <f>Tables!L55</f>
        <v>0</v>
      </c>
      <c r="M27" s="453">
        <f>Tables!M55</f>
        <v>0</v>
      </c>
      <c r="N27" s="453">
        <f>Tables!N55</f>
        <v>0</v>
      </c>
      <c r="O27" s="453">
        <f>Tables!O55</f>
        <v>0</v>
      </c>
      <c r="P27" s="453">
        <f>Tables!P55</f>
        <v>0</v>
      </c>
      <c r="Q27" s="453">
        <f>Tables!Q55</f>
        <v>0</v>
      </c>
      <c r="R27" s="453">
        <f>Tables!R55</f>
        <v>0</v>
      </c>
      <c r="S27" s="453">
        <f>Tables!S55</f>
        <v>0</v>
      </c>
      <c r="T27" s="453">
        <f>Tables!T55</f>
        <v>0</v>
      </c>
      <c r="U27" s="453">
        <f>Tables!U55</f>
        <v>0</v>
      </c>
      <c r="V27" s="453">
        <f>Tables!V55</f>
        <v>0</v>
      </c>
      <c r="W27" s="453">
        <f>Tables!W55</f>
        <v>0</v>
      </c>
      <c r="X27" s="453">
        <f>Tables!X55</f>
        <v>0</v>
      </c>
      <c r="Y27" s="453">
        <f>Tables!Y55</f>
        <v>0</v>
      </c>
      <c r="Z27" s="453">
        <f>Tables!Z55</f>
        <v>0</v>
      </c>
      <c r="AA27" s="453">
        <f>Tables!AA55</f>
        <v>0</v>
      </c>
      <c r="AB27" s="453">
        <f>Tables!AB55</f>
        <v>0</v>
      </c>
      <c r="AC27" s="453">
        <f>Tables!AC55</f>
        <v>0</v>
      </c>
    </row>
    <row r="28" spans="1:29">
      <c r="B28" s="453">
        <f>Tables!B56</f>
        <v>0</v>
      </c>
      <c r="C28" s="453">
        <f>Tables!C56</f>
        <v>0</v>
      </c>
      <c r="D28" s="453">
        <f>Tables!D56</f>
        <v>0</v>
      </c>
      <c r="E28" s="453">
        <f>Tables!E56</f>
        <v>0</v>
      </c>
      <c r="F28" s="453">
        <f>Tables!F56</f>
        <v>0</v>
      </c>
      <c r="G28" s="453">
        <f>Tables!G56</f>
        <v>0</v>
      </c>
      <c r="H28" s="453">
        <f>Tables!H56</f>
        <v>0</v>
      </c>
      <c r="I28" s="453">
        <f>Tables!I56</f>
        <v>0</v>
      </c>
      <c r="J28" s="453">
        <f>Tables!J56</f>
        <v>0</v>
      </c>
      <c r="K28" s="453">
        <f>Tables!K56</f>
        <v>0</v>
      </c>
      <c r="L28" s="453">
        <f>Tables!L56</f>
        <v>0</v>
      </c>
      <c r="M28" s="453">
        <f>Tables!M56</f>
        <v>0</v>
      </c>
      <c r="N28" s="453">
        <f>Tables!N56</f>
        <v>0</v>
      </c>
      <c r="O28" s="453">
        <f>Tables!O56</f>
        <v>0</v>
      </c>
      <c r="P28" s="453">
        <f>Tables!P56</f>
        <v>0</v>
      </c>
      <c r="Q28" s="453">
        <f>Tables!Q56</f>
        <v>0</v>
      </c>
      <c r="R28" s="453">
        <f>Tables!R56</f>
        <v>0</v>
      </c>
      <c r="S28" s="453">
        <f>Tables!S56</f>
        <v>0</v>
      </c>
      <c r="T28" s="453">
        <f>Tables!T56</f>
        <v>0</v>
      </c>
      <c r="U28" s="453">
        <f>Tables!U56</f>
        <v>0</v>
      </c>
      <c r="V28" s="453">
        <f>Tables!V56</f>
        <v>0</v>
      </c>
      <c r="W28" s="453">
        <f>Tables!W56</f>
        <v>0</v>
      </c>
      <c r="X28" s="453">
        <f>Tables!X56</f>
        <v>0</v>
      </c>
      <c r="Y28" s="453">
        <f>Tables!Y56</f>
        <v>0</v>
      </c>
      <c r="Z28" s="453">
        <f>Tables!Z56</f>
        <v>0</v>
      </c>
      <c r="AA28" s="453">
        <f>Tables!AA56</f>
        <v>0</v>
      </c>
      <c r="AB28" s="453">
        <f>Tables!AB56</f>
        <v>0</v>
      </c>
      <c r="AC28" s="453">
        <f>Tables!AC56</f>
        <v>0</v>
      </c>
    </row>
    <row r="29" spans="1:29">
      <c r="B29" s="453">
        <f>Tables!B57</f>
        <v>0</v>
      </c>
      <c r="C29" s="453">
        <f>Tables!C57</f>
        <v>0</v>
      </c>
      <c r="D29" s="453">
        <f>Tables!D57</f>
        <v>0</v>
      </c>
      <c r="E29" s="453">
        <f>Tables!E57</f>
        <v>0</v>
      </c>
      <c r="F29" s="453">
        <f>Tables!F57</f>
        <v>0</v>
      </c>
      <c r="G29" s="453">
        <f>Tables!G57</f>
        <v>0</v>
      </c>
      <c r="H29" s="453">
        <f>Tables!H57</f>
        <v>0</v>
      </c>
      <c r="I29" s="453">
        <f>Tables!I57</f>
        <v>0</v>
      </c>
      <c r="J29" s="453">
        <f>Tables!J57</f>
        <v>0</v>
      </c>
      <c r="K29" s="453">
        <f>Tables!K57</f>
        <v>0</v>
      </c>
      <c r="L29" s="453">
        <f>Tables!L57</f>
        <v>0</v>
      </c>
      <c r="M29" s="453">
        <f>Tables!M57</f>
        <v>0</v>
      </c>
      <c r="N29" s="453">
        <f>Tables!N57</f>
        <v>0</v>
      </c>
      <c r="O29" s="453">
        <f>Tables!O57</f>
        <v>0</v>
      </c>
      <c r="P29" s="453">
        <f>Tables!P57</f>
        <v>0</v>
      </c>
      <c r="Q29" s="453">
        <f>Tables!Q57</f>
        <v>0</v>
      </c>
      <c r="R29" s="453">
        <f>Tables!R57</f>
        <v>0</v>
      </c>
      <c r="S29" s="453">
        <f>Tables!S57</f>
        <v>0</v>
      </c>
      <c r="T29" s="453">
        <f>Tables!T57</f>
        <v>0</v>
      </c>
      <c r="U29" s="453">
        <f>Tables!U57</f>
        <v>0</v>
      </c>
      <c r="V29" s="453">
        <f>Tables!V57</f>
        <v>0</v>
      </c>
      <c r="W29" s="453">
        <f>Tables!W57</f>
        <v>0</v>
      </c>
      <c r="X29" s="453">
        <f>Tables!X57</f>
        <v>0</v>
      </c>
      <c r="Y29" s="453">
        <f>Tables!Y57</f>
        <v>0</v>
      </c>
      <c r="Z29" s="453">
        <f>Tables!Z57</f>
        <v>0</v>
      </c>
      <c r="AA29" s="453">
        <f>Tables!AA57</f>
        <v>0</v>
      </c>
      <c r="AB29" s="453">
        <f>Tables!AB57</f>
        <v>0</v>
      </c>
      <c r="AC29" s="453">
        <f>Tables!AC57</f>
        <v>0</v>
      </c>
    </row>
    <row r="30" spans="1:29">
      <c r="B30" s="453">
        <f>Tables!B58</f>
        <v>0</v>
      </c>
      <c r="C30" s="453">
        <f>Tables!C58</f>
        <v>0</v>
      </c>
      <c r="D30" s="453">
        <f>Tables!D58</f>
        <v>0</v>
      </c>
      <c r="E30" s="453">
        <f>Tables!E58</f>
        <v>0</v>
      </c>
      <c r="F30" s="453">
        <f>Tables!F58</f>
        <v>0</v>
      </c>
      <c r="G30" s="453">
        <f>Tables!G58</f>
        <v>0</v>
      </c>
      <c r="H30" s="453">
        <f>Tables!H58</f>
        <v>0</v>
      </c>
      <c r="I30" s="453">
        <f>Tables!I58</f>
        <v>0</v>
      </c>
      <c r="J30" s="453">
        <f>Tables!J58</f>
        <v>0</v>
      </c>
      <c r="K30" s="453">
        <f>Tables!K58</f>
        <v>0</v>
      </c>
      <c r="L30" s="453">
        <f>Tables!L58</f>
        <v>0</v>
      </c>
      <c r="M30" s="453">
        <f>Tables!M58</f>
        <v>0</v>
      </c>
      <c r="N30" s="453">
        <f>Tables!N58</f>
        <v>0</v>
      </c>
      <c r="O30" s="453">
        <f>Tables!O58</f>
        <v>0</v>
      </c>
      <c r="P30" s="453">
        <f>Tables!P58</f>
        <v>0</v>
      </c>
      <c r="Q30" s="453">
        <f>Tables!Q58</f>
        <v>0</v>
      </c>
      <c r="R30" s="453">
        <f>Tables!R58</f>
        <v>0</v>
      </c>
      <c r="S30" s="453">
        <f>Tables!S58</f>
        <v>0</v>
      </c>
      <c r="T30" s="453">
        <f>Tables!T58</f>
        <v>0</v>
      </c>
      <c r="U30" s="453">
        <f>Tables!U58</f>
        <v>0</v>
      </c>
      <c r="V30" s="453">
        <f>Tables!V58</f>
        <v>0</v>
      </c>
      <c r="W30" s="453">
        <f>Tables!W58</f>
        <v>0</v>
      </c>
      <c r="X30" s="453">
        <f>Tables!X58</f>
        <v>0</v>
      </c>
      <c r="Y30" s="453">
        <f>Tables!Y58</f>
        <v>0</v>
      </c>
      <c r="Z30" s="453">
        <f>Tables!Z58</f>
        <v>0</v>
      </c>
      <c r="AA30" s="453">
        <f>Tables!AA58</f>
        <v>0</v>
      </c>
      <c r="AB30" s="453">
        <f>Tables!AB58</f>
        <v>0</v>
      </c>
      <c r="AC30" s="453">
        <f>Tables!AC58</f>
        <v>0</v>
      </c>
    </row>
    <row r="31" spans="1:29">
      <c r="B31" s="453">
        <f>Tables!B59</f>
        <v>0</v>
      </c>
      <c r="C31" s="453">
        <f>Tables!C59</f>
        <v>0</v>
      </c>
      <c r="D31" s="453">
        <f>Tables!D59</f>
        <v>0</v>
      </c>
      <c r="E31" s="453">
        <f>Tables!E59</f>
        <v>0</v>
      </c>
      <c r="F31" s="453">
        <f>Tables!F59</f>
        <v>0</v>
      </c>
      <c r="G31" s="453">
        <f>Tables!G59</f>
        <v>0</v>
      </c>
      <c r="H31" s="453">
        <f>Tables!H59</f>
        <v>0</v>
      </c>
      <c r="I31" s="453">
        <f>Tables!I59</f>
        <v>0</v>
      </c>
      <c r="J31" s="453">
        <f>Tables!J59</f>
        <v>0</v>
      </c>
      <c r="K31" s="453">
        <f>Tables!K59</f>
        <v>0</v>
      </c>
      <c r="L31" s="453">
        <f>Tables!L59</f>
        <v>0</v>
      </c>
      <c r="M31" s="453">
        <f>Tables!M59</f>
        <v>0</v>
      </c>
      <c r="N31" s="453">
        <f>Tables!N59</f>
        <v>0</v>
      </c>
      <c r="O31" s="453">
        <f>Tables!O59</f>
        <v>0</v>
      </c>
      <c r="P31" s="453">
        <f>Tables!P59</f>
        <v>0</v>
      </c>
      <c r="Q31" s="453">
        <f>Tables!Q59</f>
        <v>0</v>
      </c>
      <c r="R31" s="453">
        <f>Tables!R59</f>
        <v>0</v>
      </c>
      <c r="S31" s="453">
        <f>Tables!S59</f>
        <v>0</v>
      </c>
      <c r="T31" s="453">
        <f>Tables!T59</f>
        <v>0</v>
      </c>
      <c r="U31" s="453">
        <f>Tables!U59</f>
        <v>0</v>
      </c>
      <c r="V31" s="453">
        <f>Tables!V59</f>
        <v>0</v>
      </c>
      <c r="W31" s="453">
        <f>Tables!W59</f>
        <v>0</v>
      </c>
      <c r="X31" s="453">
        <f>Tables!X59</f>
        <v>0</v>
      </c>
      <c r="Y31" s="453">
        <f>Tables!Y59</f>
        <v>0</v>
      </c>
      <c r="Z31" s="453">
        <f>Tables!Z59</f>
        <v>0</v>
      </c>
      <c r="AA31" s="453">
        <f>Tables!AA59</f>
        <v>0</v>
      </c>
      <c r="AB31" s="453">
        <f>Tables!AB59</f>
        <v>0</v>
      </c>
      <c r="AC31" s="453">
        <f>Tables!AC59</f>
        <v>0</v>
      </c>
    </row>
    <row r="32" spans="1:29">
      <c r="B32" s="453">
        <f>Tables!B60</f>
        <v>0</v>
      </c>
      <c r="C32" s="453">
        <f>Tables!C60</f>
        <v>0</v>
      </c>
      <c r="D32" s="453">
        <f>Tables!D60</f>
        <v>0</v>
      </c>
      <c r="E32" s="453">
        <f>Tables!E60</f>
        <v>0</v>
      </c>
      <c r="F32" s="453">
        <f>Tables!F60</f>
        <v>0</v>
      </c>
      <c r="G32" s="453">
        <f>Tables!G60</f>
        <v>0</v>
      </c>
      <c r="H32" s="453">
        <f>Tables!H60</f>
        <v>0</v>
      </c>
      <c r="I32" s="453">
        <f>Tables!I60</f>
        <v>0</v>
      </c>
      <c r="J32" s="453">
        <f>Tables!J60</f>
        <v>0</v>
      </c>
      <c r="K32" s="453">
        <f>Tables!K60</f>
        <v>0</v>
      </c>
      <c r="L32" s="453">
        <f>Tables!L60</f>
        <v>0</v>
      </c>
      <c r="M32" s="453">
        <f>Tables!M60</f>
        <v>0</v>
      </c>
      <c r="N32" s="453">
        <f>Tables!N60</f>
        <v>0</v>
      </c>
      <c r="O32" s="453">
        <f>Tables!O60</f>
        <v>0</v>
      </c>
      <c r="P32" s="453">
        <f>Tables!P60</f>
        <v>0</v>
      </c>
      <c r="Q32" s="453">
        <f>Tables!Q60</f>
        <v>0</v>
      </c>
      <c r="R32" s="453">
        <f>Tables!R60</f>
        <v>0</v>
      </c>
      <c r="S32" s="453">
        <f>Tables!S60</f>
        <v>0</v>
      </c>
      <c r="T32" s="453">
        <f>Tables!T60</f>
        <v>0</v>
      </c>
      <c r="U32" s="453">
        <f>Tables!U60</f>
        <v>0</v>
      </c>
      <c r="V32" s="453">
        <f>Tables!V60</f>
        <v>0</v>
      </c>
      <c r="W32" s="453">
        <f>Tables!W60</f>
        <v>0</v>
      </c>
      <c r="X32" s="453">
        <f>Tables!X60</f>
        <v>0</v>
      </c>
      <c r="Y32" s="453">
        <f>Tables!Y60</f>
        <v>0</v>
      </c>
      <c r="Z32" s="453">
        <f>Tables!Z60</f>
        <v>0</v>
      </c>
      <c r="AA32" s="453">
        <f>Tables!AA60</f>
        <v>0</v>
      </c>
      <c r="AB32" s="453">
        <f>Tables!AB60</f>
        <v>0</v>
      </c>
      <c r="AC32" s="453">
        <f>Tables!AC60</f>
        <v>0</v>
      </c>
    </row>
    <row r="33" spans="2:29">
      <c r="B33" s="453">
        <f>Tables!B61</f>
        <v>0</v>
      </c>
      <c r="C33" s="453">
        <f>Tables!C61</f>
        <v>0</v>
      </c>
      <c r="D33" s="453">
        <f>Tables!D61</f>
        <v>0</v>
      </c>
      <c r="E33" s="453">
        <f>Tables!E61</f>
        <v>0</v>
      </c>
      <c r="F33" s="453">
        <f>Tables!F61</f>
        <v>0</v>
      </c>
      <c r="G33" s="453">
        <f>Tables!G61</f>
        <v>0</v>
      </c>
      <c r="H33" s="453">
        <f>Tables!H61</f>
        <v>0</v>
      </c>
      <c r="I33" s="453">
        <f>Tables!I61</f>
        <v>0</v>
      </c>
      <c r="J33" s="453">
        <f>Tables!J61</f>
        <v>0</v>
      </c>
      <c r="K33" s="453">
        <f>Tables!K61</f>
        <v>0</v>
      </c>
      <c r="L33" s="453">
        <f>Tables!L61</f>
        <v>0</v>
      </c>
      <c r="M33" s="453">
        <f>Tables!M61</f>
        <v>0</v>
      </c>
      <c r="N33" s="453">
        <f>Tables!N61</f>
        <v>0</v>
      </c>
      <c r="O33" s="453">
        <f>Tables!O61</f>
        <v>0</v>
      </c>
      <c r="P33" s="453">
        <f>Tables!P61</f>
        <v>0</v>
      </c>
      <c r="Q33" s="453">
        <f>Tables!Q61</f>
        <v>0</v>
      </c>
      <c r="R33" s="453">
        <f>Tables!R61</f>
        <v>0</v>
      </c>
      <c r="S33" s="453">
        <f>Tables!S61</f>
        <v>0</v>
      </c>
      <c r="T33" s="453">
        <f>Tables!T61</f>
        <v>0</v>
      </c>
      <c r="U33" s="453">
        <f>Tables!U61</f>
        <v>0</v>
      </c>
      <c r="V33" s="453">
        <f>Tables!V61</f>
        <v>0</v>
      </c>
      <c r="W33" s="453">
        <f>Tables!W61</f>
        <v>0</v>
      </c>
      <c r="X33" s="453">
        <f>Tables!X61</f>
        <v>0</v>
      </c>
      <c r="Y33" s="453">
        <f>Tables!Y61</f>
        <v>0</v>
      </c>
      <c r="Z33" s="453">
        <f>Tables!Z61</f>
        <v>0</v>
      </c>
      <c r="AA33" s="453">
        <f>Tables!AA61</f>
        <v>0</v>
      </c>
      <c r="AB33" s="453">
        <f>Tables!AB61</f>
        <v>0</v>
      </c>
      <c r="AC33" s="453">
        <f>Tables!AC61</f>
        <v>0</v>
      </c>
    </row>
    <row r="34" spans="2:29">
      <c r="B34" s="453">
        <f>Tables!B62</f>
        <v>0</v>
      </c>
      <c r="C34" s="453">
        <f>Tables!C62</f>
        <v>0</v>
      </c>
      <c r="D34" s="453">
        <f>Tables!D62</f>
        <v>0</v>
      </c>
      <c r="E34" s="453">
        <f>Tables!E62</f>
        <v>0</v>
      </c>
      <c r="F34" s="453">
        <f>Tables!F62</f>
        <v>0</v>
      </c>
      <c r="G34" s="453">
        <f>Tables!G62</f>
        <v>0</v>
      </c>
      <c r="H34" s="453">
        <f>Tables!H62</f>
        <v>0</v>
      </c>
      <c r="I34" s="453">
        <f>Tables!I62</f>
        <v>0</v>
      </c>
      <c r="J34" s="453">
        <f>Tables!J62</f>
        <v>0</v>
      </c>
      <c r="K34" s="453">
        <f>Tables!K62</f>
        <v>0</v>
      </c>
      <c r="L34" s="453">
        <f>Tables!L62</f>
        <v>0</v>
      </c>
      <c r="M34" s="453">
        <f>Tables!M62</f>
        <v>0</v>
      </c>
      <c r="N34" s="453">
        <f>Tables!N62</f>
        <v>0</v>
      </c>
      <c r="O34" s="453">
        <f>Tables!O62</f>
        <v>0</v>
      </c>
      <c r="P34" s="453">
        <f>Tables!P62</f>
        <v>0</v>
      </c>
      <c r="Q34" s="453">
        <f>Tables!Q62</f>
        <v>0</v>
      </c>
      <c r="R34" s="453">
        <f>Tables!R62</f>
        <v>0</v>
      </c>
      <c r="S34" s="453">
        <f>Tables!S62</f>
        <v>0</v>
      </c>
      <c r="T34" s="453">
        <f>Tables!T62</f>
        <v>0</v>
      </c>
      <c r="U34" s="453">
        <f>Tables!U62</f>
        <v>0</v>
      </c>
      <c r="V34" s="453">
        <f>Tables!V62</f>
        <v>0</v>
      </c>
      <c r="W34" s="453">
        <f>Tables!W62</f>
        <v>0</v>
      </c>
      <c r="X34" s="453">
        <f>Tables!X62</f>
        <v>0</v>
      </c>
      <c r="Y34" s="453">
        <f>Tables!Y62</f>
        <v>0</v>
      </c>
      <c r="Z34" s="453">
        <f>Tables!Z62</f>
        <v>0</v>
      </c>
      <c r="AA34" s="453">
        <f>Tables!AA62</f>
        <v>0</v>
      </c>
      <c r="AB34" s="453">
        <f>Tables!AB62</f>
        <v>0</v>
      </c>
      <c r="AC34" s="453">
        <f>Tables!AC62</f>
        <v>0</v>
      </c>
    </row>
    <row r="35" spans="2:29">
      <c r="B35" s="453">
        <f>Tables!B63</f>
        <v>0</v>
      </c>
      <c r="C35" s="453">
        <f>Tables!C63</f>
        <v>0</v>
      </c>
      <c r="D35" s="453">
        <f>Tables!D63</f>
        <v>0</v>
      </c>
      <c r="E35" s="453">
        <f>Tables!E63</f>
        <v>0</v>
      </c>
      <c r="F35" s="453">
        <f>Tables!F63</f>
        <v>0</v>
      </c>
      <c r="G35" s="453">
        <f>Tables!G63</f>
        <v>0</v>
      </c>
      <c r="H35" s="453">
        <f>Tables!H63</f>
        <v>0</v>
      </c>
      <c r="I35" s="453">
        <f>Tables!I63</f>
        <v>0</v>
      </c>
      <c r="J35" s="453">
        <f>Tables!J63</f>
        <v>0</v>
      </c>
      <c r="K35" s="453">
        <f>Tables!K63</f>
        <v>0</v>
      </c>
      <c r="L35" s="453">
        <f>Tables!L63</f>
        <v>0</v>
      </c>
      <c r="M35" s="453">
        <f>Tables!M63</f>
        <v>0</v>
      </c>
      <c r="N35" s="453">
        <f>Tables!N63</f>
        <v>0</v>
      </c>
      <c r="O35" s="453">
        <f>Tables!O63</f>
        <v>0</v>
      </c>
      <c r="P35" s="453">
        <f>Tables!P63</f>
        <v>0</v>
      </c>
      <c r="Q35" s="453">
        <f>Tables!Q63</f>
        <v>0</v>
      </c>
      <c r="R35" s="453">
        <f>Tables!R63</f>
        <v>0</v>
      </c>
      <c r="S35" s="453">
        <f>Tables!S63</f>
        <v>0</v>
      </c>
      <c r="T35" s="453">
        <f>Tables!T63</f>
        <v>0</v>
      </c>
      <c r="U35" s="453">
        <f>Tables!U63</f>
        <v>0</v>
      </c>
      <c r="V35" s="453">
        <f>Tables!V63</f>
        <v>0</v>
      </c>
      <c r="W35" s="453">
        <f>Tables!W63</f>
        <v>0</v>
      </c>
      <c r="X35" s="453">
        <f>Tables!X63</f>
        <v>0</v>
      </c>
      <c r="Y35" s="453">
        <f>Tables!Y63</f>
        <v>0</v>
      </c>
      <c r="Z35" s="453">
        <f>Tables!Z63</f>
        <v>0</v>
      </c>
      <c r="AA35" s="453">
        <f>Tables!AA63</f>
        <v>0</v>
      </c>
      <c r="AB35" s="453">
        <f>Tables!AB63</f>
        <v>0</v>
      </c>
      <c r="AC35" s="453">
        <f>Tables!AC63</f>
        <v>0</v>
      </c>
    </row>
    <row r="36" spans="2:29">
      <c r="B36" s="453">
        <f>Tables!B64</f>
        <v>0</v>
      </c>
      <c r="C36" s="453">
        <f>Tables!C64</f>
        <v>0</v>
      </c>
      <c r="D36" s="453">
        <f>Tables!D64</f>
        <v>0</v>
      </c>
      <c r="E36" s="453">
        <f>Tables!E64</f>
        <v>0</v>
      </c>
      <c r="F36" s="453">
        <f>Tables!F64</f>
        <v>0</v>
      </c>
      <c r="G36" s="453">
        <f>Tables!G64</f>
        <v>0</v>
      </c>
      <c r="H36" s="453">
        <f>Tables!H64</f>
        <v>0</v>
      </c>
      <c r="I36" s="453">
        <f>Tables!I64</f>
        <v>0</v>
      </c>
      <c r="J36" s="453">
        <f>Tables!J64</f>
        <v>0</v>
      </c>
      <c r="K36" s="453">
        <f>Tables!K64</f>
        <v>0</v>
      </c>
      <c r="L36" s="453">
        <f>Tables!L64</f>
        <v>0</v>
      </c>
      <c r="M36" s="453">
        <f>Tables!M64</f>
        <v>0</v>
      </c>
      <c r="N36" s="453">
        <f>Tables!N64</f>
        <v>0</v>
      </c>
      <c r="O36" s="453">
        <f>Tables!O64</f>
        <v>0</v>
      </c>
      <c r="P36" s="453">
        <f>Tables!P64</f>
        <v>0</v>
      </c>
      <c r="Q36" s="453">
        <f>Tables!Q64</f>
        <v>0</v>
      </c>
      <c r="R36" s="453">
        <f>Tables!R64</f>
        <v>0</v>
      </c>
      <c r="S36" s="453">
        <f>Tables!S64</f>
        <v>0</v>
      </c>
      <c r="T36" s="453">
        <f>Tables!T64</f>
        <v>0</v>
      </c>
      <c r="U36" s="453">
        <f>Tables!U64</f>
        <v>0</v>
      </c>
      <c r="V36" s="453">
        <f>Tables!V64</f>
        <v>0</v>
      </c>
      <c r="W36" s="453">
        <f>Tables!W64</f>
        <v>0</v>
      </c>
      <c r="X36" s="453">
        <f>Tables!X64</f>
        <v>0</v>
      </c>
      <c r="Y36" s="453">
        <f>Tables!Y64</f>
        <v>0</v>
      </c>
      <c r="Z36" s="453">
        <f>Tables!Z64</f>
        <v>0</v>
      </c>
      <c r="AA36" s="453">
        <f>Tables!AA64</f>
        <v>0</v>
      </c>
      <c r="AB36" s="453">
        <f>Tables!AB64</f>
        <v>0</v>
      </c>
      <c r="AC36" s="453">
        <f>Tables!AC64</f>
        <v>0</v>
      </c>
    </row>
    <row r="37" spans="2:29">
      <c r="B37" s="453">
        <f>Tables!B65</f>
        <v>0</v>
      </c>
      <c r="C37" s="453">
        <f>Tables!C65</f>
        <v>0</v>
      </c>
      <c r="D37" s="453">
        <f>Tables!D65</f>
        <v>0</v>
      </c>
      <c r="E37" s="453">
        <f>Tables!E65</f>
        <v>0</v>
      </c>
      <c r="F37" s="453">
        <f>Tables!F65</f>
        <v>0</v>
      </c>
      <c r="G37" s="453">
        <f>Tables!G65</f>
        <v>0</v>
      </c>
      <c r="H37" s="453">
        <f>Tables!H65</f>
        <v>0</v>
      </c>
      <c r="I37" s="453">
        <f>Tables!I65</f>
        <v>0</v>
      </c>
      <c r="J37" s="453">
        <f>Tables!J65</f>
        <v>0</v>
      </c>
      <c r="K37" s="453">
        <f>Tables!K65</f>
        <v>0</v>
      </c>
      <c r="L37" s="453">
        <f>Tables!L65</f>
        <v>0</v>
      </c>
      <c r="M37" s="453">
        <f>Tables!M65</f>
        <v>0</v>
      </c>
      <c r="N37" s="453">
        <f>Tables!N65</f>
        <v>0</v>
      </c>
      <c r="O37" s="453">
        <f>Tables!O65</f>
        <v>0</v>
      </c>
      <c r="P37" s="453">
        <f>Tables!P65</f>
        <v>0</v>
      </c>
      <c r="Q37" s="453">
        <f>Tables!Q65</f>
        <v>0</v>
      </c>
      <c r="R37" s="453">
        <f>Tables!R65</f>
        <v>0</v>
      </c>
      <c r="S37" s="453">
        <f>Tables!S65</f>
        <v>0</v>
      </c>
      <c r="T37" s="453">
        <f>Tables!T65</f>
        <v>0</v>
      </c>
      <c r="U37" s="453">
        <f>Tables!U65</f>
        <v>0</v>
      </c>
      <c r="V37" s="453">
        <f>Tables!V65</f>
        <v>0</v>
      </c>
      <c r="W37" s="453">
        <f>Tables!W65</f>
        <v>0</v>
      </c>
      <c r="X37" s="453">
        <f>Tables!X65</f>
        <v>0</v>
      </c>
      <c r="Y37" s="453">
        <f>Tables!Y65</f>
        <v>0</v>
      </c>
      <c r="Z37" s="453">
        <f>Tables!Z65</f>
        <v>0</v>
      </c>
      <c r="AA37" s="453">
        <f>Tables!AA65</f>
        <v>0</v>
      </c>
      <c r="AB37" s="453">
        <f>Tables!AB65</f>
        <v>0</v>
      </c>
      <c r="AC37" s="453">
        <f>Tables!AC65</f>
        <v>0</v>
      </c>
    </row>
    <row r="38" spans="2:29">
      <c r="B38" s="453">
        <f>Tables!B66</f>
        <v>0</v>
      </c>
      <c r="C38" s="453">
        <f>Tables!C66</f>
        <v>0</v>
      </c>
      <c r="D38" s="453">
        <f>Tables!D66</f>
        <v>0</v>
      </c>
      <c r="E38" s="453">
        <f>Tables!E66</f>
        <v>0</v>
      </c>
      <c r="F38" s="453">
        <f>Tables!F66</f>
        <v>0</v>
      </c>
      <c r="G38" s="453">
        <f>Tables!G66</f>
        <v>0</v>
      </c>
      <c r="H38" s="453">
        <f>Tables!H66</f>
        <v>0</v>
      </c>
      <c r="I38" s="453">
        <f>Tables!I66</f>
        <v>0</v>
      </c>
      <c r="J38" s="453">
        <f>Tables!J66</f>
        <v>0</v>
      </c>
      <c r="K38" s="453">
        <f>Tables!K66</f>
        <v>0</v>
      </c>
      <c r="L38" s="453">
        <f>Tables!L66</f>
        <v>0</v>
      </c>
      <c r="M38" s="453">
        <f>Tables!M66</f>
        <v>0</v>
      </c>
      <c r="N38" s="453">
        <f>Tables!N66</f>
        <v>0</v>
      </c>
      <c r="O38" s="453">
        <f>Tables!O66</f>
        <v>0</v>
      </c>
      <c r="P38" s="453">
        <f>Tables!P66</f>
        <v>0</v>
      </c>
      <c r="Q38" s="453">
        <f>Tables!Q66</f>
        <v>0</v>
      </c>
      <c r="R38" s="453">
        <f>Tables!R66</f>
        <v>0</v>
      </c>
      <c r="S38" s="453">
        <f>Tables!S66</f>
        <v>0</v>
      </c>
      <c r="T38" s="453">
        <f>Tables!T66</f>
        <v>0</v>
      </c>
      <c r="U38" s="453">
        <f>Tables!U66</f>
        <v>0</v>
      </c>
      <c r="V38" s="453">
        <f>Tables!V66</f>
        <v>0</v>
      </c>
      <c r="W38" s="453">
        <f>Tables!W66</f>
        <v>0</v>
      </c>
      <c r="X38" s="453">
        <f>Tables!X66</f>
        <v>0</v>
      </c>
      <c r="Y38" s="453">
        <f>Tables!Y66</f>
        <v>0</v>
      </c>
      <c r="Z38" s="453">
        <f>Tables!Z66</f>
        <v>0</v>
      </c>
      <c r="AA38" s="453">
        <f>Tables!AA66</f>
        <v>0</v>
      </c>
      <c r="AB38" s="453">
        <f>Tables!AB66</f>
        <v>0</v>
      </c>
      <c r="AC38" s="453">
        <f>Tables!AC66</f>
        <v>0</v>
      </c>
    </row>
    <row r="39" spans="2:29">
      <c r="B39" s="453">
        <f>Tables!B67</f>
        <v>0</v>
      </c>
      <c r="C39" s="453">
        <f>Tables!C67</f>
        <v>0</v>
      </c>
      <c r="D39" s="453">
        <f>Tables!D67</f>
        <v>0</v>
      </c>
      <c r="E39" s="453">
        <f>Tables!E67</f>
        <v>0</v>
      </c>
      <c r="F39" s="453">
        <f>Tables!F67</f>
        <v>0</v>
      </c>
      <c r="G39" s="453">
        <f>Tables!G67</f>
        <v>0</v>
      </c>
      <c r="H39" s="453">
        <f>Tables!H67</f>
        <v>0</v>
      </c>
      <c r="I39" s="453">
        <f>Tables!I67</f>
        <v>0</v>
      </c>
      <c r="J39" s="453">
        <f>Tables!J67</f>
        <v>0</v>
      </c>
      <c r="K39" s="453">
        <f>Tables!K67</f>
        <v>0</v>
      </c>
      <c r="L39" s="453">
        <f>Tables!L67</f>
        <v>0</v>
      </c>
      <c r="M39" s="453">
        <f>Tables!M67</f>
        <v>0</v>
      </c>
      <c r="N39" s="453">
        <f>Tables!N67</f>
        <v>0</v>
      </c>
      <c r="O39" s="453">
        <f>Tables!O67</f>
        <v>0</v>
      </c>
      <c r="P39" s="453">
        <f>Tables!P67</f>
        <v>0</v>
      </c>
      <c r="Q39" s="453">
        <f>Tables!Q67</f>
        <v>0</v>
      </c>
      <c r="R39" s="453">
        <f>Tables!R67</f>
        <v>0</v>
      </c>
      <c r="S39" s="453">
        <f>Tables!S67</f>
        <v>0</v>
      </c>
      <c r="T39" s="453">
        <f>Tables!T67</f>
        <v>0</v>
      </c>
      <c r="U39" s="453">
        <f>Tables!U67</f>
        <v>0</v>
      </c>
      <c r="V39" s="453">
        <f>Tables!V67</f>
        <v>0</v>
      </c>
      <c r="W39" s="453">
        <f>Tables!W67</f>
        <v>0</v>
      </c>
      <c r="X39" s="453">
        <f>Tables!X67</f>
        <v>0</v>
      </c>
      <c r="Y39" s="453">
        <f>Tables!Y67</f>
        <v>0</v>
      </c>
      <c r="Z39" s="453">
        <f>Tables!Z67</f>
        <v>0</v>
      </c>
      <c r="AA39" s="453">
        <f>Tables!AA67</f>
        <v>0</v>
      </c>
      <c r="AB39" s="453">
        <f>Tables!AB67</f>
        <v>0</v>
      </c>
      <c r="AC39" s="453">
        <f>Tables!AC67</f>
        <v>0</v>
      </c>
    </row>
    <row r="40" spans="2:29">
      <c r="B40" s="453">
        <f>Tables!B68</f>
        <v>0</v>
      </c>
      <c r="C40" s="453">
        <f>Tables!C68</f>
        <v>0</v>
      </c>
      <c r="D40" s="453">
        <f>Tables!D68</f>
        <v>0</v>
      </c>
      <c r="E40" s="453">
        <f>Tables!E68</f>
        <v>0</v>
      </c>
      <c r="F40" s="453">
        <f>Tables!F68</f>
        <v>0</v>
      </c>
      <c r="G40" s="453">
        <f>Tables!G68</f>
        <v>0</v>
      </c>
      <c r="H40" s="453">
        <f>Tables!H68</f>
        <v>0</v>
      </c>
      <c r="I40" s="453">
        <f>Tables!I68</f>
        <v>0</v>
      </c>
      <c r="J40" s="453">
        <f>Tables!J68</f>
        <v>0</v>
      </c>
      <c r="K40" s="453">
        <f>Tables!K68</f>
        <v>0</v>
      </c>
      <c r="L40" s="453">
        <f>Tables!L68</f>
        <v>0</v>
      </c>
      <c r="M40" s="453">
        <f>Tables!M68</f>
        <v>0</v>
      </c>
      <c r="N40" s="453">
        <f>Tables!N68</f>
        <v>0</v>
      </c>
      <c r="O40" s="453">
        <f>Tables!O68</f>
        <v>0</v>
      </c>
      <c r="P40" s="453">
        <f>Tables!P68</f>
        <v>0</v>
      </c>
      <c r="Q40" s="453">
        <f>Tables!Q68</f>
        <v>0</v>
      </c>
      <c r="R40" s="453">
        <f>Tables!R68</f>
        <v>0</v>
      </c>
      <c r="S40" s="453">
        <f>Tables!S68</f>
        <v>0</v>
      </c>
      <c r="T40" s="453">
        <f>Tables!T68</f>
        <v>0</v>
      </c>
      <c r="U40" s="453">
        <f>Tables!U68</f>
        <v>0</v>
      </c>
      <c r="V40" s="453">
        <f>Tables!V68</f>
        <v>0</v>
      </c>
      <c r="W40" s="453">
        <f>Tables!W68</f>
        <v>0</v>
      </c>
      <c r="X40" s="453">
        <f>Tables!X68</f>
        <v>0</v>
      </c>
      <c r="Y40" s="453">
        <f>Tables!Y68</f>
        <v>0</v>
      </c>
      <c r="Z40" s="453">
        <f>Tables!Z68</f>
        <v>0</v>
      </c>
      <c r="AA40" s="453">
        <f>Tables!AA68</f>
        <v>0</v>
      </c>
      <c r="AB40" s="453">
        <f>Tables!AB68</f>
        <v>0</v>
      </c>
      <c r="AC40" s="453">
        <f>Tables!AC68</f>
        <v>0</v>
      </c>
    </row>
    <row r="41" spans="2:29">
      <c r="B41" s="453">
        <f>Tables!B69</f>
        <v>0</v>
      </c>
      <c r="C41" s="453">
        <f>Tables!C69</f>
        <v>0</v>
      </c>
      <c r="D41" s="453">
        <f>Tables!D69</f>
        <v>0</v>
      </c>
      <c r="E41" s="453">
        <f>Tables!E69</f>
        <v>0</v>
      </c>
      <c r="F41" s="453">
        <f>Tables!F69</f>
        <v>0</v>
      </c>
      <c r="G41" s="453">
        <f>Tables!G69</f>
        <v>0</v>
      </c>
      <c r="H41" s="453">
        <f>Tables!H69</f>
        <v>0</v>
      </c>
      <c r="I41" s="453">
        <f>Tables!I69</f>
        <v>0</v>
      </c>
      <c r="J41" s="453">
        <f>Tables!J69</f>
        <v>0</v>
      </c>
      <c r="K41" s="453">
        <f>Tables!K69</f>
        <v>0</v>
      </c>
      <c r="L41" s="453">
        <f>Tables!L69</f>
        <v>0</v>
      </c>
      <c r="M41" s="453">
        <f>Tables!M69</f>
        <v>0</v>
      </c>
      <c r="N41" s="453">
        <f>Tables!N69</f>
        <v>0</v>
      </c>
      <c r="O41" s="453">
        <f>Tables!O69</f>
        <v>0</v>
      </c>
      <c r="P41" s="453">
        <f>Tables!P69</f>
        <v>0</v>
      </c>
      <c r="Q41" s="453">
        <f>Tables!Q69</f>
        <v>0</v>
      </c>
      <c r="R41" s="453">
        <f>Tables!R69</f>
        <v>0</v>
      </c>
      <c r="S41" s="453">
        <f>Tables!S69</f>
        <v>0</v>
      </c>
      <c r="T41" s="453">
        <f>Tables!T69</f>
        <v>0</v>
      </c>
      <c r="U41" s="453">
        <f>Tables!U69</f>
        <v>0</v>
      </c>
      <c r="V41" s="453">
        <f>Tables!V69</f>
        <v>0</v>
      </c>
      <c r="W41" s="453">
        <f>Tables!W69</f>
        <v>0</v>
      </c>
      <c r="X41" s="453">
        <f>Tables!X69</f>
        <v>0</v>
      </c>
      <c r="Y41" s="453">
        <f>Tables!Y69</f>
        <v>0</v>
      </c>
      <c r="Z41" s="453">
        <f>Tables!Z69</f>
        <v>0</v>
      </c>
      <c r="AA41" s="453">
        <f>Tables!AA69</f>
        <v>0</v>
      </c>
      <c r="AB41" s="453">
        <f>Tables!AB69</f>
        <v>0</v>
      </c>
      <c r="AC41" s="453">
        <f>Tables!AC69</f>
        <v>0</v>
      </c>
    </row>
    <row r="42" spans="2:29">
      <c r="B42" s="453">
        <f>Tables!B70</f>
        <v>0</v>
      </c>
      <c r="C42" s="453">
        <f>Tables!C70</f>
        <v>0</v>
      </c>
      <c r="D42" s="453">
        <f>Tables!D70</f>
        <v>0</v>
      </c>
      <c r="E42" s="453">
        <f>Tables!E70</f>
        <v>0</v>
      </c>
      <c r="F42" s="453">
        <f>Tables!F70</f>
        <v>0</v>
      </c>
      <c r="G42" s="453">
        <f>Tables!G70</f>
        <v>0</v>
      </c>
      <c r="H42" s="453">
        <f>Tables!H70</f>
        <v>0</v>
      </c>
      <c r="I42" s="453">
        <f>Tables!I70</f>
        <v>0</v>
      </c>
      <c r="J42" s="453">
        <f>Tables!J70</f>
        <v>0</v>
      </c>
      <c r="K42" s="453">
        <f>Tables!K70</f>
        <v>0</v>
      </c>
      <c r="L42" s="453">
        <f>Tables!L70</f>
        <v>0</v>
      </c>
      <c r="M42" s="453">
        <f>Tables!M70</f>
        <v>0</v>
      </c>
      <c r="N42" s="453">
        <f>Tables!N70</f>
        <v>0</v>
      </c>
      <c r="O42" s="453">
        <f>Tables!O70</f>
        <v>0</v>
      </c>
      <c r="P42" s="453">
        <f>Tables!P70</f>
        <v>0</v>
      </c>
      <c r="Q42" s="453">
        <f>Tables!Q70</f>
        <v>0</v>
      </c>
      <c r="R42" s="453">
        <f>Tables!R70</f>
        <v>0</v>
      </c>
      <c r="S42" s="453">
        <f>Tables!S70</f>
        <v>0</v>
      </c>
      <c r="T42" s="453">
        <f>Tables!T70</f>
        <v>0</v>
      </c>
      <c r="U42" s="453">
        <f>Tables!U70</f>
        <v>0</v>
      </c>
      <c r="V42" s="453">
        <f>Tables!V70</f>
        <v>0</v>
      </c>
      <c r="W42" s="453">
        <f>Tables!W70</f>
        <v>0</v>
      </c>
      <c r="X42" s="453">
        <f>Tables!X70</f>
        <v>0</v>
      </c>
      <c r="Y42" s="453">
        <f>Tables!Y70</f>
        <v>0</v>
      </c>
      <c r="Z42" s="453">
        <f>Tables!Z70</f>
        <v>0</v>
      </c>
      <c r="AA42" s="453">
        <f>Tables!AA70</f>
        <v>0</v>
      </c>
      <c r="AB42" s="453">
        <f>Tables!AB70</f>
        <v>0</v>
      </c>
      <c r="AC42" s="453">
        <f>Tables!AC70</f>
        <v>0</v>
      </c>
    </row>
    <row r="43" spans="2:29">
      <c r="B43" s="453">
        <f>Tables!B71</f>
        <v>0</v>
      </c>
      <c r="C43" s="453">
        <f>Tables!C71</f>
        <v>0</v>
      </c>
      <c r="D43" s="453">
        <f>Tables!D71</f>
        <v>0</v>
      </c>
      <c r="E43" s="453">
        <f>Tables!E71</f>
        <v>0</v>
      </c>
      <c r="F43" s="453">
        <f>Tables!F71</f>
        <v>0</v>
      </c>
      <c r="G43" s="453">
        <f>Tables!G71</f>
        <v>0</v>
      </c>
      <c r="H43" s="453">
        <f>Tables!H71</f>
        <v>0</v>
      </c>
      <c r="I43" s="453">
        <f>Tables!I71</f>
        <v>0</v>
      </c>
      <c r="J43" s="453">
        <f>Tables!J71</f>
        <v>0</v>
      </c>
      <c r="K43" s="453">
        <f>Tables!K71</f>
        <v>0</v>
      </c>
      <c r="L43" s="453">
        <f>Tables!L71</f>
        <v>0</v>
      </c>
      <c r="M43" s="453">
        <f>Tables!M71</f>
        <v>0</v>
      </c>
      <c r="N43" s="453">
        <f>Tables!N71</f>
        <v>0</v>
      </c>
      <c r="O43" s="453">
        <f>Tables!O71</f>
        <v>0</v>
      </c>
      <c r="P43" s="453">
        <f>Tables!P71</f>
        <v>0</v>
      </c>
      <c r="Q43" s="453">
        <f>Tables!Q71</f>
        <v>0</v>
      </c>
      <c r="R43" s="453">
        <f>Tables!R71</f>
        <v>0</v>
      </c>
      <c r="S43" s="453">
        <f>Tables!S71</f>
        <v>0</v>
      </c>
      <c r="T43" s="453">
        <f>Tables!T71</f>
        <v>0</v>
      </c>
      <c r="U43" s="453">
        <f>Tables!U71</f>
        <v>0</v>
      </c>
      <c r="V43" s="453">
        <f>Tables!V71</f>
        <v>0</v>
      </c>
      <c r="W43" s="453">
        <f>Tables!W71</f>
        <v>0</v>
      </c>
      <c r="X43" s="453">
        <f>Tables!X71</f>
        <v>0</v>
      </c>
      <c r="Y43" s="453">
        <f>Tables!Y71</f>
        <v>0</v>
      </c>
      <c r="Z43" s="453">
        <f>Tables!Z71</f>
        <v>0</v>
      </c>
      <c r="AA43" s="453">
        <f>Tables!AA71</f>
        <v>0</v>
      </c>
      <c r="AB43" s="453">
        <f>Tables!AB71</f>
        <v>0</v>
      </c>
      <c r="AC43" s="453">
        <f>Tables!AC71</f>
        <v>0</v>
      </c>
    </row>
    <row r="44" spans="2:29">
      <c r="B44" s="453">
        <f>Tables!B72</f>
        <v>0</v>
      </c>
      <c r="C44" s="453">
        <f>Tables!C72</f>
        <v>0</v>
      </c>
      <c r="D44" s="453">
        <f>Tables!D72</f>
        <v>0</v>
      </c>
      <c r="E44" s="453">
        <f>Tables!E72</f>
        <v>0</v>
      </c>
      <c r="F44" s="453">
        <f>Tables!F72</f>
        <v>0</v>
      </c>
      <c r="G44" s="453">
        <f>Tables!G72</f>
        <v>0</v>
      </c>
      <c r="H44" s="453">
        <f>Tables!H72</f>
        <v>0</v>
      </c>
      <c r="I44" s="453">
        <f>Tables!I72</f>
        <v>0</v>
      </c>
      <c r="J44" s="453">
        <f>Tables!J72</f>
        <v>0</v>
      </c>
      <c r="K44" s="453">
        <f>Tables!K72</f>
        <v>0</v>
      </c>
      <c r="L44" s="453">
        <f>Tables!L72</f>
        <v>0</v>
      </c>
      <c r="M44" s="453">
        <f>Tables!M72</f>
        <v>0</v>
      </c>
      <c r="N44" s="453">
        <f>Tables!N72</f>
        <v>0</v>
      </c>
      <c r="O44" s="453">
        <f>Tables!O72</f>
        <v>0</v>
      </c>
      <c r="P44" s="453">
        <f>Tables!P72</f>
        <v>0</v>
      </c>
      <c r="Q44" s="453">
        <f>Tables!Q72</f>
        <v>0</v>
      </c>
      <c r="R44" s="453">
        <f>Tables!R72</f>
        <v>0</v>
      </c>
      <c r="S44" s="453">
        <f>Tables!S72</f>
        <v>0</v>
      </c>
      <c r="T44" s="453">
        <f>Tables!T72</f>
        <v>0</v>
      </c>
      <c r="U44" s="453">
        <f>Tables!U72</f>
        <v>0</v>
      </c>
      <c r="V44" s="453">
        <f>Tables!V72</f>
        <v>0</v>
      </c>
      <c r="W44" s="453">
        <f>Tables!W72</f>
        <v>0</v>
      </c>
      <c r="X44" s="453">
        <f>Tables!X72</f>
        <v>0</v>
      </c>
      <c r="Y44" s="453">
        <f>Tables!Y72</f>
        <v>0</v>
      </c>
      <c r="Z44" s="453">
        <f>Tables!Z72</f>
        <v>0</v>
      </c>
      <c r="AA44" s="453">
        <f>Tables!AA72</f>
        <v>0</v>
      </c>
      <c r="AB44" s="453">
        <f>Tables!AB72</f>
        <v>0</v>
      </c>
      <c r="AC44" s="453">
        <f>Tables!AC72</f>
        <v>0</v>
      </c>
    </row>
    <row r="45" spans="2:29">
      <c r="B45" s="453">
        <f>Tables!B73</f>
        <v>0</v>
      </c>
      <c r="C45" s="453">
        <f>Tables!C73</f>
        <v>0</v>
      </c>
      <c r="D45" s="453">
        <f>Tables!D73</f>
        <v>0</v>
      </c>
      <c r="E45" s="453">
        <f>Tables!E73</f>
        <v>0</v>
      </c>
      <c r="F45" s="453">
        <f>Tables!F73</f>
        <v>0</v>
      </c>
      <c r="G45" s="453">
        <f>Tables!G73</f>
        <v>0</v>
      </c>
      <c r="H45" s="453">
        <f>Tables!H73</f>
        <v>0</v>
      </c>
      <c r="I45" s="453">
        <f>Tables!I73</f>
        <v>0</v>
      </c>
      <c r="J45" s="453">
        <f>Tables!J73</f>
        <v>0</v>
      </c>
      <c r="K45" s="453">
        <f>Tables!K73</f>
        <v>0</v>
      </c>
      <c r="L45" s="453">
        <f>Tables!L73</f>
        <v>0</v>
      </c>
      <c r="M45" s="453">
        <f>Tables!M73</f>
        <v>0</v>
      </c>
      <c r="N45" s="453">
        <f>Tables!N73</f>
        <v>0</v>
      </c>
      <c r="O45" s="453">
        <f>Tables!O73</f>
        <v>0</v>
      </c>
      <c r="P45" s="453">
        <f>Tables!P73</f>
        <v>0</v>
      </c>
      <c r="Q45" s="453">
        <f>Tables!Q73</f>
        <v>0</v>
      </c>
      <c r="R45" s="453">
        <f>Tables!R73</f>
        <v>0</v>
      </c>
      <c r="S45" s="453">
        <f>Tables!S73</f>
        <v>0</v>
      </c>
      <c r="T45" s="453">
        <f>Tables!T73</f>
        <v>0</v>
      </c>
      <c r="U45" s="453">
        <f>Tables!U73</f>
        <v>0</v>
      </c>
      <c r="V45" s="453">
        <f>Tables!V73</f>
        <v>0</v>
      </c>
      <c r="W45" s="453">
        <f>Tables!W73</f>
        <v>0</v>
      </c>
      <c r="X45" s="453">
        <f>Tables!X73</f>
        <v>0</v>
      </c>
      <c r="Y45" s="453">
        <f>Tables!Y73</f>
        <v>0</v>
      </c>
      <c r="Z45" s="453">
        <f>Tables!Z73</f>
        <v>0</v>
      </c>
      <c r="AA45" s="453">
        <f>Tables!AA73</f>
        <v>0</v>
      </c>
      <c r="AB45" s="453">
        <f>Tables!AB73</f>
        <v>0</v>
      </c>
      <c r="AC45" s="453">
        <f>Tables!AC73</f>
        <v>0</v>
      </c>
    </row>
    <row r="46" spans="2:29">
      <c r="B46" s="453">
        <f>Tables!B74</f>
        <v>0</v>
      </c>
      <c r="C46" s="453">
        <f>Tables!C74</f>
        <v>0</v>
      </c>
      <c r="D46" s="453">
        <f>Tables!D74</f>
        <v>0</v>
      </c>
      <c r="E46" s="453">
        <f>Tables!E74</f>
        <v>0</v>
      </c>
      <c r="F46" s="453">
        <f>Tables!F74</f>
        <v>0</v>
      </c>
      <c r="G46" s="453">
        <f>Tables!G74</f>
        <v>0</v>
      </c>
      <c r="H46" s="453">
        <f>Tables!H74</f>
        <v>0</v>
      </c>
      <c r="I46" s="453">
        <f>Tables!I74</f>
        <v>0</v>
      </c>
      <c r="J46" s="453">
        <f>Tables!J74</f>
        <v>0</v>
      </c>
      <c r="K46" s="453">
        <f>Tables!K74</f>
        <v>0</v>
      </c>
      <c r="L46" s="453">
        <f>Tables!L74</f>
        <v>0</v>
      </c>
      <c r="M46" s="453">
        <f>Tables!M74</f>
        <v>0</v>
      </c>
      <c r="N46" s="453">
        <f>Tables!N74</f>
        <v>0</v>
      </c>
      <c r="O46" s="453">
        <f>Tables!O74</f>
        <v>0</v>
      </c>
      <c r="P46" s="453">
        <f>Tables!P74</f>
        <v>0</v>
      </c>
      <c r="Q46" s="453">
        <f>Tables!Q74</f>
        <v>0</v>
      </c>
      <c r="R46" s="453">
        <f>Tables!R74</f>
        <v>0</v>
      </c>
      <c r="S46" s="453">
        <f>Tables!S74</f>
        <v>0</v>
      </c>
      <c r="T46" s="453">
        <f>Tables!T74</f>
        <v>0</v>
      </c>
      <c r="U46" s="453">
        <f>Tables!U74</f>
        <v>0</v>
      </c>
      <c r="V46" s="453">
        <f>Tables!V74</f>
        <v>0</v>
      </c>
      <c r="W46" s="453">
        <f>Tables!W74</f>
        <v>0</v>
      </c>
      <c r="X46" s="453">
        <f>Tables!X74</f>
        <v>0</v>
      </c>
      <c r="Y46" s="453">
        <f>Tables!Y74</f>
        <v>0</v>
      </c>
      <c r="Z46" s="453">
        <f>Tables!Z74</f>
        <v>0</v>
      </c>
      <c r="AA46" s="453">
        <f>Tables!AA74</f>
        <v>0</v>
      </c>
      <c r="AB46" s="453">
        <f>Tables!AB74</f>
        <v>0</v>
      </c>
      <c r="AC46" s="453">
        <f>Tables!AC74</f>
        <v>0</v>
      </c>
    </row>
    <row r="47" spans="2:29">
      <c r="B47" s="453">
        <f>Tables!B75</f>
        <v>0</v>
      </c>
      <c r="C47" s="453">
        <f>Tables!C75</f>
        <v>0</v>
      </c>
      <c r="D47" s="453">
        <f>Tables!D75</f>
        <v>0</v>
      </c>
      <c r="E47" s="453">
        <f>Tables!E75</f>
        <v>0</v>
      </c>
      <c r="F47" s="453">
        <f>Tables!F75</f>
        <v>0</v>
      </c>
      <c r="G47" s="453">
        <f>Tables!G75</f>
        <v>0</v>
      </c>
      <c r="H47" s="453">
        <f>Tables!H75</f>
        <v>0</v>
      </c>
      <c r="I47" s="453">
        <f>Tables!I75</f>
        <v>0</v>
      </c>
      <c r="J47" s="453">
        <f>Tables!J75</f>
        <v>0</v>
      </c>
      <c r="K47" s="453">
        <f>Tables!K75</f>
        <v>0</v>
      </c>
      <c r="L47" s="453">
        <f>Tables!L75</f>
        <v>0</v>
      </c>
      <c r="M47" s="453">
        <f>Tables!M75</f>
        <v>0</v>
      </c>
      <c r="N47" s="453">
        <f>Tables!N75</f>
        <v>0</v>
      </c>
      <c r="O47" s="453">
        <f>Tables!O75</f>
        <v>0</v>
      </c>
      <c r="P47" s="453">
        <f>Tables!P75</f>
        <v>0</v>
      </c>
      <c r="Q47" s="453">
        <f>Tables!Q75</f>
        <v>0</v>
      </c>
      <c r="R47" s="453">
        <f>Tables!R75</f>
        <v>0</v>
      </c>
      <c r="S47" s="453">
        <f>Tables!S75</f>
        <v>0</v>
      </c>
      <c r="T47" s="453">
        <f>Tables!T75</f>
        <v>0</v>
      </c>
      <c r="U47" s="453">
        <f>Tables!U75</f>
        <v>0</v>
      </c>
      <c r="V47" s="453">
        <f>Tables!V75</f>
        <v>0</v>
      </c>
      <c r="W47" s="453">
        <f>Tables!W75</f>
        <v>0</v>
      </c>
      <c r="X47" s="453">
        <f>Tables!X75</f>
        <v>0</v>
      </c>
      <c r="Y47" s="453">
        <f>Tables!Y75</f>
        <v>0</v>
      </c>
      <c r="Z47" s="453">
        <f>Tables!Z75</f>
        <v>0</v>
      </c>
      <c r="AA47" s="453">
        <f>Tables!AA75</f>
        <v>0</v>
      </c>
      <c r="AB47" s="453">
        <f>Tables!AB75</f>
        <v>0</v>
      </c>
      <c r="AC47" s="453">
        <f>Tables!AC75</f>
        <v>0</v>
      </c>
    </row>
    <row r="48" spans="2:29">
      <c r="B48" s="453">
        <f>Tables!B76</f>
        <v>0</v>
      </c>
      <c r="C48" s="453">
        <f>Tables!C76</f>
        <v>0</v>
      </c>
      <c r="D48" s="453">
        <f>Tables!D76</f>
        <v>0</v>
      </c>
      <c r="E48" s="453">
        <f>Tables!E76</f>
        <v>0</v>
      </c>
      <c r="F48" s="453">
        <f>Tables!F76</f>
        <v>0</v>
      </c>
      <c r="G48" s="453">
        <f>Tables!G76</f>
        <v>0</v>
      </c>
      <c r="H48" s="453">
        <f>Tables!H76</f>
        <v>0</v>
      </c>
      <c r="I48" s="453">
        <f>Tables!I76</f>
        <v>0</v>
      </c>
      <c r="J48" s="453">
        <f>Tables!J76</f>
        <v>0</v>
      </c>
      <c r="K48" s="453">
        <f>Tables!K76</f>
        <v>0</v>
      </c>
      <c r="L48" s="453">
        <f>Tables!L76</f>
        <v>0</v>
      </c>
      <c r="M48" s="453">
        <f>Tables!M76</f>
        <v>0</v>
      </c>
      <c r="N48" s="453">
        <f>Tables!N76</f>
        <v>0</v>
      </c>
      <c r="O48" s="453">
        <f>Tables!O76</f>
        <v>0</v>
      </c>
      <c r="P48" s="453">
        <f>Tables!P76</f>
        <v>0</v>
      </c>
      <c r="Q48" s="453">
        <f>Tables!Q76</f>
        <v>0</v>
      </c>
      <c r="R48" s="453">
        <f>Tables!R76</f>
        <v>0</v>
      </c>
      <c r="S48" s="453">
        <f>Tables!S76</f>
        <v>0</v>
      </c>
      <c r="T48" s="453">
        <f>Tables!T76</f>
        <v>0</v>
      </c>
      <c r="U48" s="453">
        <f>Tables!U76</f>
        <v>0</v>
      </c>
      <c r="V48" s="453">
        <f>Tables!V76</f>
        <v>0</v>
      </c>
      <c r="W48" s="453">
        <f>Tables!W76</f>
        <v>0</v>
      </c>
      <c r="X48" s="453">
        <f>Tables!X76</f>
        <v>0</v>
      </c>
      <c r="Y48" s="453">
        <f>Tables!Y76</f>
        <v>0</v>
      </c>
      <c r="Z48" s="453">
        <f>Tables!Z76</f>
        <v>0</v>
      </c>
      <c r="AA48" s="453">
        <f>Tables!AA76</f>
        <v>0</v>
      </c>
      <c r="AB48" s="453">
        <f>Tables!AB76</f>
        <v>0</v>
      </c>
      <c r="AC48" s="453">
        <f>Tables!AC76</f>
        <v>0</v>
      </c>
    </row>
    <row r="49" spans="1:29">
      <c r="B49" s="453">
        <f>Tables!B77</f>
        <v>0</v>
      </c>
      <c r="C49" s="453">
        <f>Tables!C77</f>
        <v>0</v>
      </c>
      <c r="D49" s="453">
        <f>Tables!D77</f>
        <v>0</v>
      </c>
      <c r="E49" s="453">
        <f>Tables!E77</f>
        <v>0</v>
      </c>
      <c r="F49" s="453">
        <f>Tables!F77</f>
        <v>0</v>
      </c>
      <c r="G49" s="453">
        <f>Tables!G77</f>
        <v>0</v>
      </c>
      <c r="H49" s="453">
        <f>Tables!H77</f>
        <v>0</v>
      </c>
      <c r="I49" s="453">
        <f>Tables!I77</f>
        <v>0</v>
      </c>
      <c r="J49" s="453">
        <f>Tables!J77</f>
        <v>0</v>
      </c>
      <c r="K49" s="453">
        <f>Tables!K77</f>
        <v>0</v>
      </c>
      <c r="L49" s="453">
        <f>Tables!L77</f>
        <v>0</v>
      </c>
      <c r="M49" s="453">
        <f>Tables!M77</f>
        <v>0</v>
      </c>
      <c r="N49" s="453">
        <f>Tables!N77</f>
        <v>0</v>
      </c>
      <c r="O49" s="453">
        <f>Tables!O77</f>
        <v>0</v>
      </c>
      <c r="P49" s="453">
        <f>Tables!P77</f>
        <v>0</v>
      </c>
      <c r="Q49" s="453">
        <f>Tables!Q77</f>
        <v>0</v>
      </c>
      <c r="R49" s="453">
        <f>Tables!R77</f>
        <v>0</v>
      </c>
      <c r="S49" s="453">
        <f>Tables!S77</f>
        <v>0</v>
      </c>
      <c r="T49" s="453">
        <f>Tables!T77</f>
        <v>0</v>
      </c>
      <c r="U49" s="453">
        <f>Tables!U77</f>
        <v>0</v>
      </c>
      <c r="V49" s="453">
        <f>Tables!V77</f>
        <v>0</v>
      </c>
      <c r="W49" s="453">
        <f>Tables!W77</f>
        <v>0</v>
      </c>
      <c r="X49" s="453">
        <f>Tables!X77</f>
        <v>0</v>
      </c>
      <c r="Y49" s="453">
        <f>Tables!Y77</f>
        <v>0</v>
      </c>
      <c r="Z49" s="453">
        <f>Tables!Z77</f>
        <v>0</v>
      </c>
      <c r="AA49" s="453">
        <f>Tables!AA77</f>
        <v>0</v>
      </c>
      <c r="AB49" s="453">
        <f>Tables!AB77</f>
        <v>0</v>
      </c>
      <c r="AC49" s="453">
        <f>Tables!AC77</f>
        <v>0</v>
      </c>
    </row>
    <row r="50" spans="1:29">
      <c r="B50" s="453">
        <f>Tables!B78</f>
        <v>0</v>
      </c>
      <c r="C50" s="453">
        <f>Tables!C78</f>
        <v>0</v>
      </c>
      <c r="D50" s="453">
        <f>Tables!D78</f>
        <v>0</v>
      </c>
      <c r="E50" s="453">
        <f>Tables!E78</f>
        <v>0</v>
      </c>
      <c r="F50" s="453">
        <f>Tables!F78</f>
        <v>0</v>
      </c>
      <c r="G50" s="453">
        <f>Tables!G78</f>
        <v>0</v>
      </c>
      <c r="H50" s="453">
        <f>Tables!H78</f>
        <v>0</v>
      </c>
      <c r="I50" s="453">
        <f>Tables!I78</f>
        <v>0</v>
      </c>
      <c r="J50" s="453">
        <f>Tables!J78</f>
        <v>0</v>
      </c>
      <c r="K50" s="453">
        <f>Tables!K78</f>
        <v>0</v>
      </c>
      <c r="L50" s="453">
        <f>Tables!L78</f>
        <v>0</v>
      </c>
      <c r="M50" s="453">
        <f>Tables!M78</f>
        <v>0</v>
      </c>
      <c r="N50" s="453">
        <f>Tables!N78</f>
        <v>0</v>
      </c>
      <c r="O50" s="453">
        <f>Tables!O78</f>
        <v>0</v>
      </c>
      <c r="P50" s="453">
        <f>Tables!P78</f>
        <v>0</v>
      </c>
      <c r="Q50" s="453">
        <f>Tables!Q78</f>
        <v>0</v>
      </c>
      <c r="R50" s="453">
        <f>Tables!R78</f>
        <v>0</v>
      </c>
      <c r="S50" s="453">
        <f>Tables!S78</f>
        <v>0</v>
      </c>
      <c r="T50" s="453">
        <f>Tables!T78</f>
        <v>0</v>
      </c>
      <c r="U50" s="453">
        <f>Tables!U78</f>
        <v>0</v>
      </c>
      <c r="V50" s="453">
        <f>Tables!V78</f>
        <v>0</v>
      </c>
      <c r="W50" s="453">
        <f>Tables!W78</f>
        <v>0</v>
      </c>
      <c r="X50" s="453">
        <f>Tables!X78</f>
        <v>0</v>
      </c>
      <c r="Y50" s="453">
        <f>Tables!Y78</f>
        <v>0</v>
      </c>
      <c r="Z50" s="453">
        <f>Tables!Z78</f>
        <v>0</v>
      </c>
      <c r="AA50" s="453">
        <f>Tables!AA78</f>
        <v>0</v>
      </c>
      <c r="AB50" s="453">
        <f>Tables!AB78</f>
        <v>0</v>
      </c>
      <c r="AC50" s="453">
        <f>Tables!AC78</f>
        <v>0</v>
      </c>
    </row>
    <row r="51" spans="1:29">
      <c r="B51" s="453">
        <f>Tables!B79</f>
        <v>0</v>
      </c>
      <c r="C51" s="453">
        <f>Tables!C79</f>
        <v>0</v>
      </c>
      <c r="D51" s="453">
        <f>Tables!D79</f>
        <v>0</v>
      </c>
      <c r="E51" s="453">
        <f>Tables!E79</f>
        <v>0</v>
      </c>
      <c r="F51" s="453">
        <f>Tables!F79</f>
        <v>0</v>
      </c>
      <c r="G51" s="453">
        <f>Tables!G79</f>
        <v>0</v>
      </c>
      <c r="H51" s="453">
        <f>Tables!H79</f>
        <v>0</v>
      </c>
      <c r="I51" s="453">
        <f>Tables!I79</f>
        <v>0</v>
      </c>
      <c r="J51" s="453">
        <f>Tables!J79</f>
        <v>0</v>
      </c>
      <c r="K51" s="453">
        <f>Tables!K79</f>
        <v>0</v>
      </c>
      <c r="L51" s="453">
        <f>Tables!L79</f>
        <v>0</v>
      </c>
      <c r="M51" s="453">
        <f>Tables!M79</f>
        <v>0</v>
      </c>
      <c r="N51" s="453">
        <f>Tables!N79</f>
        <v>0</v>
      </c>
      <c r="O51" s="453">
        <f>Tables!O79</f>
        <v>0</v>
      </c>
      <c r="P51" s="453">
        <f>Tables!P79</f>
        <v>0</v>
      </c>
      <c r="Q51" s="453">
        <f>Tables!Q79</f>
        <v>0</v>
      </c>
      <c r="R51" s="453">
        <f>Tables!R79</f>
        <v>0</v>
      </c>
      <c r="S51" s="453">
        <f>Tables!S79</f>
        <v>0</v>
      </c>
      <c r="T51" s="453">
        <f>Tables!T79</f>
        <v>0</v>
      </c>
      <c r="U51" s="453">
        <f>Tables!U79</f>
        <v>0</v>
      </c>
      <c r="V51" s="453">
        <f>Tables!V79</f>
        <v>0</v>
      </c>
      <c r="W51" s="453">
        <f>Tables!W79</f>
        <v>0</v>
      </c>
      <c r="X51" s="453">
        <f>Tables!X79</f>
        <v>0</v>
      </c>
      <c r="Y51" s="453">
        <f>Tables!Y79</f>
        <v>0</v>
      </c>
      <c r="Z51" s="453">
        <f>Tables!Z79</f>
        <v>0</v>
      </c>
      <c r="AA51" s="453">
        <f>Tables!AA79</f>
        <v>0</v>
      </c>
      <c r="AB51" s="453">
        <f>Tables!AB79</f>
        <v>0</v>
      </c>
      <c r="AC51" s="453">
        <f>Tables!AC79</f>
        <v>0</v>
      </c>
    </row>
    <row r="52" spans="1:29">
      <c r="B52" s="453">
        <f>Tables!B80</f>
        <v>0</v>
      </c>
      <c r="C52" s="453">
        <f>Tables!C80</f>
        <v>0</v>
      </c>
      <c r="D52" s="453">
        <f>Tables!D80</f>
        <v>0</v>
      </c>
      <c r="E52" s="453">
        <f>Tables!E80</f>
        <v>0</v>
      </c>
      <c r="F52" s="453">
        <f>Tables!F80</f>
        <v>0</v>
      </c>
      <c r="G52" s="453">
        <f>Tables!G80</f>
        <v>0</v>
      </c>
      <c r="H52" s="453">
        <f>Tables!H80</f>
        <v>0</v>
      </c>
      <c r="I52" s="453">
        <f>Tables!I80</f>
        <v>0</v>
      </c>
      <c r="J52" s="453">
        <f>Tables!J80</f>
        <v>0</v>
      </c>
      <c r="K52" s="453">
        <f>Tables!K80</f>
        <v>0</v>
      </c>
      <c r="L52" s="453">
        <f>Tables!L80</f>
        <v>0</v>
      </c>
      <c r="M52" s="453">
        <f>Tables!M80</f>
        <v>0</v>
      </c>
      <c r="N52" s="453">
        <f>Tables!N80</f>
        <v>0</v>
      </c>
      <c r="O52" s="453">
        <f>Tables!O80</f>
        <v>0</v>
      </c>
      <c r="P52" s="453">
        <f>Tables!P80</f>
        <v>0</v>
      </c>
      <c r="Q52" s="453">
        <f>Tables!Q80</f>
        <v>0</v>
      </c>
      <c r="R52" s="453">
        <f>Tables!R80</f>
        <v>0</v>
      </c>
      <c r="S52" s="453">
        <f>Tables!S80</f>
        <v>0</v>
      </c>
      <c r="T52" s="453">
        <f>Tables!T80</f>
        <v>0</v>
      </c>
      <c r="U52" s="453">
        <f>Tables!U80</f>
        <v>0</v>
      </c>
      <c r="V52" s="453">
        <f>Tables!V80</f>
        <v>0</v>
      </c>
      <c r="W52" s="453">
        <f>Tables!W80</f>
        <v>0</v>
      </c>
      <c r="X52" s="453">
        <f>Tables!X80</f>
        <v>0</v>
      </c>
      <c r="Y52" s="453">
        <f>Tables!Y80</f>
        <v>0</v>
      </c>
      <c r="Z52" s="453">
        <f>Tables!Z80</f>
        <v>0</v>
      </c>
      <c r="AA52" s="453">
        <f>Tables!AA80</f>
        <v>0</v>
      </c>
      <c r="AB52" s="453">
        <f>Tables!AB80</f>
        <v>0</v>
      </c>
      <c r="AC52" s="453">
        <f>Tables!AC80</f>
        <v>0</v>
      </c>
    </row>
    <row r="53" spans="1:29">
      <c r="B53" s="453">
        <f>Tables!B81</f>
        <v>0</v>
      </c>
      <c r="C53" s="453">
        <f>Tables!C81</f>
        <v>0</v>
      </c>
      <c r="D53" s="453">
        <f>Tables!D81</f>
        <v>0</v>
      </c>
      <c r="E53" s="453">
        <f>Tables!E81</f>
        <v>0</v>
      </c>
      <c r="F53" s="453">
        <f>Tables!F81</f>
        <v>0</v>
      </c>
      <c r="G53" s="453">
        <f>Tables!G81</f>
        <v>0</v>
      </c>
      <c r="H53" s="453">
        <f>Tables!H81</f>
        <v>0</v>
      </c>
      <c r="I53" s="453">
        <f>Tables!I81</f>
        <v>0</v>
      </c>
      <c r="J53" s="453">
        <f>Tables!J81</f>
        <v>0</v>
      </c>
      <c r="K53" s="453">
        <f>Tables!K81</f>
        <v>0</v>
      </c>
      <c r="L53" s="453">
        <f>Tables!L81</f>
        <v>0</v>
      </c>
      <c r="M53" s="453">
        <f>Tables!M81</f>
        <v>0</v>
      </c>
      <c r="N53" s="453">
        <f>Tables!N81</f>
        <v>0</v>
      </c>
      <c r="O53" s="453">
        <f>Tables!O81</f>
        <v>0</v>
      </c>
      <c r="P53" s="453">
        <f>Tables!P81</f>
        <v>0</v>
      </c>
      <c r="Q53" s="453">
        <f>Tables!Q81</f>
        <v>0</v>
      </c>
      <c r="R53" s="453">
        <f>Tables!R81</f>
        <v>0</v>
      </c>
      <c r="S53" s="453">
        <f>Tables!S81</f>
        <v>0</v>
      </c>
      <c r="T53" s="453">
        <f>Tables!T81</f>
        <v>0</v>
      </c>
      <c r="U53" s="453">
        <f>Tables!U81</f>
        <v>0</v>
      </c>
      <c r="V53" s="453">
        <f>Tables!V81</f>
        <v>0</v>
      </c>
      <c r="W53" s="453">
        <f>Tables!W81</f>
        <v>0</v>
      </c>
      <c r="X53" s="453">
        <f>Tables!X81</f>
        <v>0</v>
      </c>
      <c r="Y53" s="453">
        <f>Tables!Y81</f>
        <v>0</v>
      </c>
      <c r="Z53" s="453">
        <f>Tables!Z81</f>
        <v>0</v>
      </c>
      <c r="AA53" s="453">
        <f>Tables!AA81</f>
        <v>0</v>
      </c>
      <c r="AB53" s="453">
        <f>Tables!AB81</f>
        <v>0</v>
      </c>
      <c r="AC53" s="453">
        <f>Tables!AC81</f>
        <v>0</v>
      </c>
    </row>
    <row r="54" spans="1:29">
      <c r="B54" s="453">
        <f>Tables!B82</f>
        <v>0</v>
      </c>
      <c r="C54" s="453">
        <f>Tables!C82</f>
        <v>0</v>
      </c>
      <c r="D54" s="453">
        <f>Tables!D82</f>
        <v>0</v>
      </c>
      <c r="E54" s="453">
        <f>Tables!E82</f>
        <v>0</v>
      </c>
      <c r="F54" s="453">
        <f>Tables!F82</f>
        <v>0</v>
      </c>
      <c r="G54" s="453">
        <f>Tables!G82</f>
        <v>0</v>
      </c>
      <c r="H54" s="453">
        <f>Tables!H82</f>
        <v>0</v>
      </c>
      <c r="I54" s="453">
        <f>Tables!I82</f>
        <v>0</v>
      </c>
      <c r="J54" s="453">
        <f>Tables!J82</f>
        <v>0</v>
      </c>
      <c r="K54" s="453">
        <f>Tables!K82</f>
        <v>0</v>
      </c>
      <c r="L54" s="453">
        <f>Tables!L82</f>
        <v>0</v>
      </c>
      <c r="M54" s="453">
        <f>Tables!M82</f>
        <v>0</v>
      </c>
      <c r="N54" s="453">
        <f>Tables!N82</f>
        <v>0</v>
      </c>
      <c r="O54" s="453">
        <f>Tables!O82</f>
        <v>0</v>
      </c>
      <c r="P54" s="453">
        <f>Tables!P82</f>
        <v>0</v>
      </c>
      <c r="Q54" s="453">
        <f>Tables!Q82</f>
        <v>0</v>
      </c>
      <c r="R54" s="453">
        <f>Tables!R82</f>
        <v>0</v>
      </c>
      <c r="S54" s="453">
        <f>Tables!S82</f>
        <v>0</v>
      </c>
      <c r="T54" s="453">
        <f>Tables!T82</f>
        <v>0</v>
      </c>
      <c r="U54" s="453">
        <f>Tables!U82</f>
        <v>0</v>
      </c>
      <c r="V54" s="453">
        <f>Tables!V82</f>
        <v>0</v>
      </c>
      <c r="W54" s="453">
        <f>Tables!W82</f>
        <v>0</v>
      </c>
      <c r="X54" s="453">
        <f>Tables!X82</f>
        <v>0</v>
      </c>
      <c r="Y54" s="453">
        <f>Tables!Y82</f>
        <v>0</v>
      </c>
      <c r="Z54" s="453">
        <f>Tables!Z82</f>
        <v>0</v>
      </c>
      <c r="AA54" s="453">
        <f>Tables!AA82</f>
        <v>0</v>
      </c>
      <c r="AB54" s="453">
        <f>Tables!AB82</f>
        <v>0</v>
      </c>
      <c r="AC54" s="453">
        <f>Tables!AC82</f>
        <v>0</v>
      </c>
    </row>
    <row r="55" spans="1:29">
      <c r="B55" s="453">
        <f>Tables!B83</f>
        <v>0</v>
      </c>
      <c r="C55" s="453">
        <f>Tables!C83</f>
        <v>0</v>
      </c>
      <c r="D55" s="453">
        <f>Tables!D83</f>
        <v>0</v>
      </c>
      <c r="E55" s="453">
        <f>Tables!E83</f>
        <v>0</v>
      </c>
      <c r="F55" s="453">
        <f>Tables!F83</f>
        <v>0</v>
      </c>
      <c r="G55" s="453">
        <f>Tables!G83</f>
        <v>0</v>
      </c>
      <c r="H55" s="453">
        <f>Tables!H83</f>
        <v>0</v>
      </c>
      <c r="I55" s="453">
        <f>Tables!I83</f>
        <v>0</v>
      </c>
      <c r="J55" s="453">
        <f>Tables!J83</f>
        <v>0</v>
      </c>
      <c r="K55" s="453">
        <f>Tables!K83</f>
        <v>0</v>
      </c>
      <c r="L55" s="453">
        <f>Tables!L83</f>
        <v>0</v>
      </c>
      <c r="M55" s="453">
        <f>Tables!M83</f>
        <v>0</v>
      </c>
      <c r="N55" s="453">
        <f>Tables!N83</f>
        <v>0</v>
      </c>
      <c r="O55" s="453">
        <f>Tables!O83</f>
        <v>0</v>
      </c>
      <c r="P55" s="453">
        <f>Tables!P83</f>
        <v>0</v>
      </c>
      <c r="Q55" s="453">
        <f>Tables!Q83</f>
        <v>0</v>
      </c>
      <c r="R55" s="453">
        <f>Tables!R83</f>
        <v>0</v>
      </c>
      <c r="S55" s="453">
        <f>Tables!S83</f>
        <v>0</v>
      </c>
      <c r="T55" s="453">
        <f>Tables!T83</f>
        <v>0</v>
      </c>
      <c r="U55" s="453">
        <f>Tables!U83</f>
        <v>0</v>
      </c>
      <c r="V55" s="453">
        <f>Tables!V83</f>
        <v>0</v>
      </c>
      <c r="W55" s="453">
        <f>Tables!W83</f>
        <v>0</v>
      </c>
      <c r="X55" s="453">
        <f>Tables!X83</f>
        <v>0</v>
      </c>
      <c r="Y55" s="453">
        <f>Tables!Y83</f>
        <v>0</v>
      </c>
      <c r="Z55" s="453">
        <f>Tables!Z83</f>
        <v>0</v>
      </c>
      <c r="AA55" s="453">
        <f>Tables!AA83</f>
        <v>0</v>
      </c>
      <c r="AB55" s="453">
        <f>Tables!AB83</f>
        <v>0</v>
      </c>
      <c r="AC55" s="453">
        <f>Tables!AC83</f>
        <v>0</v>
      </c>
    </row>
    <row r="56" spans="1:29">
      <c r="B56" s="453">
        <f>Tables!B84</f>
        <v>0</v>
      </c>
      <c r="C56" s="453">
        <f>Tables!C84</f>
        <v>0</v>
      </c>
      <c r="D56" s="453">
        <f>Tables!D84</f>
        <v>0</v>
      </c>
      <c r="E56" s="453">
        <f>Tables!E84</f>
        <v>0</v>
      </c>
      <c r="F56" s="453">
        <f>Tables!F84</f>
        <v>0</v>
      </c>
      <c r="G56" s="453">
        <f>Tables!G84</f>
        <v>0</v>
      </c>
      <c r="H56" s="453">
        <f>Tables!H84</f>
        <v>0</v>
      </c>
      <c r="I56" s="453">
        <f>Tables!I84</f>
        <v>0</v>
      </c>
      <c r="J56" s="453">
        <f>Tables!J84</f>
        <v>0</v>
      </c>
      <c r="K56" s="453">
        <f>Tables!K84</f>
        <v>0</v>
      </c>
      <c r="L56" s="453">
        <f>Tables!L84</f>
        <v>0</v>
      </c>
      <c r="M56" s="453">
        <f>Tables!M84</f>
        <v>0</v>
      </c>
      <c r="N56" s="453">
        <f>Tables!N84</f>
        <v>0</v>
      </c>
      <c r="O56" s="453">
        <f>Tables!O84</f>
        <v>0</v>
      </c>
      <c r="P56" s="453">
        <f>Tables!P84</f>
        <v>0</v>
      </c>
      <c r="Q56" s="453">
        <f>Tables!Q84</f>
        <v>0</v>
      </c>
      <c r="R56" s="453">
        <f>Tables!R84</f>
        <v>0</v>
      </c>
      <c r="S56" s="453">
        <f>Tables!S84</f>
        <v>0</v>
      </c>
      <c r="T56" s="453">
        <f>Tables!T84</f>
        <v>0</v>
      </c>
      <c r="U56" s="453">
        <f>Tables!U84</f>
        <v>0</v>
      </c>
      <c r="V56" s="453">
        <f>Tables!V84</f>
        <v>0</v>
      </c>
      <c r="W56" s="453">
        <f>Tables!W84</f>
        <v>0</v>
      </c>
      <c r="X56" s="453">
        <f>Tables!X84</f>
        <v>0</v>
      </c>
      <c r="Y56" s="453">
        <f>Tables!Y84</f>
        <v>0</v>
      </c>
      <c r="Z56" s="453">
        <f>Tables!Z84</f>
        <v>0</v>
      </c>
      <c r="AA56" s="453">
        <f>Tables!AA84</f>
        <v>0</v>
      </c>
      <c r="AB56" s="453">
        <f>Tables!AB84</f>
        <v>0</v>
      </c>
      <c r="AC56" s="453">
        <f>Tables!AC84</f>
        <v>0</v>
      </c>
    </row>
    <row r="57" spans="1:29">
      <c r="B57" s="453">
        <f>Tables!B85</f>
        <v>0</v>
      </c>
      <c r="C57" s="453">
        <f>Tables!C85</f>
        <v>0</v>
      </c>
      <c r="D57" s="453">
        <f>Tables!D85</f>
        <v>0</v>
      </c>
      <c r="E57" s="453">
        <f>Tables!E85</f>
        <v>0</v>
      </c>
      <c r="F57" s="453">
        <f>Tables!F85</f>
        <v>0</v>
      </c>
      <c r="G57" s="453">
        <f>Tables!G85</f>
        <v>0</v>
      </c>
      <c r="H57" s="453">
        <f>Tables!H85</f>
        <v>0</v>
      </c>
      <c r="I57" s="453">
        <f>Tables!I85</f>
        <v>0</v>
      </c>
      <c r="J57" s="453">
        <f>Tables!J85</f>
        <v>0</v>
      </c>
      <c r="K57" s="453">
        <f>Tables!K85</f>
        <v>0</v>
      </c>
      <c r="L57" s="453">
        <f>Tables!L85</f>
        <v>0</v>
      </c>
      <c r="M57" s="453">
        <f>Tables!M85</f>
        <v>0</v>
      </c>
      <c r="N57" s="453">
        <f>Tables!N85</f>
        <v>0</v>
      </c>
      <c r="O57" s="453">
        <f>Tables!O85</f>
        <v>0</v>
      </c>
      <c r="P57" s="453">
        <f>Tables!P85</f>
        <v>0</v>
      </c>
      <c r="Q57" s="453">
        <f>Tables!Q85</f>
        <v>0</v>
      </c>
      <c r="R57" s="453">
        <f>Tables!R85</f>
        <v>0</v>
      </c>
      <c r="S57" s="453">
        <f>Tables!S85</f>
        <v>0</v>
      </c>
      <c r="T57" s="453">
        <f>Tables!T85</f>
        <v>0</v>
      </c>
      <c r="U57" s="453">
        <f>Tables!U85</f>
        <v>0</v>
      </c>
      <c r="V57" s="453">
        <f>Tables!V85</f>
        <v>0</v>
      </c>
      <c r="W57" s="453">
        <f>Tables!W85</f>
        <v>0</v>
      </c>
      <c r="X57" s="453">
        <f>Tables!X85</f>
        <v>0</v>
      </c>
      <c r="Y57" s="453">
        <f>Tables!Y85</f>
        <v>0</v>
      </c>
      <c r="Z57" s="453">
        <f>Tables!Z85</f>
        <v>0</v>
      </c>
      <c r="AA57" s="453">
        <f>Tables!AA85</f>
        <v>0</v>
      </c>
      <c r="AB57" s="453">
        <f>Tables!AB85</f>
        <v>0</v>
      </c>
      <c r="AC57" s="453">
        <f>Tables!AC85</f>
        <v>0</v>
      </c>
    </row>
    <row r="58" spans="1:29">
      <c r="B58" s="453">
        <f>Tables!B86</f>
        <v>0</v>
      </c>
      <c r="C58" s="453">
        <f>Tables!C86</f>
        <v>0</v>
      </c>
      <c r="D58" s="453">
        <f>Tables!D86</f>
        <v>0</v>
      </c>
      <c r="E58" s="453">
        <f>Tables!E86</f>
        <v>0</v>
      </c>
      <c r="F58" s="453">
        <f>Tables!F86</f>
        <v>0</v>
      </c>
      <c r="G58" s="453">
        <f>Tables!G86</f>
        <v>0</v>
      </c>
      <c r="H58" s="453">
        <f>Tables!H86</f>
        <v>0</v>
      </c>
      <c r="I58" s="453">
        <f>Tables!I86</f>
        <v>0</v>
      </c>
      <c r="J58" s="453">
        <f>Tables!J86</f>
        <v>0</v>
      </c>
      <c r="K58" s="453">
        <f>Tables!K86</f>
        <v>0</v>
      </c>
      <c r="L58" s="453">
        <f>Tables!L86</f>
        <v>0</v>
      </c>
      <c r="M58" s="453">
        <f>Tables!M86</f>
        <v>0</v>
      </c>
      <c r="N58" s="453">
        <f>Tables!N86</f>
        <v>0</v>
      </c>
      <c r="O58" s="453">
        <f>Tables!O86</f>
        <v>0</v>
      </c>
      <c r="P58" s="453">
        <f>Tables!P86</f>
        <v>0</v>
      </c>
      <c r="Q58" s="453">
        <f>Tables!Q86</f>
        <v>0</v>
      </c>
      <c r="R58" s="453">
        <f>Tables!R86</f>
        <v>0</v>
      </c>
      <c r="S58" s="453">
        <f>Tables!S86</f>
        <v>0</v>
      </c>
      <c r="T58" s="453">
        <f>Tables!T86</f>
        <v>0</v>
      </c>
      <c r="U58" s="453">
        <f>Tables!U86</f>
        <v>0</v>
      </c>
      <c r="V58" s="453">
        <f>Tables!V86</f>
        <v>0</v>
      </c>
      <c r="W58" s="453">
        <f>Tables!W86</f>
        <v>0</v>
      </c>
      <c r="X58" s="453">
        <f>Tables!X86</f>
        <v>0</v>
      </c>
      <c r="Y58" s="453">
        <f>Tables!Y86</f>
        <v>0</v>
      </c>
      <c r="Z58" s="453">
        <f>Tables!Z86</f>
        <v>0</v>
      </c>
      <c r="AA58" s="453">
        <f>Tables!AA86</f>
        <v>0</v>
      </c>
      <c r="AB58" s="453">
        <f>Tables!AB86</f>
        <v>0</v>
      </c>
      <c r="AC58" s="453">
        <f>Tables!AC86</f>
        <v>0</v>
      </c>
    </row>
    <row r="59" spans="1:29">
      <c r="B59" s="453">
        <f>Tables!B87</f>
        <v>0</v>
      </c>
      <c r="C59" s="453">
        <f>Tables!C87</f>
        <v>0</v>
      </c>
      <c r="D59" s="453">
        <f>Tables!D87</f>
        <v>0</v>
      </c>
      <c r="E59" s="453">
        <f>Tables!E87</f>
        <v>0</v>
      </c>
      <c r="F59" s="453">
        <f>Tables!F87</f>
        <v>0</v>
      </c>
      <c r="G59" s="453">
        <f>Tables!G87</f>
        <v>0</v>
      </c>
      <c r="H59" s="453">
        <f>Tables!H87</f>
        <v>0</v>
      </c>
      <c r="I59" s="453">
        <f>Tables!I87</f>
        <v>0</v>
      </c>
      <c r="J59" s="453">
        <f>Tables!J87</f>
        <v>0</v>
      </c>
      <c r="K59" s="453">
        <f>Tables!K87</f>
        <v>0</v>
      </c>
      <c r="L59" s="453">
        <f>Tables!L87</f>
        <v>0</v>
      </c>
      <c r="M59" s="453">
        <f>Tables!M87</f>
        <v>0</v>
      </c>
      <c r="N59" s="453">
        <f>Tables!N87</f>
        <v>0</v>
      </c>
      <c r="O59" s="453">
        <f>Tables!O87</f>
        <v>0</v>
      </c>
      <c r="P59" s="453">
        <f>Tables!P87</f>
        <v>0</v>
      </c>
      <c r="Q59" s="453">
        <f>Tables!Q87</f>
        <v>0</v>
      </c>
      <c r="R59" s="453">
        <f>Tables!R87</f>
        <v>0</v>
      </c>
      <c r="S59" s="453">
        <f>Tables!S87</f>
        <v>0</v>
      </c>
      <c r="T59" s="453">
        <f>Tables!T87</f>
        <v>0</v>
      </c>
      <c r="U59" s="453">
        <f>Tables!U87</f>
        <v>0</v>
      </c>
      <c r="V59" s="453">
        <f>Tables!V87</f>
        <v>0</v>
      </c>
      <c r="W59" s="453">
        <f>Tables!W87</f>
        <v>0</v>
      </c>
      <c r="X59" s="453">
        <f>Tables!X87</f>
        <v>0</v>
      </c>
      <c r="Y59" s="453">
        <f>Tables!Y87</f>
        <v>0</v>
      </c>
      <c r="Z59" s="453">
        <f>Tables!Z87</f>
        <v>0</v>
      </c>
      <c r="AA59" s="453">
        <f>Tables!AA87</f>
        <v>0</v>
      </c>
      <c r="AB59" s="453">
        <f>Tables!AB87</f>
        <v>0</v>
      </c>
      <c r="AC59" s="453">
        <f>Tables!AC87</f>
        <v>0</v>
      </c>
    </row>
    <row r="60" spans="1:29">
      <c r="B60" s="453">
        <f>Tables!B88</f>
        <v>0</v>
      </c>
      <c r="C60" s="453">
        <f>Tables!C88</f>
        <v>0</v>
      </c>
      <c r="D60" s="453">
        <f>Tables!D88</f>
        <v>0</v>
      </c>
      <c r="E60" s="453">
        <f>Tables!E88</f>
        <v>0</v>
      </c>
      <c r="F60" s="453">
        <f>Tables!F88</f>
        <v>0</v>
      </c>
      <c r="G60" s="453">
        <f>Tables!G88</f>
        <v>0</v>
      </c>
      <c r="H60" s="453">
        <f>Tables!H88</f>
        <v>0</v>
      </c>
      <c r="I60" s="453">
        <f>Tables!I88</f>
        <v>0</v>
      </c>
      <c r="J60" s="453">
        <f>Tables!J88</f>
        <v>0</v>
      </c>
      <c r="K60" s="453">
        <f>Tables!K88</f>
        <v>0</v>
      </c>
      <c r="L60" s="453">
        <f>Tables!L88</f>
        <v>0</v>
      </c>
      <c r="M60" s="453">
        <f>Tables!M88</f>
        <v>0</v>
      </c>
      <c r="N60" s="453">
        <f>Tables!N88</f>
        <v>0</v>
      </c>
      <c r="O60" s="453">
        <f>Tables!O88</f>
        <v>0</v>
      </c>
      <c r="P60" s="453">
        <f>Tables!P88</f>
        <v>0</v>
      </c>
      <c r="Q60" s="453">
        <f>Tables!Q88</f>
        <v>0</v>
      </c>
      <c r="R60" s="453">
        <f>Tables!R88</f>
        <v>0</v>
      </c>
      <c r="S60" s="453">
        <f>Tables!S88</f>
        <v>0</v>
      </c>
      <c r="T60" s="453">
        <f>Tables!T88</f>
        <v>0</v>
      </c>
      <c r="U60" s="453">
        <f>Tables!U88</f>
        <v>0</v>
      </c>
      <c r="V60" s="453">
        <f>Tables!V88</f>
        <v>0</v>
      </c>
      <c r="W60" s="453">
        <f>Tables!W88</f>
        <v>0</v>
      </c>
      <c r="X60" s="453">
        <f>Tables!X88</f>
        <v>0</v>
      </c>
      <c r="Y60" s="453">
        <f>Tables!Y88</f>
        <v>0</v>
      </c>
      <c r="Z60" s="453">
        <f>Tables!Z88</f>
        <v>0</v>
      </c>
      <c r="AA60" s="453">
        <f>Tables!AA88</f>
        <v>0</v>
      </c>
      <c r="AB60" s="453">
        <f>Tables!AB88</f>
        <v>0</v>
      </c>
      <c r="AC60" s="453">
        <f>Tables!AC88</f>
        <v>0</v>
      </c>
    </row>
    <row r="61" spans="1:29">
      <c r="B61" s="453">
        <f>Tables!B89</f>
        <v>0</v>
      </c>
      <c r="C61" s="453">
        <f>Tables!C89</f>
        <v>0</v>
      </c>
      <c r="D61" s="453">
        <f>Tables!D89</f>
        <v>0</v>
      </c>
      <c r="E61" s="453">
        <f>Tables!E89</f>
        <v>0</v>
      </c>
      <c r="F61" s="453">
        <f>Tables!F89</f>
        <v>0</v>
      </c>
      <c r="G61" s="453">
        <f>Tables!G89</f>
        <v>0</v>
      </c>
      <c r="H61" s="453">
        <f>Tables!H89</f>
        <v>0</v>
      </c>
      <c r="I61" s="453">
        <f>Tables!I89</f>
        <v>0</v>
      </c>
      <c r="J61" s="453">
        <f>Tables!J89</f>
        <v>0</v>
      </c>
      <c r="K61" s="453">
        <f>Tables!K89</f>
        <v>0</v>
      </c>
      <c r="L61" s="453">
        <f>Tables!L89</f>
        <v>0</v>
      </c>
      <c r="M61" s="453">
        <f>Tables!M89</f>
        <v>0</v>
      </c>
      <c r="N61" s="453">
        <f>Tables!N89</f>
        <v>0</v>
      </c>
      <c r="O61" s="453">
        <f>Tables!O89</f>
        <v>0</v>
      </c>
      <c r="P61" s="453">
        <f>Tables!P89</f>
        <v>0</v>
      </c>
      <c r="Q61" s="453">
        <f>Tables!Q89</f>
        <v>0</v>
      </c>
      <c r="R61" s="453">
        <f>Tables!R89</f>
        <v>0</v>
      </c>
      <c r="S61" s="453">
        <f>Tables!S89</f>
        <v>0</v>
      </c>
      <c r="T61" s="453">
        <f>Tables!T89</f>
        <v>0</v>
      </c>
      <c r="U61" s="453">
        <f>Tables!U89</f>
        <v>0</v>
      </c>
      <c r="V61" s="453">
        <f>Tables!V89</f>
        <v>0</v>
      </c>
      <c r="W61" s="453">
        <f>Tables!W89</f>
        <v>0</v>
      </c>
      <c r="X61" s="453">
        <f>Tables!X89</f>
        <v>0</v>
      </c>
      <c r="Y61" s="453">
        <f>Tables!Y89</f>
        <v>0</v>
      </c>
      <c r="Z61" s="453">
        <f>Tables!Z89</f>
        <v>0</v>
      </c>
      <c r="AA61" s="453">
        <f>Tables!AA89</f>
        <v>0</v>
      </c>
      <c r="AB61" s="453">
        <f>Tables!AB89</f>
        <v>0</v>
      </c>
      <c r="AC61" s="453">
        <f>Tables!AC89</f>
        <v>0</v>
      </c>
    </row>
    <row r="62" spans="1:29">
      <c r="B62" s="453">
        <f>Tables!B90</f>
        <v>0</v>
      </c>
      <c r="C62" s="453">
        <f>Tables!C90</f>
        <v>0</v>
      </c>
      <c r="D62" s="453">
        <f>Tables!D90</f>
        <v>0</v>
      </c>
      <c r="E62" s="453">
        <f>Tables!E90</f>
        <v>0</v>
      </c>
      <c r="F62" s="453">
        <f>Tables!F90</f>
        <v>0</v>
      </c>
      <c r="G62" s="453">
        <f>Tables!G90</f>
        <v>0</v>
      </c>
      <c r="H62" s="453">
        <f>Tables!H90</f>
        <v>0</v>
      </c>
      <c r="I62" s="453">
        <f>Tables!I90</f>
        <v>0</v>
      </c>
      <c r="J62" s="453">
        <f>Tables!J90</f>
        <v>0</v>
      </c>
      <c r="K62" s="453">
        <f>Tables!K90</f>
        <v>0</v>
      </c>
      <c r="L62" s="453">
        <f>Tables!L90</f>
        <v>0</v>
      </c>
      <c r="M62" s="453">
        <f>Tables!M90</f>
        <v>0</v>
      </c>
      <c r="N62" s="453">
        <f>Tables!N90</f>
        <v>0</v>
      </c>
      <c r="O62" s="453">
        <f>Tables!O90</f>
        <v>0</v>
      </c>
      <c r="P62" s="453">
        <f>Tables!P90</f>
        <v>0</v>
      </c>
      <c r="Q62" s="453">
        <f>Tables!Q90</f>
        <v>0</v>
      </c>
      <c r="R62" s="453">
        <f>Tables!R90</f>
        <v>0</v>
      </c>
      <c r="S62" s="453">
        <f>Tables!S90</f>
        <v>0</v>
      </c>
      <c r="T62" s="453">
        <f>Tables!T90</f>
        <v>0</v>
      </c>
      <c r="U62" s="453">
        <f>Tables!U90</f>
        <v>0</v>
      </c>
      <c r="V62" s="453">
        <f>Tables!V90</f>
        <v>0</v>
      </c>
      <c r="W62" s="453">
        <f>Tables!W90</f>
        <v>0</v>
      </c>
      <c r="X62" s="453">
        <f>Tables!X90</f>
        <v>0</v>
      </c>
      <c r="Y62" s="453">
        <f>Tables!Y90</f>
        <v>0</v>
      </c>
      <c r="Z62" s="453">
        <f>Tables!Z90</f>
        <v>0</v>
      </c>
      <c r="AA62" s="453">
        <f>Tables!AA90</f>
        <v>0</v>
      </c>
      <c r="AB62" s="453">
        <f>Tables!AB90</f>
        <v>0</v>
      </c>
      <c r="AC62" s="453">
        <f>Tables!AC90</f>
        <v>0</v>
      </c>
    </row>
    <row r="63" spans="1:29">
      <c r="A63" t="s">
        <v>140</v>
      </c>
      <c r="B63" s="453" t="e">
        <f>Gen_form!#REF!</f>
        <v>#REF!</v>
      </c>
      <c r="C63" s="453" t="e">
        <f>Gen_form!#REF!</f>
        <v>#REF!</v>
      </c>
    </row>
    <row r="64" spans="1:29">
      <c r="B64" s="453" t="e">
        <f>Gen_form!#REF!</f>
        <v>#REF!</v>
      </c>
      <c r="C64" s="453" t="e">
        <f>Gen_form!#REF!</f>
        <v>#REF!</v>
      </c>
    </row>
    <row r="65" spans="2:3">
      <c r="B65" s="453" t="e">
        <f>Gen_form!#REF!</f>
        <v>#REF!</v>
      </c>
      <c r="C65" s="453" t="e">
        <f>Gen_form!#REF!</f>
        <v>#REF!</v>
      </c>
    </row>
    <row r="66" spans="2:3">
      <c r="B66" s="453" t="e">
        <f>Gen_form!#REF!</f>
        <v>#REF!</v>
      </c>
      <c r="C66" s="453" t="e">
        <f>Gen_form!#REF!</f>
        <v>#REF!</v>
      </c>
    </row>
    <row r="67" spans="2:3">
      <c r="B67" s="453" t="e">
        <f>Gen_form!#REF!</f>
        <v>#REF!</v>
      </c>
      <c r="C67" s="453" t="e">
        <f>Gen_form!#REF!</f>
        <v>#REF!</v>
      </c>
    </row>
    <row r="68" spans="2:3">
      <c r="B68" s="453" t="e">
        <f>Gen_form!#REF!</f>
        <v>#REF!</v>
      </c>
      <c r="C68" s="453" t="e">
        <f>Gen_form!#REF!</f>
        <v>#REF!</v>
      </c>
    </row>
    <row r="69" spans="2:3">
      <c r="B69" s="453" t="e">
        <f>Gen_form!#REF!</f>
        <v>#REF!</v>
      </c>
      <c r="C69" s="453" t="e">
        <f>Gen_form!#REF!</f>
        <v>#REF!</v>
      </c>
    </row>
    <row r="70" spans="2:3">
      <c r="B70" s="453" t="e">
        <f>Gen_form!#REF!</f>
        <v>#REF!</v>
      </c>
      <c r="C70" s="453" t="e">
        <f>Gen_form!#REF!</f>
        <v>#REF!</v>
      </c>
    </row>
    <row r="71" spans="2:3">
      <c r="B71" s="453" t="e">
        <f>Gen_form!#REF!</f>
        <v>#REF!</v>
      </c>
      <c r="C71" s="453" t="e">
        <f>Gen_form!#REF!</f>
        <v>#REF!</v>
      </c>
    </row>
    <row r="72" spans="2:3">
      <c r="B72" s="453" t="e">
        <f>Gen_form!#REF!</f>
        <v>#REF!</v>
      </c>
      <c r="C72" s="453" t="e">
        <f>Gen_form!#REF!</f>
        <v>#REF!</v>
      </c>
    </row>
  </sheetData>
  <customSheetViews>
    <customSheetView guid="{E3496B94-97EB-4AAE-9FD7-F66109A2B11F}">
      <pageMargins left="0.7" right="0.7" top="0.75" bottom="0.75" header="0.3" footer="0.3"/>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46</vt:i4>
      </vt:variant>
    </vt:vector>
  </HeadingPairs>
  <TitlesOfParts>
    <vt:vector size="50" baseType="lpstr">
      <vt:lpstr>Gen_form</vt:lpstr>
      <vt:lpstr>Tables</vt:lpstr>
      <vt:lpstr>Sheet1</vt:lpstr>
      <vt:lpstr>DataPage</vt:lpstr>
      <vt:lpstr>ALUM</vt:lpstr>
      <vt:lpstr>ALUM_0</vt:lpstr>
      <vt:lpstr>ALUM_1</vt:lpstr>
      <vt:lpstr>ALUM_2</vt:lpstr>
      <vt:lpstr>ALUM_3</vt:lpstr>
      <vt:lpstr>ALUM_4</vt:lpstr>
      <vt:lpstr>ALUM_5</vt:lpstr>
      <vt:lpstr>ALUMHIGH</vt:lpstr>
      <vt:lpstr>ALUMLOW</vt:lpstr>
      <vt:lpstr>avgkvp</vt:lpstr>
      <vt:lpstr>COMPG1</vt:lpstr>
      <vt:lpstr>COMPG2</vt:lpstr>
      <vt:lpstr>CTPG1</vt:lpstr>
      <vt:lpstr>DHALF</vt:lpstr>
      <vt:lpstr>EXP_0</vt:lpstr>
      <vt:lpstr>EXP_1</vt:lpstr>
      <vt:lpstr>EXP_2</vt:lpstr>
      <vt:lpstr>EXP_3</vt:lpstr>
      <vt:lpstr>EXP_4</vt:lpstr>
      <vt:lpstr>EXP_5</vt:lpstr>
      <vt:lpstr>EXP_BLD</vt:lpstr>
      <vt:lpstr>EXPHIGH</vt:lpstr>
      <vt:lpstr>EXPLOW</vt:lpstr>
      <vt:lpstr>FIRST</vt:lpstr>
      <vt:lpstr>FS_KV</vt:lpstr>
      <vt:lpstr>HVL</vt:lpstr>
      <vt:lpstr>HVL_IMGQUAL</vt:lpstr>
      <vt:lpstr>LFMAS</vt:lpstr>
      <vt:lpstr>LFSDD</vt:lpstr>
      <vt:lpstr>LIN</vt:lpstr>
      <vt:lpstr>LN_EXP</vt:lpstr>
      <vt:lpstr>MAXAVG</vt:lpstr>
      <vt:lpstr>OUTPUT</vt:lpstr>
      <vt:lpstr>Gen_form!Print_Area</vt:lpstr>
      <vt:lpstr>RadSafe</vt:lpstr>
      <vt:lpstr>REPRO</vt:lpstr>
      <vt:lpstr>SFMAS</vt:lpstr>
      <vt:lpstr>SFSDD</vt:lpstr>
      <vt:lpstr>startend</vt:lpstr>
      <vt:lpstr>TBCM_IN</vt:lpstr>
      <vt:lpstr>TIM</vt:lpstr>
      <vt:lpstr>TO10Group</vt:lpstr>
      <vt:lpstr>TO10kVAdj</vt:lpstr>
      <vt:lpstr>TO10Values</vt:lpstr>
      <vt:lpstr>TO16Group</vt:lpstr>
      <vt:lpstr>TO16Values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Radiological Physics</dc:creator>
  <cp:lastModifiedBy>Mah, Eugene</cp:lastModifiedBy>
  <cp:lastPrinted>2026-03-19T17:25:37Z</cp:lastPrinted>
  <dcterms:created xsi:type="dcterms:W3CDTF">1999-01-06T22:11:36Z</dcterms:created>
  <dcterms:modified xsi:type="dcterms:W3CDTF">2026-09-02T14:54:58Z</dcterms:modified>
</cp:coreProperties>
</file>